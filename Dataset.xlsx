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78180325 (Regresi OLS SPSS)\"/>
    </mc:Choice>
  </mc:AlternateContent>
  <xr:revisionPtr revIDLastSave="0" documentId="13_ncr:1_{12B12BB0-192F-413C-A211-5D4269CF0DBF}" xr6:coauthVersionLast="47" xr6:coauthVersionMax="47" xr10:uidLastSave="{00000000-0000-0000-0000-000000000000}"/>
  <bookViews>
    <workbookView xWindow="-110" yWindow="-110" windowWidth="19420" windowHeight="10300" xr2:uid="{F4F6DDF1-EF45-45CF-98A6-D9E908870FDF}"/>
  </bookViews>
  <sheets>
    <sheet name="Dataset" sheetId="10" r:id="rId1"/>
    <sheet name="Sosiometri" sheetId="3" r:id="rId2"/>
    <sheet name="Kepemimpinan" sheetId="1" r:id="rId3"/>
    <sheet name="Budaya Organisasi" sheetId="2" r:id="rId4"/>
    <sheet name="Karakteristik yang Dominan" sheetId="4" r:id="rId5"/>
    <sheet name="Kepemimpinan dalam Rumah Sakit" sheetId="5" r:id="rId6"/>
    <sheet name="Pengelolaan Pegawai" sheetId="6" r:id="rId7"/>
    <sheet name="Perekat Rumah Sakit" sheetId="7" r:id="rId8"/>
    <sheet name="Strategi yang Ditekankan" sheetId="8" r:id="rId9"/>
    <sheet name="Kriteria dari Kesuksesan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10" l="1"/>
  <c r="AB3" i="10"/>
  <c r="AC3" i="10"/>
  <c r="AD3" i="10"/>
  <c r="AA4" i="10"/>
  <c r="AB4" i="10"/>
  <c r="AC4" i="10"/>
  <c r="AD4" i="10"/>
  <c r="AA5" i="10"/>
  <c r="AB5" i="10"/>
  <c r="AC5" i="10"/>
  <c r="AD5" i="10"/>
  <c r="AA6" i="10"/>
  <c r="AB6" i="10"/>
  <c r="AC6" i="10"/>
  <c r="AD6" i="10"/>
  <c r="AA7" i="10"/>
  <c r="AB7" i="10"/>
  <c r="AC7" i="10"/>
  <c r="AD7" i="10"/>
  <c r="AA8" i="10"/>
  <c r="AB8" i="10"/>
  <c r="AC8" i="10"/>
  <c r="AD8" i="10"/>
  <c r="AA9" i="10"/>
  <c r="AB9" i="10"/>
  <c r="AC9" i="10"/>
  <c r="AD9" i="10"/>
  <c r="AA10" i="10"/>
  <c r="AB10" i="10"/>
  <c r="AC10" i="10"/>
  <c r="AD10" i="10"/>
  <c r="AA11" i="10"/>
  <c r="AB11" i="10"/>
  <c r="AC11" i="10"/>
  <c r="AD11" i="10"/>
  <c r="AA12" i="10"/>
  <c r="AB12" i="10"/>
  <c r="AC12" i="10"/>
  <c r="AD12" i="10"/>
  <c r="AA13" i="10"/>
  <c r="AB13" i="10"/>
  <c r="AC13" i="10"/>
  <c r="AD13" i="10"/>
  <c r="AA14" i="10"/>
  <c r="AB14" i="10"/>
  <c r="AC14" i="10"/>
  <c r="AD14" i="10"/>
  <c r="AA15" i="10"/>
  <c r="AB15" i="10"/>
  <c r="AC15" i="10"/>
  <c r="AD15" i="10"/>
  <c r="AA16" i="10"/>
  <c r="AB16" i="10"/>
  <c r="AC16" i="10"/>
  <c r="AD16" i="10"/>
  <c r="AA17" i="10"/>
  <c r="AB17" i="10"/>
  <c r="AC17" i="10"/>
  <c r="AD17" i="10"/>
  <c r="AA18" i="10"/>
  <c r="AB18" i="10"/>
  <c r="AC18" i="10"/>
  <c r="AD18" i="10"/>
  <c r="AA19" i="10"/>
  <c r="AB19" i="10"/>
  <c r="AC19" i="10"/>
  <c r="AD19" i="10"/>
  <c r="AA20" i="10"/>
  <c r="AB20" i="10"/>
  <c r="AC20" i="10"/>
  <c r="AD20" i="10"/>
  <c r="AA21" i="10"/>
  <c r="AB21" i="10"/>
  <c r="AC21" i="10"/>
  <c r="AD21" i="10"/>
  <c r="AA22" i="10"/>
  <c r="AB22" i="10"/>
  <c r="AC22" i="10"/>
  <c r="AD22" i="10"/>
  <c r="AA23" i="10"/>
  <c r="AB23" i="10"/>
  <c r="AC23" i="10"/>
  <c r="AD23" i="10"/>
  <c r="AA24" i="10"/>
  <c r="AB24" i="10"/>
  <c r="AC24" i="10"/>
  <c r="AD24" i="10"/>
  <c r="AA25" i="10"/>
  <c r="AB25" i="10"/>
  <c r="AC25" i="10"/>
  <c r="AD25" i="10"/>
  <c r="AA26" i="10"/>
  <c r="AB26" i="10"/>
  <c r="AC26" i="10"/>
  <c r="AD26" i="10"/>
  <c r="AA27" i="10"/>
  <c r="AB27" i="10"/>
  <c r="AC27" i="10"/>
  <c r="AD27" i="10"/>
  <c r="AA28" i="10"/>
  <c r="AB28" i="10"/>
  <c r="AC28" i="10"/>
  <c r="AD28" i="10"/>
  <c r="AA29" i="10"/>
  <c r="AB29" i="10"/>
  <c r="AC29" i="10"/>
  <c r="AD29" i="10"/>
  <c r="AA30" i="10"/>
  <c r="AB30" i="10"/>
  <c r="AC30" i="10"/>
  <c r="AD30" i="10"/>
  <c r="AA31" i="10"/>
  <c r="AB31" i="10"/>
  <c r="AC31" i="10"/>
  <c r="AD31" i="10"/>
  <c r="AA32" i="10"/>
  <c r="AB32" i="10"/>
  <c r="AC32" i="10"/>
  <c r="AD32" i="10"/>
  <c r="AA33" i="10"/>
  <c r="AB33" i="10"/>
  <c r="AC33" i="10"/>
  <c r="AD33" i="10"/>
  <c r="AA34" i="10"/>
  <c r="AB34" i="10"/>
  <c r="AC34" i="10"/>
  <c r="AD34" i="10"/>
  <c r="AA35" i="10"/>
  <c r="AB35" i="10"/>
  <c r="AC35" i="10"/>
  <c r="AD35" i="10"/>
  <c r="AA36" i="10"/>
  <c r="AB36" i="10"/>
  <c r="AC36" i="10"/>
  <c r="AD36" i="10"/>
  <c r="AA37" i="10"/>
  <c r="AB37" i="10"/>
  <c r="AC37" i="10"/>
  <c r="AD37" i="10"/>
  <c r="AA38" i="10"/>
  <c r="AB38" i="10"/>
  <c r="AC38" i="10"/>
  <c r="AD38" i="10"/>
  <c r="AA39" i="10"/>
  <c r="AB39" i="10"/>
  <c r="AC39" i="10"/>
  <c r="AD39" i="10"/>
  <c r="AA40" i="10"/>
  <c r="AB40" i="10"/>
  <c r="AC40" i="10"/>
  <c r="AD40" i="10"/>
  <c r="AA41" i="10"/>
  <c r="AB41" i="10"/>
  <c r="AC41" i="10"/>
  <c r="AD41" i="10"/>
  <c r="AA42" i="10"/>
  <c r="AB42" i="10"/>
  <c r="AC42" i="10"/>
  <c r="AD42" i="10"/>
  <c r="AA43" i="10"/>
  <c r="AB43" i="10"/>
  <c r="AC43" i="10"/>
  <c r="AD43" i="10"/>
  <c r="AA44" i="10"/>
  <c r="AB44" i="10"/>
  <c r="AC44" i="10"/>
  <c r="AD44" i="10"/>
  <c r="AA45" i="10"/>
  <c r="AB45" i="10"/>
  <c r="AC45" i="10"/>
  <c r="AD45" i="10"/>
  <c r="AA46" i="10"/>
  <c r="AB46" i="10"/>
  <c r="AC46" i="10"/>
  <c r="AD46" i="10"/>
  <c r="AA47" i="10"/>
  <c r="AB47" i="10"/>
  <c r="AC47" i="10"/>
  <c r="AD47" i="10"/>
  <c r="AA48" i="10"/>
  <c r="AB48" i="10"/>
  <c r="AC48" i="10"/>
  <c r="AD48" i="10"/>
  <c r="AA49" i="10"/>
  <c r="AB49" i="10"/>
  <c r="AC49" i="10"/>
  <c r="AD49" i="10"/>
  <c r="AA50" i="10"/>
  <c r="AB50" i="10"/>
  <c r="AC50" i="10"/>
  <c r="AD50" i="10"/>
  <c r="AA51" i="10"/>
  <c r="AB51" i="10"/>
  <c r="AC51" i="10"/>
  <c r="AD51" i="10"/>
  <c r="AA52" i="10"/>
  <c r="AB52" i="10"/>
  <c r="AC52" i="10"/>
  <c r="AD52" i="10"/>
  <c r="AA53" i="10"/>
  <c r="AB53" i="10"/>
  <c r="AC53" i="10"/>
  <c r="AD53" i="10"/>
  <c r="AA54" i="10"/>
  <c r="AB54" i="10"/>
  <c r="AC54" i="10"/>
  <c r="AD54" i="10"/>
  <c r="AA55" i="10"/>
  <c r="AB55" i="10"/>
  <c r="AC55" i="10"/>
  <c r="AD55" i="10"/>
  <c r="AA56" i="10"/>
  <c r="AB56" i="10"/>
  <c r="AC56" i="10"/>
  <c r="AD56" i="10"/>
  <c r="AA57" i="10"/>
  <c r="AB57" i="10"/>
  <c r="AC57" i="10"/>
  <c r="AD57" i="10"/>
  <c r="AA58" i="10"/>
  <c r="AB58" i="10"/>
  <c r="AC58" i="10"/>
  <c r="AD58" i="10"/>
  <c r="AA59" i="10"/>
  <c r="AB59" i="10"/>
  <c r="AC59" i="10"/>
  <c r="AD59" i="10"/>
  <c r="AA60" i="10"/>
  <c r="AB60" i="10"/>
  <c r="AC60" i="10"/>
  <c r="AD60" i="10"/>
  <c r="AA61" i="10"/>
  <c r="AB61" i="10"/>
  <c r="AC61" i="10"/>
  <c r="AD61" i="10"/>
  <c r="AA62" i="10"/>
  <c r="AB62" i="10"/>
  <c r="AC62" i="10"/>
  <c r="AD62" i="10"/>
  <c r="AA63" i="10"/>
  <c r="AB63" i="10"/>
  <c r="AC63" i="10"/>
  <c r="AD63" i="10"/>
  <c r="AA64" i="10"/>
  <c r="AB64" i="10"/>
  <c r="AC64" i="10"/>
  <c r="AD64" i="10"/>
  <c r="AA65" i="10"/>
  <c r="AB65" i="10"/>
  <c r="AC65" i="10"/>
  <c r="AD65" i="10"/>
  <c r="AA66" i="10"/>
  <c r="AB66" i="10"/>
  <c r="AC66" i="10"/>
  <c r="AD66" i="10"/>
  <c r="AA67" i="10"/>
  <c r="AB67" i="10"/>
  <c r="AC67" i="10"/>
  <c r="AD67" i="10"/>
  <c r="AA68" i="10"/>
  <c r="AB68" i="10"/>
  <c r="AC68" i="10"/>
  <c r="AD68" i="10"/>
  <c r="AA69" i="10"/>
  <c r="AB69" i="10"/>
  <c r="AC69" i="10"/>
  <c r="AD69" i="10"/>
  <c r="AA70" i="10"/>
  <c r="AB70" i="10"/>
  <c r="AC70" i="10"/>
  <c r="AD70" i="10"/>
  <c r="AA71" i="10"/>
  <c r="AB71" i="10"/>
  <c r="AC71" i="10"/>
  <c r="AD71" i="10"/>
  <c r="AA72" i="10"/>
  <c r="AB72" i="10"/>
  <c r="AC72" i="10"/>
  <c r="AD72" i="10"/>
  <c r="AA73" i="10"/>
  <c r="AB73" i="10"/>
  <c r="AC73" i="10"/>
  <c r="AD73" i="10"/>
  <c r="AA74" i="10"/>
  <c r="AB74" i="10"/>
  <c r="AC74" i="10"/>
  <c r="AD74" i="10"/>
  <c r="AA75" i="10"/>
  <c r="AB75" i="10"/>
  <c r="AC75" i="10"/>
  <c r="AD75" i="10"/>
  <c r="AA76" i="10"/>
  <c r="AB76" i="10"/>
  <c r="AC76" i="10"/>
  <c r="AD76" i="10"/>
  <c r="AA77" i="10"/>
  <c r="AB77" i="10"/>
  <c r="AC77" i="10"/>
  <c r="AD77" i="10"/>
  <c r="AA78" i="10"/>
  <c r="AB78" i="10"/>
  <c r="AC78" i="10"/>
  <c r="AD78" i="10"/>
  <c r="AA79" i="10"/>
  <c r="AB79" i="10"/>
  <c r="AC79" i="10"/>
  <c r="AD79" i="10"/>
  <c r="AA80" i="10"/>
  <c r="AB80" i="10"/>
  <c r="AC80" i="10"/>
  <c r="AD80" i="10"/>
  <c r="AA81" i="10"/>
  <c r="AB81" i="10"/>
  <c r="AC81" i="10"/>
  <c r="AD81" i="10"/>
  <c r="AA82" i="10"/>
  <c r="AB82" i="10"/>
  <c r="AC82" i="10"/>
  <c r="AD82" i="10"/>
  <c r="AA83" i="10"/>
  <c r="AB83" i="10"/>
  <c r="AC83" i="10"/>
  <c r="AD83" i="10"/>
  <c r="AA84" i="10"/>
  <c r="AB84" i="10"/>
  <c r="AC84" i="10"/>
  <c r="AD84" i="10"/>
  <c r="AA85" i="10"/>
  <c r="AB85" i="10"/>
  <c r="AC85" i="10"/>
  <c r="AD85" i="10"/>
  <c r="AA86" i="10"/>
  <c r="AB86" i="10"/>
  <c r="AC86" i="10"/>
  <c r="AD86" i="10"/>
  <c r="AA87" i="10"/>
  <c r="AB87" i="10"/>
  <c r="AC87" i="10"/>
  <c r="AD87" i="10"/>
  <c r="AA88" i="10"/>
  <c r="AB88" i="10"/>
  <c r="AC88" i="10"/>
  <c r="AD88" i="10"/>
  <c r="AA89" i="10"/>
  <c r="AB89" i="10"/>
  <c r="AC89" i="10"/>
  <c r="AD89" i="10"/>
  <c r="AA90" i="10"/>
  <c r="AB90" i="10"/>
  <c r="AC90" i="10"/>
  <c r="AD90" i="10"/>
  <c r="AA91" i="10"/>
  <c r="AB91" i="10"/>
  <c r="AC91" i="10"/>
  <c r="AD91" i="10"/>
  <c r="AA92" i="10"/>
  <c r="AB92" i="10"/>
  <c r="AC92" i="10"/>
  <c r="AD92" i="10"/>
  <c r="AA93" i="10"/>
  <c r="AB93" i="10"/>
  <c r="AC93" i="10"/>
  <c r="AD93" i="10"/>
  <c r="AA94" i="10"/>
  <c r="AB94" i="10"/>
  <c r="AC94" i="10"/>
  <c r="AD94" i="10"/>
  <c r="AA95" i="10"/>
  <c r="AB95" i="10"/>
  <c r="AC95" i="10"/>
  <c r="AD95" i="10"/>
  <c r="AA96" i="10"/>
  <c r="AB96" i="10"/>
  <c r="AC96" i="10"/>
  <c r="AD96" i="10"/>
  <c r="AA97" i="10"/>
  <c r="AB97" i="10"/>
  <c r="AC97" i="10"/>
  <c r="AD97" i="10"/>
  <c r="AA98" i="10"/>
  <c r="AB98" i="10"/>
  <c r="AC98" i="10"/>
  <c r="AD98" i="10"/>
  <c r="AA99" i="10"/>
  <c r="AB99" i="10"/>
  <c r="AC99" i="10"/>
  <c r="AD99" i="10"/>
  <c r="AA100" i="10"/>
  <c r="AB100" i="10"/>
  <c r="AC100" i="10"/>
  <c r="AD100" i="10"/>
  <c r="AA101" i="10"/>
  <c r="AB101" i="10"/>
  <c r="AC101" i="10"/>
  <c r="AD101" i="10"/>
  <c r="AA102" i="10"/>
  <c r="AB102" i="10"/>
  <c r="AC102" i="10"/>
  <c r="AD102" i="10"/>
  <c r="AA103" i="10"/>
  <c r="AB103" i="10"/>
  <c r="AC103" i="10"/>
  <c r="AD103" i="10"/>
  <c r="AA104" i="10"/>
  <c r="AB104" i="10"/>
  <c r="AC104" i="10"/>
  <c r="AD104" i="10"/>
  <c r="AA105" i="10"/>
  <c r="AB105" i="10"/>
  <c r="AC105" i="10"/>
  <c r="AD105" i="10"/>
  <c r="AA106" i="10"/>
  <c r="AB106" i="10"/>
  <c r="AC106" i="10"/>
  <c r="AD106" i="10"/>
  <c r="AA107" i="10"/>
  <c r="AB107" i="10"/>
  <c r="AC107" i="10"/>
  <c r="AD107" i="10"/>
  <c r="AA108" i="10"/>
  <c r="AB108" i="10"/>
  <c r="AC108" i="10"/>
  <c r="AD108" i="10"/>
  <c r="AA109" i="10"/>
  <c r="AB109" i="10"/>
  <c r="AC109" i="10"/>
  <c r="AD109" i="10"/>
  <c r="AA110" i="10"/>
  <c r="AB110" i="10"/>
  <c r="AC110" i="10"/>
  <c r="AD110" i="10"/>
  <c r="AA111" i="10"/>
  <c r="AB111" i="10"/>
  <c r="AC111" i="10"/>
  <c r="AD111" i="10"/>
  <c r="AA112" i="10"/>
  <c r="AB112" i="10"/>
  <c r="AC112" i="10"/>
  <c r="AD112" i="10"/>
  <c r="AA113" i="10"/>
  <c r="AB113" i="10"/>
  <c r="AC113" i="10"/>
  <c r="AD113" i="10"/>
  <c r="AA114" i="10"/>
  <c r="AB114" i="10"/>
  <c r="AC114" i="10"/>
  <c r="AD114" i="10"/>
  <c r="AA115" i="10"/>
  <c r="AB115" i="10"/>
  <c r="AC115" i="10"/>
  <c r="AD115" i="10"/>
  <c r="AA116" i="10"/>
  <c r="AB116" i="10"/>
  <c r="AC116" i="10"/>
  <c r="AD116" i="10"/>
  <c r="AA117" i="10"/>
  <c r="AB117" i="10"/>
  <c r="AC117" i="10"/>
  <c r="AD117" i="10"/>
  <c r="AA118" i="10"/>
  <c r="AB118" i="10"/>
  <c r="AC118" i="10"/>
  <c r="AD118" i="10"/>
  <c r="AA119" i="10"/>
  <c r="AB119" i="10"/>
  <c r="AC119" i="10"/>
  <c r="AD119" i="10"/>
  <c r="AA120" i="10"/>
  <c r="AB120" i="10"/>
  <c r="AC120" i="10"/>
  <c r="AD120" i="10"/>
  <c r="AA121" i="10"/>
  <c r="AB121" i="10"/>
  <c r="AC121" i="10"/>
  <c r="AD121" i="10"/>
  <c r="AA122" i="10"/>
  <c r="AB122" i="10"/>
  <c r="AC122" i="10"/>
  <c r="AD122" i="10"/>
  <c r="AA123" i="10"/>
  <c r="AB123" i="10"/>
  <c r="AC123" i="10"/>
  <c r="AD123" i="10"/>
  <c r="AA124" i="10"/>
  <c r="AB124" i="10"/>
  <c r="AC124" i="10"/>
  <c r="AD124" i="10"/>
  <c r="AA125" i="10"/>
  <c r="AB125" i="10"/>
  <c r="AC125" i="10"/>
  <c r="AD125" i="10"/>
  <c r="AA126" i="10"/>
  <c r="AB126" i="10"/>
  <c r="AC126" i="10"/>
  <c r="AD126" i="10"/>
  <c r="AA127" i="10"/>
  <c r="AB127" i="10"/>
  <c r="AC127" i="10"/>
  <c r="AD127" i="10"/>
  <c r="AA128" i="10"/>
  <c r="AB128" i="10"/>
  <c r="AC128" i="10"/>
  <c r="AD128" i="10"/>
  <c r="AA129" i="10"/>
  <c r="AB129" i="10"/>
  <c r="AC129" i="10"/>
  <c r="AD129" i="10"/>
  <c r="AA130" i="10"/>
  <c r="AB130" i="10"/>
  <c r="AC130" i="10"/>
  <c r="AD130" i="10"/>
  <c r="AA131" i="10"/>
  <c r="AB131" i="10"/>
  <c r="AC131" i="10"/>
  <c r="AD131" i="10"/>
  <c r="AA132" i="10"/>
  <c r="AB132" i="10"/>
  <c r="AC132" i="10"/>
  <c r="AD132" i="10"/>
  <c r="AB2" i="10"/>
  <c r="AC2" i="10"/>
  <c r="AD2" i="10"/>
  <c r="AA2" i="10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8" i="10"/>
  <c r="Z129" i="10"/>
  <c r="Z130" i="10"/>
  <c r="Z131" i="10"/>
  <c r="Z132" i="10"/>
  <c r="Z2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T3" i="10"/>
  <c r="U3" i="10"/>
  <c r="V3" i="10"/>
  <c r="W3" i="10"/>
  <c r="X3" i="10"/>
  <c r="Y3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T2" i="10"/>
  <c r="U2" i="10"/>
  <c r="V2" i="10"/>
  <c r="W2" i="10"/>
  <c r="X2" i="10"/>
  <c r="Y2" i="10"/>
  <c r="F2" i="10"/>
  <c r="A130" i="10"/>
  <c r="B130" i="10"/>
  <c r="C130" i="10"/>
  <c r="D130" i="10"/>
  <c r="E130" i="10"/>
  <c r="A131" i="10"/>
  <c r="B131" i="10"/>
  <c r="C131" i="10"/>
  <c r="D131" i="10"/>
  <c r="E131" i="10"/>
  <c r="A132" i="10"/>
  <c r="B132" i="10"/>
  <c r="C132" i="10"/>
  <c r="D132" i="10"/>
  <c r="E132" i="10"/>
  <c r="A13" i="10"/>
  <c r="B13" i="10"/>
  <c r="C13" i="10"/>
  <c r="D13" i="10"/>
  <c r="E13" i="10"/>
  <c r="A14" i="10"/>
  <c r="B14" i="10"/>
  <c r="C14" i="10"/>
  <c r="D14" i="10"/>
  <c r="E14" i="10"/>
  <c r="A15" i="10"/>
  <c r="B15" i="10"/>
  <c r="C15" i="10"/>
  <c r="D15" i="10"/>
  <c r="E15" i="10"/>
  <c r="A16" i="10"/>
  <c r="B16" i="10"/>
  <c r="C16" i="10"/>
  <c r="D16" i="10"/>
  <c r="E16" i="10"/>
  <c r="A17" i="10"/>
  <c r="B17" i="10"/>
  <c r="C17" i="10"/>
  <c r="D17" i="10"/>
  <c r="E17" i="10"/>
  <c r="A18" i="10"/>
  <c r="B18" i="10"/>
  <c r="C18" i="10"/>
  <c r="D18" i="10"/>
  <c r="E18" i="10"/>
  <c r="A19" i="10"/>
  <c r="B19" i="10"/>
  <c r="C19" i="10"/>
  <c r="D19" i="10"/>
  <c r="E19" i="10"/>
  <c r="A20" i="10"/>
  <c r="B20" i="10"/>
  <c r="C20" i="10"/>
  <c r="D20" i="10"/>
  <c r="E20" i="10"/>
  <c r="A21" i="10"/>
  <c r="B21" i="10"/>
  <c r="C21" i="10"/>
  <c r="D21" i="10"/>
  <c r="E21" i="10"/>
  <c r="A22" i="10"/>
  <c r="B22" i="10"/>
  <c r="C22" i="10"/>
  <c r="D22" i="10"/>
  <c r="E22" i="10"/>
  <c r="A23" i="10"/>
  <c r="B23" i="10"/>
  <c r="C23" i="10"/>
  <c r="D23" i="10"/>
  <c r="E23" i="10"/>
  <c r="A24" i="10"/>
  <c r="B24" i="10"/>
  <c r="C24" i="10"/>
  <c r="D24" i="10"/>
  <c r="E24" i="10"/>
  <c r="A25" i="10"/>
  <c r="B25" i="10"/>
  <c r="C25" i="10"/>
  <c r="D25" i="10"/>
  <c r="E25" i="10"/>
  <c r="A26" i="10"/>
  <c r="B26" i="10"/>
  <c r="C26" i="10"/>
  <c r="D26" i="10"/>
  <c r="E26" i="10"/>
  <c r="A27" i="10"/>
  <c r="B27" i="10"/>
  <c r="C27" i="10"/>
  <c r="D27" i="10"/>
  <c r="E27" i="10"/>
  <c r="A28" i="10"/>
  <c r="B28" i="10"/>
  <c r="C28" i="10"/>
  <c r="D28" i="10"/>
  <c r="E28" i="10"/>
  <c r="A29" i="10"/>
  <c r="B29" i="10"/>
  <c r="C29" i="10"/>
  <c r="D29" i="10"/>
  <c r="E29" i="10"/>
  <c r="A30" i="10"/>
  <c r="B30" i="10"/>
  <c r="C30" i="10"/>
  <c r="D30" i="10"/>
  <c r="E30" i="10"/>
  <c r="A31" i="10"/>
  <c r="B31" i="10"/>
  <c r="C31" i="10"/>
  <c r="D31" i="10"/>
  <c r="E31" i="10"/>
  <c r="A32" i="10"/>
  <c r="B32" i="10"/>
  <c r="C32" i="10"/>
  <c r="D32" i="10"/>
  <c r="E32" i="10"/>
  <c r="A33" i="10"/>
  <c r="B33" i="10"/>
  <c r="C33" i="10"/>
  <c r="D33" i="10"/>
  <c r="E33" i="10"/>
  <c r="A34" i="10"/>
  <c r="B34" i="10"/>
  <c r="C34" i="10"/>
  <c r="D34" i="10"/>
  <c r="E34" i="10"/>
  <c r="A35" i="10"/>
  <c r="B35" i="10"/>
  <c r="C35" i="10"/>
  <c r="D35" i="10"/>
  <c r="E35" i="10"/>
  <c r="A36" i="10"/>
  <c r="B36" i="10"/>
  <c r="C36" i="10"/>
  <c r="D36" i="10"/>
  <c r="E36" i="10"/>
  <c r="A37" i="10"/>
  <c r="B37" i="10"/>
  <c r="C37" i="10"/>
  <c r="D37" i="10"/>
  <c r="E37" i="10"/>
  <c r="A38" i="10"/>
  <c r="B38" i="10"/>
  <c r="C38" i="10"/>
  <c r="D38" i="10"/>
  <c r="E38" i="10"/>
  <c r="A39" i="10"/>
  <c r="B39" i="10"/>
  <c r="C39" i="10"/>
  <c r="D39" i="10"/>
  <c r="E39" i="10"/>
  <c r="A40" i="10"/>
  <c r="B40" i="10"/>
  <c r="C40" i="10"/>
  <c r="D40" i="10"/>
  <c r="E40" i="10"/>
  <c r="A41" i="10"/>
  <c r="B41" i="10"/>
  <c r="C41" i="10"/>
  <c r="D41" i="10"/>
  <c r="E41" i="10"/>
  <c r="A42" i="10"/>
  <c r="B42" i="10"/>
  <c r="C42" i="10"/>
  <c r="D42" i="10"/>
  <c r="E42" i="10"/>
  <c r="A43" i="10"/>
  <c r="B43" i="10"/>
  <c r="C43" i="10"/>
  <c r="D43" i="10"/>
  <c r="E43" i="10"/>
  <c r="A44" i="10"/>
  <c r="B44" i="10"/>
  <c r="C44" i="10"/>
  <c r="D44" i="10"/>
  <c r="E44" i="10"/>
  <c r="A45" i="10"/>
  <c r="B45" i="10"/>
  <c r="C45" i="10"/>
  <c r="D45" i="10"/>
  <c r="E45" i="10"/>
  <c r="A46" i="10"/>
  <c r="B46" i="10"/>
  <c r="C46" i="10"/>
  <c r="D46" i="10"/>
  <c r="E46" i="10"/>
  <c r="A47" i="10"/>
  <c r="B47" i="10"/>
  <c r="C47" i="10"/>
  <c r="D47" i="10"/>
  <c r="E47" i="10"/>
  <c r="A48" i="10"/>
  <c r="B48" i="10"/>
  <c r="C48" i="10"/>
  <c r="D48" i="10"/>
  <c r="E48" i="10"/>
  <c r="A49" i="10"/>
  <c r="B49" i="10"/>
  <c r="C49" i="10"/>
  <c r="D49" i="10"/>
  <c r="E49" i="10"/>
  <c r="A50" i="10"/>
  <c r="B50" i="10"/>
  <c r="C50" i="10"/>
  <c r="D50" i="10"/>
  <c r="E50" i="10"/>
  <c r="A51" i="10"/>
  <c r="B51" i="10"/>
  <c r="C51" i="10"/>
  <c r="D51" i="10"/>
  <c r="E51" i="10"/>
  <c r="A52" i="10"/>
  <c r="B52" i="10"/>
  <c r="C52" i="10"/>
  <c r="D52" i="10"/>
  <c r="E52" i="10"/>
  <c r="A53" i="10"/>
  <c r="B53" i="10"/>
  <c r="C53" i="10"/>
  <c r="D53" i="10"/>
  <c r="E53" i="10"/>
  <c r="A54" i="10"/>
  <c r="B54" i="10"/>
  <c r="C54" i="10"/>
  <c r="D54" i="10"/>
  <c r="E54" i="10"/>
  <c r="A55" i="10"/>
  <c r="B55" i="10"/>
  <c r="C55" i="10"/>
  <c r="D55" i="10"/>
  <c r="E55" i="10"/>
  <c r="A56" i="10"/>
  <c r="B56" i="10"/>
  <c r="C56" i="10"/>
  <c r="D56" i="10"/>
  <c r="E56" i="10"/>
  <c r="A57" i="10"/>
  <c r="B57" i="10"/>
  <c r="C57" i="10"/>
  <c r="D57" i="10"/>
  <c r="E57" i="10"/>
  <c r="A58" i="10"/>
  <c r="B58" i="10"/>
  <c r="C58" i="10"/>
  <c r="D58" i="10"/>
  <c r="E58" i="10"/>
  <c r="A59" i="10"/>
  <c r="B59" i="10"/>
  <c r="C59" i="10"/>
  <c r="D59" i="10"/>
  <c r="E59" i="10"/>
  <c r="A60" i="10"/>
  <c r="B60" i="10"/>
  <c r="C60" i="10"/>
  <c r="D60" i="10"/>
  <c r="E60" i="10"/>
  <c r="A61" i="10"/>
  <c r="B61" i="10"/>
  <c r="C61" i="10"/>
  <c r="D61" i="10"/>
  <c r="E61" i="10"/>
  <c r="A62" i="10"/>
  <c r="B62" i="10"/>
  <c r="C62" i="10"/>
  <c r="D62" i="10"/>
  <c r="E62" i="10"/>
  <c r="A63" i="10"/>
  <c r="B63" i="10"/>
  <c r="C63" i="10"/>
  <c r="D63" i="10"/>
  <c r="E63" i="10"/>
  <c r="A64" i="10"/>
  <c r="B64" i="10"/>
  <c r="C64" i="10"/>
  <c r="D64" i="10"/>
  <c r="E64" i="10"/>
  <c r="A65" i="10"/>
  <c r="B65" i="10"/>
  <c r="C65" i="10"/>
  <c r="D65" i="10"/>
  <c r="E65" i="10"/>
  <c r="A66" i="10"/>
  <c r="B66" i="10"/>
  <c r="C66" i="10"/>
  <c r="D66" i="10"/>
  <c r="E66" i="10"/>
  <c r="A67" i="10"/>
  <c r="B67" i="10"/>
  <c r="C67" i="10"/>
  <c r="D67" i="10"/>
  <c r="E67" i="10"/>
  <c r="A68" i="10"/>
  <c r="B68" i="10"/>
  <c r="C68" i="10"/>
  <c r="D68" i="10"/>
  <c r="E68" i="10"/>
  <c r="A69" i="10"/>
  <c r="B69" i="10"/>
  <c r="C69" i="10"/>
  <c r="D69" i="10"/>
  <c r="E69" i="10"/>
  <c r="A70" i="10"/>
  <c r="B70" i="10"/>
  <c r="C70" i="10"/>
  <c r="D70" i="10"/>
  <c r="E70" i="10"/>
  <c r="A71" i="10"/>
  <c r="B71" i="10"/>
  <c r="C71" i="10"/>
  <c r="D71" i="10"/>
  <c r="E71" i="10"/>
  <c r="A72" i="10"/>
  <c r="B72" i="10"/>
  <c r="C72" i="10"/>
  <c r="D72" i="10"/>
  <c r="E72" i="10"/>
  <c r="A73" i="10"/>
  <c r="B73" i="10"/>
  <c r="C73" i="10"/>
  <c r="D73" i="10"/>
  <c r="E73" i="10"/>
  <c r="A74" i="10"/>
  <c r="B74" i="10"/>
  <c r="C74" i="10"/>
  <c r="D74" i="10"/>
  <c r="E74" i="10"/>
  <c r="A75" i="10"/>
  <c r="B75" i="10"/>
  <c r="C75" i="10"/>
  <c r="D75" i="10"/>
  <c r="E75" i="10"/>
  <c r="A76" i="10"/>
  <c r="B76" i="10"/>
  <c r="C76" i="10"/>
  <c r="D76" i="10"/>
  <c r="E76" i="10"/>
  <c r="A77" i="10"/>
  <c r="B77" i="10"/>
  <c r="C77" i="10"/>
  <c r="D77" i="10"/>
  <c r="E77" i="10"/>
  <c r="A78" i="10"/>
  <c r="B78" i="10"/>
  <c r="C78" i="10"/>
  <c r="D78" i="10"/>
  <c r="E78" i="10"/>
  <c r="A79" i="10"/>
  <c r="B79" i="10"/>
  <c r="C79" i="10"/>
  <c r="D79" i="10"/>
  <c r="E79" i="10"/>
  <c r="A80" i="10"/>
  <c r="B80" i="10"/>
  <c r="C80" i="10"/>
  <c r="D80" i="10"/>
  <c r="E80" i="10"/>
  <c r="A81" i="10"/>
  <c r="B81" i="10"/>
  <c r="C81" i="10"/>
  <c r="D81" i="10"/>
  <c r="E81" i="10"/>
  <c r="A82" i="10"/>
  <c r="B82" i="10"/>
  <c r="C82" i="10"/>
  <c r="D82" i="10"/>
  <c r="E82" i="10"/>
  <c r="A83" i="10"/>
  <c r="B83" i="10"/>
  <c r="C83" i="10"/>
  <c r="D83" i="10"/>
  <c r="E83" i="10"/>
  <c r="A84" i="10"/>
  <c r="B84" i="10"/>
  <c r="C84" i="10"/>
  <c r="D84" i="10"/>
  <c r="E84" i="10"/>
  <c r="A85" i="10"/>
  <c r="B85" i="10"/>
  <c r="C85" i="10"/>
  <c r="D85" i="10"/>
  <c r="E85" i="10"/>
  <c r="A86" i="10"/>
  <c r="B86" i="10"/>
  <c r="C86" i="10"/>
  <c r="D86" i="10"/>
  <c r="E86" i="10"/>
  <c r="A87" i="10"/>
  <c r="B87" i="10"/>
  <c r="C87" i="10"/>
  <c r="D87" i="10"/>
  <c r="E87" i="10"/>
  <c r="A88" i="10"/>
  <c r="B88" i="10"/>
  <c r="C88" i="10"/>
  <c r="D88" i="10"/>
  <c r="E88" i="10"/>
  <c r="A89" i="10"/>
  <c r="B89" i="10"/>
  <c r="C89" i="10"/>
  <c r="D89" i="10"/>
  <c r="E89" i="10"/>
  <c r="A90" i="10"/>
  <c r="B90" i="10"/>
  <c r="C90" i="10"/>
  <c r="D90" i="10"/>
  <c r="E90" i="10"/>
  <c r="A91" i="10"/>
  <c r="B91" i="10"/>
  <c r="C91" i="10"/>
  <c r="D91" i="10"/>
  <c r="E91" i="10"/>
  <c r="A92" i="10"/>
  <c r="B92" i="10"/>
  <c r="C92" i="10"/>
  <c r="D92" i="10"/>
  <c r="E92" i="10"/>
  <c r="A93" i="10"/>
  <c r="B93" i="10"/>
  <c r="C93" i="10"/>
  <c r="D93" i="10"/>
  <c r="E93" i="10"/>
  <c r="A94" i="10"/>
  <c r="B94" i="10"/>
  <c r="C94" i="10"/>
  <c r="D94" i="10"/>
  <c r="E94" i="10"/>
  <c r="A95" i="10"/>
  <c r="B95" i="10"/>
  <c r="C95" i="10"/>
  <c r="D95" i="10"/>
  <c r="E95" i="10"/>
  <c r="A96" i="10"/>
  <c r="B96" i="10"/>
  <c r="C96" i="10"/>
  <c r="D96" i="10"/>
  <c r="E96" i="10"/>
  <c r="A97" i="10"/>
  <c r="B97" i="10"/>
  <c r="C97" i="10"/>
  <c r="D97" i="10"/>
  <c r="E97" i="10"/>
  <c r="A98" i="10"/>
  <c r="B98" i="10"/>
  <c r="C98" i="10"/>
  <c r="D98" i="10"/>
  <c r="E98" i="10"/>
  <c r="A99" i="10"/>
  <c r="B99" i="10"/>
  <c r="C99" i="10"/>
  <c r="D99" i="10"/>
  <c r="E99" i="10"/>
  <c r="A100" i="10"/>
  <c r="B100" i="10"/>
  <c r="C100" i="10"/>
  <c r="D100" i="10"/>
  <c r="E100" i="10"/>
  <c r="A101" i="10"/>
  <c r="B101" i="10"/>
  <c r="C101" i="10"/>
  <c r="D101" i="10"/>
  <c r="E101" i="10"/>
  <c r="A102" i="10"/>
  <c r="B102" i="10"/>
  <c r="C102" i="10"/>
  <c r="D102" i="10"/>
  <c r="E102" i="10"/>
  <c r="A103" i="10"/>
  <c r="B103" i="10"/>
  <c r="C103" i="10"/>
  <c r="D103" i="10"/>
  <c r="E103" i="10"/>
  <c r="A104" i="10"/>
  <c r="B104" i="10"/>
  <c r="C104" i="10"/>
  <c r="D104" i="10"/>
  <c r="E104" i="10"/>
  <c r="A105" i="10"/>
  <c r="B105" i="10"/>
  <c r="C105" i="10"/>
  <c r="D105" i="10"/>
  <c r="E105" i="10"/>
  <c r="A106" i="10"/>
  <c r="B106" i="10"/>
  <c r="C106" i="10"/>
  <c r="D106" i="10"/>
  <c r="E106" i="10"/>
  <c r="A107" i="10"/>
  <c r="B107" i="10"/>
  <c r="C107" i="10"/>
  <c r="D107" i="10"/>
  <c r="E107" i="10"/>
  <c r="A108" i="10"/>
  <c r="B108" i="10"/>
  <c r="C108" i="10"/>
  <c r="D108" i="10"/>
  <c r="E108" i="10"/>
  <c r="A109" i="10"/>
  <c r="B109" i="10"/>
  <c r="C109" i="10"/>
  <c r="D109" i="10"/>
  <c r="E109" i="10"/>
  <c r="A110" i="10"/>
  <c r="B110" i="10"/>
  <c r="C110" i="10"/>
  <c r="D110" i="10"/>
  <c r="E110" i="10"/>
  <c r="A111" i="10"/>
  <c r="B111" i="10"/>
  <c r="C111" i="10"/>
  <c r="D111" i="10"/>
  <c r="E111" i="10"/>
  <c r="A112" i="10"/>
  <c r="B112" i="10"/>
  <c r="C112" i="10"/>
  <c r="D112" i="10"/>
  <c r="E112" i="10"/>
  <c r="A113" i="10"/>
  <c r="B113" i="10"/>
  <c r="C113" i="10"/>
  <c r="D113" i="10"/>
  <c r="E113" i="10"/>
  <c r="A114" i="10"/>
  <c r="B114" i="10"/>
  <c r="C114" i="10"/>
  <c r="D114" i="10"/>
  <c r="E114" i="10"/>
  <c r="A115" i="10"/>
  <c r="B115" i="10"/>
  <c r="C115" i="10"/>
  <c r="D115" i="10"/>
  <c r="E115" i="10"/>
  <c r="A116" i="10"/>
  <c r="B116" i="10"/>
  <c r="C116" i="10"/>
  <c r="D116" i="10"/>
  <c r="E116" i="10"/>
  <c r="A117" i="10"/>
  <c r="B117" i="10"/>
  <c r="C117" i="10"/>
  <c r="D117" i="10"/>
  <c r="E117" i="10"/>
  <c r="A118" i="10"/>
  <c r="B118" i="10"/>
  <c r="C118" i="10"/>
  <c r="D118" i="10"/>
  <c r="E118" i="10"/>
  <c r="A119" i="10"/>
  <c r="B119" i="10"/>
  <c r="C119" i="10"/>
  <c r="D119" i="10"/>
  <c r="E119" i="10"/>
  <c r="A120" i="10"/>
  <c r="B120" i="10"/>
  <c r="C120" i="10"/>
  <c r="D120" i="10"/>
  <c r="E120" i="10"/>
  <c r="A121" i="10"/>
  <c r="B121" i="10"/>
  <c r="C121" i="10"/>
  <c r="D121" i="10"/>
  <c r="E121" i="10"/>
  <c r="A122" i="10"/>
  <c r="B122" i="10"/>
  <c r="C122" i="10"/>
  <c r="D122" i="10"/>
  <c r="E122" i="10"/>
  <c r="A123" i="10"/>
  <c r="B123" i="10"/>
  <c r="C123" i="10"/>
  <c r="D123" i="10"/>
  <c r="E123" i="10"/>
  <c r="A124" i="10"/>
  <c r="B124" i="10"/>
  <c r="C124" i="10"/>
  <c r="D124" i="10"/>
  <c r="E124" i="10"/>
  <c r="A125" i="10"/>
  <c r="B125" i="10"/>
  <c r="C125" i="10"/>
  <c r="D125" i="10"/>
  <c r="E125" i="10"/>
  <c r="A126" i="10"/>
  <c r="B126" i="10"/>
  <c r="C126" i="10"/>
  <c r="D126" i="10"/>
  <c r="E126" i="10"/>
  <c r="A127" i="10"/>
  <c r="B127" i="10"/>
  <c r="C127" i="10"/>
  <c r="D127" i="10"/>
  <c r="E127" i="10"/>
  <c r="A128" i="10"/>
  <c r="B128" i="10"/>
  <c r="C128" i="10"/>
  <c r="D128" i="10"/>
  <c r="E128" i="10"/>
  <c r="A129" i="10"/>
  <c r="B129" i="10"/>
  <c r="C129" i="10"/>
  <c r="D129" i="10"/>
  <c r="E129" i="10"/>
  <c r="A2" i="10"/>
  <c r="B2" i="10"/>
  <c r="C2" i="10"/>
  <c r="D2" i="10"/>
  <c r="E2" i="10"/>
  <c r="A3" i="10"/>
  <c r="B3" i="10"/>
  <c r="C3" i="10"/>
  <c r="D3" i="10"/>
  <c r="E3" i="10"/>
  <c r="A4" i="10"/>
  <c r="B4" i="10"/>
  <c r="C4" i="10"/>
  <c r="D4" i="10"/>
  <c r="E4" i="10"/>
  <c r="A5" i="10"/>
  <c r="B5" i="10"/>
  <c r="C5" i="10"/>
  <c r="D5" i="10"/>
  <c r="E5" i="10"/>
  <c r="A6" i="10"/>
  <c r="B6" i="10"/>
  <c r="C6" i="10"/>
  <c r="D6" i="10"/>
  <c r="E6" i="10"/>
  <c r="A7" i="10"/>
  <c r="B7" i="10"/>
  <c r="C7" i="10"/>
  <c r="D7" i="10"/>
  <c r="E7" i="10"/>
  <c r="A8" i="10"/>
  <c r="B8" i="10"/>
  <c r="C8" i="10"/>
  <c r="D8" i="10"/>
  <c r="E8" i="10"/>
  <c r="A9" i="10"/>
  <c r="B9" i="10"/>
  <c r="C9" i="10"/>
  <c r="D9" i="10"/>
  <c r="E9" i="10"/>
  <c r="A10" i="10"/>
  <c r="B10" i="10"/>
  <c r="C10" i="10"/>
  <c r="D10" i="10"/>
  <c r="E10" i="10"/>
  <c r="A11" i="10"/>
  <c r="B11" i="10"/>
  <c r="C11" i="10"/>
  <c r="D11" i="10"/>
  <c r="E11" i="10"/>
  <c r="A12" i="10"/>
  <c r="B12" i="10"/>
  <c r="C12" i="10"/>
  <c r="D12" i="10"/>
  <c r="E12" i="10"/>
  <c r="E1" i="10"/>
  <c r="B1" i="10"/>
  <c r="C1" i="10"/>
  <c r="D1" i="10"/>
  <c r="A1" i="10"/>
  <c r="L5" i="9"/>
  <c r="K5" i="9"/>
  <c r="L4" i="9"/>
  <c r="K4" i="9"/>
  <c r="L3" i="9"/>
  <c r="K3" i="9"/>
  <c r="L2" i="9"/>
  <c r="K2" i="9"/>
  <c r="L5" i="8"/>
  <c r="K5" i="8"/>
  <c r="L4" i="8"/>
  <c r="K4" i="8"/>
  <c r="L3" i="8"/>
  <c r="K3" i="8"/>
  <c r="L2" i="8"/>
  <c r="K2" i="8"/>
  <c r="L5" i="7"/>
  <c r="K5" i="7"/>
  <c r="L4" i="7"/>
  <c r="K4" i="7"/>
  <c r="L3" i="7"/>
  <c r="K3" i="7"/>
  <c r="L2" i="7"/>
  <c r="K2" i="7"/>
  <c r="L5" i="6"/>
  <c r="K5" i="6"/>
  <c r="L4" i="6"/>
  <c r="K4" i="6"/>
  <c r="L3" i="6"/>
  <c r="K3" i="6"/>
  <c r="L2" i="6"/>
  <c r="K2" i="6"/>
  <c r="L5" i="5"/>
  <c r="K5" i="5"/>
  <c r="L4" i="5"/>
  <c r="K4" i="5"/>
  <c r="L3" i="5"/>
  <c r="K3" i="5"/>
  <c r="L2" i="5"/>
  <c r="K2" i="5"/>
  <c r="L5" i="4"/>
  <c r="L4" i="4"/>
  <c r="L3" i="4"/>
  <c r="K5" i="4"/>
  <c r="K4" i="4"/>
  <c r="K3" i="4"/>
  <c r="L2" i="4"/>
  <c r="K2" i="4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BC81" i="2"/>
  <c r="BC82" i="2"/>
  <c r="BC83" i="2"/>
  <c r="BC84" i="2"/>
  <c r="BC85" i="2"/>
  <c r="BC86" i="2"/>
  <c r="BC87" i="2"/>
  <c r="BC88" i="2"/>
  <c r="BC89" i="2"/>
  <c r="BC90" i="2"/>
  <c r="BC91" i="2"/>
  <c r="BC92" i="2"/>
  <c r="BC93" i="2"/>
  <c r="BC94" i="2"/>
  <c r="BC95" i="2"/>
  <c r="BC96" i="2"/>
  <c r="BC97" i="2"/>
  <c r="BC98" i="2"/>
  <c r="BC99" i="2"/>
  <c r="BC100" i="2"/>
  <c r="BC101" i="2"/>
  <c r="BC102" i="2"/>
  <c r="BC103" i="2"/>
  <c r="BC104" i="2"/>
  <c r="BC105" i="2"/>
  <c r="BC106" i="2"/>
  <c r="BC107" i="2"/>
  <c r="BC108" i="2"/>
  <c r="BC109" i="2"/>
  <c r="BC110" i="2"/>
  <c r="BC111" i="2"/>
  <c r="BC112" i="2"/>
  <c r="BC113" i="2"/>
  <c r="BC114" i="2"/>
  <c r="BC115" i="2"/>
  <c r="BC116" i="2"/>
  <c r="BC117" i="2"/>
  <c r="BC118" i="2"/>
  <c r="BC119" i="2"/>
  <c r="BC120" i="2"/>
  <c r="BC121" i="2"/>
  <c r="BC122" i="2"/>
  <c r="BC123" i="2"/>
  <c r="BC124" i="2"/>
  <c r="BC125" i="2"/>
  <c r="BC126" i="2"/>
  <c r="BC127" i="2"/>
  <c r="BC128" i="2"/>
  <c r="BC129" i="2"/>
  <c r="BC130" i="2"/>
  <c r="BC131" i="2"/>
  <c r="BC132" i="2"/>
  <c r="BC133" i="2"/>
  <c r="BC134" i="2"/>
  <c r="BC135" i="2"/>
  <c r="BC136" i="2"/>
  <c r="BC137" i="2"/>
  <c r="BC138" i="2"/>
  <c r="BC139" i="2"/>
  <c r="BC140" i="2"/>
  <c r="BC141" i="2"/>
  <c r="BC142" i="2"/>
  <c r="BC143" i="2"/>
  <c r="BC144" i="2"/>
  <c r="BC145" i="2"/>
  <c r="BC146" i="2"/>
  <c r="BC147" i="2"/>
  <c r="BC148" i="2"/>
  <c r="BC149" i="2"/>
  <c r="BC150" i="2"/>
  <c r="BC151" i="2"/>
  <c r="BC152" i="2"/>
  <c r="BC153" i="2"/>
  <c r="BC154" i="2"/>
  <c r="BC155" i="2"/>
  <c r="BC156" i="2"/>
  <c r="BC157" i="2"/>
  <c r="BC158" i="2"/>
  <c r="BC159" i="2"/>
  <c r="BC160" i="2"/>
  <c r="BC161" i="2"/>
  <c r="BC162" i="2"/>
  <c r="BC163" i="2"/>
  <c r="BC164" i="2"/>
  <c r="BC165" i="2"/>
  <c r="BC166" i="2"/>
  <c r="BC167" i="2"/>
  <c r="BC168" i="2"/>
  <c r="BC169" i="2"/>
  <c r="BC170" i="2"/>
  <c r="BC171" i="2"/>
  <c r="BC172" i="2"/>
  <c r="BC173" i="2"/>
  <c r="BC174" i="2"/>
  <c r="BC175" i="2"/>
  <c r="BC176" i="2"/>
  <c r="BC177" i="2"/>
  <c r="BC178" i="2"/>
  <c r="BC179" i="2"/>
  <c r="BC180" i="2"/>
  <c r="BC181" i="2"/>
  <c r="BC182" i="2"/>
  <c r="BC183" i="2"/>
  <c r="BC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BB126" i="2"/>
  <c r="BB127" i="2"/>
  <c r="BB128" i="2"/>
  <c r="BB129" i="2"/>
  <c r="BB130" i="2"/>
  <c r="BB131" i="2"/>
  <c r="BB132" i="2"/>
  <c r="BB133" i="2"/>
  <c r="BB134" i="2"/>
  <c r="BB135" i="2"/>
  <c r="BB136" i="2"/>
  <c r="BB137" i="2"/>
  <c r="BB138" i="2"/>
  <c r="BB139" i="2"/>
  <c r="BB140" i="2"/>
  <c r="BB141" i="2"/>
  <c r="BB142" i="2"/>
  <c r="BB143" i="2"/>
  <c r="BB144" i="2"/>
  <c r="BB145" i="2"/>
  <c r="BB146" i="2"/>
  <c r="BB147" i="2"/>
  <c r="BB148" i="2"/>
  <c r="BB149" i="2"/>
  <c r="BB150" i="2"/>
  <c r="BB151" i="2"/>
  <c r="BB152" i="2"/>
  <c r="BB153" i="2"/>
  <c r="BB154" i="2"/>
  <c r="BB155" i="2"/>
  <c r="BB156" i="2"/>
  <c r="BB157" i="2"/>
  <c r="BB158" i="2"/>
  <c r="BB159" i="2"/>
  <c r="BB160" i="2"/>
  <c r="BB161" i="2"/>
  <c r="BB162" i="2"/>
  <c r="BB163" i="2"/>
  <c r="BB164" i="2"/>
  <c r="BB165" i="2"/>
  <c r="BB166" i="2"/>
  <c r="BB167" i="2"/>
  <c r="BB168" i="2"/>
  <c r="BB169" i="2"/>
  <c r="BB170" i="2"/>
  <c r="BB171" i="2"/>
  <c r="BB172" i="2"/>
  <c r="BB173" i="2"/>
  <c r="BB174" i="2"/>
  <c r="BB175" i="2"/>
  <c r="BB176" i="2"/>
  <c r="BB177" i="2"/>
  <c r="BB178" i="2"/>
  <c r="BB179" i="2"/>
  <c r="BB180" i="2"/>
  <c r="BB181" i="2"/>
  <c r="BB182" i="2"/>
  <c r="BB183" i="2"/>
  <c r="BB3" i="2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2" i="1"/>
</calcChain>
</file>

<file path=xl/sharedStrings.xml><?xml version="1.0" encoding="utf-8"?>
<sst xmlns="http://schemas.openxmlformats.org/spreadsheetml/2006/main" count="1035" uniqueCount="83">
  <si>
    <t>Kepemimpinan</t>
  </si>
  <si>
    <t>Y</t>
  </si>
  <si>
    <t>Jenis Kelamin</t>
  </si>
  <si>
    <t>Usia</t>
  </si>
  <si>
    <t>Pendidikan Terakhir</t>
  </si>
  <si>
    <t>Lama Bekerja</t>
  </si>
  <si>
    <t>Jabatan</t>
  </si>
  <si>
    <t>Nilai 2023</t>
  </si>
  <si>
    <t>Bobot</t>
  </si>
  <si>
    <t>Nilai 2024</t>
  </si>
  <si>
    <t>Column 93</t>
  </si>
  <si>
    <t>Perempuan</t>
  </si>
  <si>
    <t>41-50 tahun</t>
  </si>
  <si>
    <t>S1</t>
  </si>
  <si>
    <t>&gt; 5 tahun</t>
  </si>
  <si>
    <t>Level 2</t>
  </si>
  <si>
    <t>B</t>
  </si>
  <si>
    <t>31-40 tahun</t>
  </si>
  <si>
    <t>D3</t>
  </si>
  <si>
    <t>Staf Pelaksana</t>
  </si>
  <si>
    <t>Level 3</t>
  </si>
  <si>
    <t>Laki-Laki</t>
  </si>
  <si>
    <t>51-60 tahun</t>
  </si>
  <si>
    <t>&gt;3-5 tahun</t>
  </si>
  <si>
    <t>21-30 tahun</t>
  </si>
  <si>
    <t>&lt;1 tahun</t>
  </si>
  <si>
    <t>C</t>
  </si>
  <si>
    <t>Koordinator</t>
  </si>
  <si>
    <t>A</t>
  </si>
  <si>
    <t>1-3 tahun</t>
  </si>
  <si>
    <t>SMA/SMK/SPK</t>
  </si>
  <si>
    <t>herdi</t>
  </si>
  <si>
    <t>wulandari</t>
  </si>
  <si>
    <t>matius edi</t>
  </si>
  <si>
    <t>Kandidias elnadus</t>
  </si>
  <si>
    <t>Robby</t>
  </si>
  <si>
    <t>S2</t>
  </si>
  <si>
    <t>dr. Dahlan</t>
  </si>
  <si>
    <t>eko poli</t>
  </si>
  <si>
    <t>ebong</t>
  </si>
  <si>
    <t>Gabi</t>
  </si>
  <si>
    <t>Level2</t>
  </si>
  <si>
    <t>dr. Sopan</t>
  </si>
  <si>
    <t>D4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</si>
  <si>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</si>
  <si>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</si>
  <si>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</si>
  <si>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</si>
  <si>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</si>
  <si>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</si>
  <si>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</si>
  <si>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</si>
  <si>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</si>
  <si>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</si>
  <si>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</si>
  <si>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</si>
  <si>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</si>
  <si>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</si>
  <si>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</si>
  <si>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</si>
  <si>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</si>
  <si>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</si>
  <si>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</si>
  <si>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</si>
  <si>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Karakteristik yang Dominan (Prefered)</t>
  </si>
  <si>
    <t>Karakteristik yang Dominan (Now)</t>
  </si>
  <si>
    <t>Kepemimpinan dalam Rumah Sakit (Prefered)</t>
  </si>
  <si>
    <t>Kepemimpinan dalam Rumah Sakit (Now)</t>
  </si>
  <si>
    <t>Pengelolaan Pegawai (Prefered)</t>
  </si>
  <si>
    <t>Pengelolaan Pegawai (Now)</t>
  </si>
  <si>
    <t>Perekat Rumah Sakit (Prefered)</t>
  </si>
  <si>
    <t>Perekat Rumah Sakit (Now)</t>
  </si>
  <si>
    <t>Strategi yang Ditekankan (Prefered)</t>
  </si>
  <si>
    <t>Strategi yang Ditekankan (Now)</t>
  </si>
  <si>
    <t>Kriteria dari Kesuksesan (Prefered)</t>
  </si>
  <si>
    <t>Kriteria dari Kesuksesan (Now)</t>
  </si>
  <si>
    <t>Clan</t>
  </si>
  <si>
    <t>Adhocracy</t>
  </si>
  <si>
    <t>Market</t>
  </si>
  <si>
    <t>Hierarchy</t>
  </si>
  <si>
    <t>Now</t>
  </si>
  <si>
    <t>Adhecrocy</t>
  </si>
  <si>
    <t>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</si>
</sst>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0000"/>
      <name val="&quot;Times New Roman&quot;"/>
    </font>
    <font>
      <sz val="11"/>
      <color rgb="FF000000"/>
      <name val="&quot;Times New Roman&quot;"/>
    </font>
    <font>
      <sz val="12"/>
      <color theme="1"/>
      <name val="&quot;Times New Roman&quot;"/>
    </font>
    <font>
      <sz val="11"/>
      <color theme="1"/>
      <name val="Calibri"/>
      <family val="2"/>
    </font>
    <font>
      <sz val="9"/>
      <color rgb="FF1F1F1F"/>
      <name val="&quot;Google Sans&quot;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2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/>
      <right/>
      <top/>
      <bottom style="thin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4" borderId="3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0" borderId="0" xfId="0" applyFont="1"/>
    <xf numFmtId="0" fontId="7" fillId="4" borderId="0" xfId="0" applyFont="1" applyFill="1"/>
    <xf numFmtId="0" fontId="0" fillId="0" borderId="11" xfId="0" applyBorder="1"/>
    <xf numFmtId="0" fontId="2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251EF014-F7D6-4B1E-8F0A-5908738F06D9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Karakteristik yang Dominan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'Karakteristik yang Dominan'!$K$1</c:f>
              <c:strCache>
                <c:ptCount val="1"/>
                <c:pt idx="0">
                  <c:v>Now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'Karakteristik yang Dominan'!$J$2:$J$5</c:f>
              <c:strCache>
                <c:ptCount val="4"/>
                <c:pt idx="0">
                  <c:v>Clan</c:v>
                </c:pt>
                <c:pt idx="1">
                  <c:v>Adhocracy</c:v>
                </c:pt>
                <c:pt idx="2">
                  <c:v>Market</c:v>
                </c:pt>
                <c:pt idx="3">
                  <c:v>Hierarchy</c:v>
                </c:pt>
              </c:strCache>
            </c:strRef>
          </c:cat>
          <c:val>
            <c:numRef>
              <c:f>'Karakteristik yang Dominan'!$K$2:$K$5</c:f>
              <c:numCache>
                <c:formatCode>General</c:formatCode>
                <c:ptCount val="4"/>
                <c:pt idx="0">
                  <c:v>29.045801526717558</c:v>
                </c:pt>
                <c:pt idx="1">
                  <c:v>21.145038167938932</c:v>
                </c:pt>
                <c:pt idx="2">
                  <c:v>24.198473282442748</c:v>
                </c:pt>
                <c:pt idx="3">
                  <c:v>25.610687022900763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3-40A7-86C9-8D6ACB723259}"/>
            </c:ext>
          </c:extLst>
        </c:ser>
        <c:ser>
          <c:idx val="1"/>
          <c:order val="1"/>
          <c:tx>
            <c:strRef>
              <c:f>'Karakteristik yang Dominan'!$L$1</c:f>
              <c:strCache>
                <c:ptCount val="1"/>
                <c:pt idx="0">
                  <c:v>Preferred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'Karakteristik yang Dominan'!$J$2:$J$5</c:f>
              <c:strCache>
                <c:ptCount val="4"/>
                <c:pt idx="0">
                  <c:v>Clan</c:v>
                </c:pt>
                <c:pt idx="1">
                  <c:v>Adhocracy</c:v>
                </c:pt>
                <c:pt idx="2">
                  <c:v>Market</c:v>
                </c:pt>
                <c:pt idx="3">
                  <c:v>Hierarchy</c:v>
                </c:pt>
              </c:strCache>
            </c:strRef>
          </c:cat>
          <c:val>
            <c:numRef>
              <c:f>'Karakteristik yang Dominan'!$L$2:$L$5</c:f>
              <c:numCache>
                <c:formatCode>General</c:formatCode>
                <c:ptCount val="4"/>
                <c:pt idx="0">
                  <c:v>32.251908396946568</c:v>
                </c:pt>
                <c:pt idx="1">
                  <c:v>22.404580152671755</c:v>
                </c:pt>
                <c:pt idx="2">
                  <c:v>21.221374045801525</c:v>
                </c:pt>
                <c:pt idx="3">
                  <c:v>24.122137404580151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3-40A7-86C9-8D6ACB723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544624"/>
        <c:axId val="1164550864"/>
      </c:radarChart>
      <c:catAx>
        <c:axId val="116454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50864"/>
        <c:crosses val="autoZero"/>
        <c:auto val="1"/>
        <c:lblAlgn val="ctr"/>
        <c:lblOffset val="100"/>
        <c:noMultiLvlLbl val="0"/>
      </c:catAx>
      <c:valAx>
        <c:axId val="116455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Kepemimpinan dalam Rumah Sakit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'Kepemimpinan dalam Rumah Sakit'!$K$1</c:f>
              <c:strCache>
                <c:ptCount val="1"/>
                <c:pt idx="0">
                  <c:v>Now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'Kepemimpinan dalam Rumah Sakit'!$J$2:$J$5</c:f>
              <c:strCache>
                <c:ptCount val="4"/>
                <c:pt idx="0">
                  <c:v>Clan</c:v>
                </c:pt>
                <c:pt idx="1">
                  <c:v>Adhocracy</c:v>
                </c:pt>
                <c:pt idx="2">
                  <c:v>Market</c:v>
                </c:pt>
                <c:pt idx="3">
                  <c:v>Hierarchy</c:v>
                </c:pt>
              </c:strCache>
            </c:strRef>
          </c:cat>
          <c:val>
            <c:numRef>
              <c:f>'Kepemimpinan dalam Rumah Sakit'!$K$2:$K$5</c:f>
              <c:numCache>
                <c:formatCode>General</c:formatCode>
                <c:ptCount val="4"/>
                <c:pt idx="0">
                  <c:v>26.450381679389313</c:v>
                </c:pt>
                <c:pt idx="1">
                  <c:v>22.824427480916029</c:v>
                </c:pt>
                <c:pt idx="2">
                  <c:v>24.083969465648856</c:v>
                </c:pt>
                <c:pt idx="3">
                  <c:v>26.641221374045802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E-402D-956C-51CB5949D537}"/>
            </c:ext>
          </c:extLst>
        </c:ser>
        <c:ser>
          <c:idx val="1"/>
          <c:order val="1"/>
          <c:tx>
            <c:strRef>
              <c:f>'Kepemimpinan dalam Rumah Sakit'!$L$1</c:f>
              <c:strCache>
                <c:ptCount val="1"/>
                <c:pt idx="0">
                  <c:v>Preferred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'Kepemimpinan dalam Rumah Sakit'!$J$2:$J$5</c:f>
              <c:strCache>
                <c:ptCount val="4"/>
                <c:pt idx="0">
                  <c:v>Clan</c:v>
                </c:pt>
                <c:pt idx="1">
                  <c:v>Adhocracy</c:v>
                </c:pt>
                <c:pt idx="2">
                  <c:v>Market</c:v>
                </c:pt>
                <c:pt idx="3">
                  <c:v>Hierarchy</c:v>
                </c:pt>
              </c:strCache>
            </c:strRef>
          </c:cat>
          <c:val>
            <c:numRef>
              <c:f>'Kepemimpinan dalam Rumah Sakit'!$L$2:$L$5</c:f>
              <c:numCache>
                <c:formatCode>General</c:formatCode>
                <c:ptCount val="4"/>
                <c:pt idx="0">
                  <c:v>29.65648854961832</c:v>
                </c:pt>
                <c:pt idx="1">
                  <c:v>23.931297709923665</c:v>
                </c:pt>
                <c:pt idx="2">
                  <c:v>21.145038167938932</c:v>
                </c:pt>
                <c:pt idx="3">
                  <c:v>25.267175572519083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E-402D-956C-51CB5949D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170400"/>
        <c:axId val="1164172320"/>
      </c:radarChart>
      <c:catAx>
        <c:axId val="116417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72320"/>
        <c:crosses val="autoZero"/>
        <c:auto val="1"/>
        <c:lblAlgn val="ctr"/>
        <c:lblOffset val="100"/>
        <c:noMultiLvlLbl val="0"/>
      </c:catAx>
      <c:valAx>
        <c:axId val="116417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17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Pengelolaan Pegawai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'Pengelolaan Pegawai'!$K$1</c:f>
              <c:strCache>
                <c:ptCount val="1"/>
                <c:pt idx="0">
                  <c:v>Now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'Pengelolaan Pegawai'!$J$2:$J$5</c:f>
              <c:strCache>
                <c:ptCount val="4"/>
                <c:pt idx="0">
                  <c:v>Clan</c:v>
                </c:pt>
                <c:pt idx="1">
                  <c:v>Adhocracy</c:v>
                </c:pt>
                <c:pt idx="2">
                  <c:v>Market</c:v>
                </c:pt>
                <c:pt idx="3">
                  <c:v>Hierarchy</c:v>
                </c:pt>
              </c:strCache>
            </c:strRef>
          </c:cat>
          <c:val>
            <c:numRef>
              <c:f>'Pengelolaan Pegawai'!$K$2:$K$5</c:f>
              <c:numCache>
                <c:formatCode>General</c:formatCode>
                <c:ptCount val="4"/>
                <c:pt idx="0">
                  <c:v>26.374045801526716</c:v>
                </c:pt>
                <c:pt idx="1">
                  <c:v>23.129770992366414</c:v>
                </c:pt>
                <c:pt idx="2">
                  <c:v>23.664122137404579</c:v>
                </c:pt>
                <c:pt idx="3">
                  <c:v>26.832061068702291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C-4A1A-822B-88F4D5CAE7C3}"/>
            </c:ext>
          </c:extLst>
        </c:ser>
        <c:ser>
          <c:idx val="1"/>
          <c:order val="1"/>
          <c:tx>
            <c:strRef>
              <c:f>'Pengelolaan Pegawai'!$L$1</c:f>
              <c:strCache>
                <c:ptCount val="1"/>
                <c:pt idx="0">
                  <c:v>Preferred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'Pengelolaan Pegawai'!$J$2:$J$5</c:f>
              <c:strCache>
                <c:ptCount val="4"/>
                <c:pt idx="0">
                  <c:v>Clan</c:v>
                </c:pt>
                <c:pt idx="1">
                  <c:v>Adhocracy</c:v>
                </c:pt>
                <c:pt idx="2">
                  <c:v>Market</c:v>
                </c:pt>
                <c:pt idx="3">
                  <c:v>Hierarchy</c:v>
                </c:pt>
              </c:strCache>
            </c:strRef>
          </c:cat>
          <c:val>
            <c:numRef>
              <c:f>'Pengelolaan Pegawai'!$L$2:$L$5</c:f>
              <c:numCache>
                <c:formatCode>General</c:formatCode>
                <c:ptCount val="4"/>
                <c:pt idx="0">
                  <c:v>24.236641221374047</c:v>
                </c:pt>
                <c:pt idx="1">
                  <c:v>23.167938931297709</c:v>
                </c:pt>
                <c:pt idx="2">
                  <c:v>24.045801526717558</c:v>
                </c:pt>
                <c:pt idx="3">
                  <c:v>28.549618320610687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C-4A1A-822B-88F4D5CAE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831216"/>
        <c:axId val="1219832176"/>
      </c:radarChart>
      <c:catAx>
        <c:axId val="121983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832176"/>
        <c:crosses val="autoZero"/>
        <c:auto val="1"/>
        <c:lblAlgn val="ctr"/>
        <c:lblOffset val="100"/>
        <c:noMultiLvlLbl val="0"/>
      </c:catAx>
      <c:valAx>
        <c:axId val="121983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83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Perekat Rumah Sakit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'Perekat Rumah Sakit'!$K$1</c:f>
              <c:strCache>
                <c:ptCount val="1"/>
                <c:pt idx="0">
                  <c:v>Now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'Perekat Rumah Sakit'!$J$2:$J$5</c:f>
              <c:strCache>
                <c:ptCount val="4"/>
                <c:pt idx="0">
                  <c:v>Clan</c:v>
                </c:pt>
                <c:pt idx="1">
                  <c:v>Adhocracy</c:v>
                </c:pt>
                <c:pt idx="2">
                  <c:v>Market</c:v>
                </c:pt>
                <c:pt idx="3">
                  <c:v>Hierarchy</c:v>
                </c:pt>
              </c:strCache>
            </c:strRef>
          </c:cat>
          <c:val>
            <c:numRef>
              <c:f>'Perekat Rumah Sakit'!$K$2:$K$5</c:f>
              <c:numCache>
                <c:formatCode>General</c:formatCode>
                <c:ptCount val="4"/>
                <c:pt idx="0">
                  <c:v>28.167938931297709</c:v>
                </c:pt>
                <c:pt idx="1">
                  <c:v>24.503816793893129</c:v>
                </c:pt>
                <c:pt idx="2">
                  <c:v>22.480916030534353</c:v>
                </c:pt>
                <c:pt idx="3">
                  <c:v>24.847328244274809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B-4C82-A291-B3AE66983F01}"/>
            </c:ext>
          </c:extLst>
        </c:ser>
        <c:ser>
          <c:idx val="1"/>
          <c:order val="1"/>
          <c:tx>
            <c:strRef>
              <c:f>'Perekat Rumah Sakit'!$L$1</c:f>
              <c:strCache>
                <c:ptCount val="1"/>
                <c:pt idx="0">
                  <c:v>Preferred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'Perekat Rumah Sakit'!$J$2:$J$5</c:f>
              <c:strCache>
                <c:ptCount val="4"/>
                <c:pt idx="0">
                  <c:v>Clan</c:v>
                </c:pt>
                <c:pt idx="1">
                  <c:v>Adhocracy</c:v>
                </c:pt>
                <c:pt idx="2">
                  <c:v>Market</c:v>
                </c:pt>
                <c:pt idx="3">
                  <c:v>Hierarchy</c:v>
                </c:pt>
              </c:strCache>
            </c:strRef>
          </c:cat>
          <c:val>
            <c:numRef>
              <c:f>'Perekat Rumah Sakit'!$L$2:$L$5</c:f>
              <c:numCache>
                <c:formatCode>General</c:formatCode>
                <c:ptCount val="4"/>
                <c:pt idx="0">
                  <c:v>30.381679389312978</c:v>
                </c:pt>
                <c:pt idx="1">
                  <c:v>25.610687022900763</c:v>
                </c:pt>
                <c:pt idx="2">
                  <c:v>20.34351145038168</c:v>
                </c:pt>
                <c:pt idx="3">
                  <c:v>23.664122137404579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AB-4C82-A291-B3AE66983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253616"/>
        <c:axId val="871252176"/>
      </c:radarChart>
      <c:catAx>
        <c:axId val="87125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252176"/>
        <c:crosses val="autoZero"/>
        <c:auto val="1"/>
        <c:lblAlgn val="ctr"/>
        <c:lblOffset val="100"/>
        <c:noMultiLvlLbl val="0"/>
      </c:catAx>
      <c:valAx>
        <c:axId val="87125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25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Strategi yang Ditekankan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'Strategi yang Ditekankan'!$K$1</c:f>
              <c:strCache>
                <c:ptCount val="1"/>
                <c:pt idx="0">
                  <c:v>Now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'Strategi yang Ditekankan'!$J$2:$J$5</c:f>
              <c:strCache>
                <c:ptCount val="4"/>
                <c:pt idx="0">
                  <c:v>Clan</c:v>
                </c:pt>
                <c:pt idx="1">
                  <c:v>Adhocracy</c:v>
                </c:pt>
                <c:pt idx="2">
                  <c:v>Market</c:v>
                </c:pt>
                <c:pt idx="3">
                  <c:v>Hierarchy</c:v>
                </c:pt>
              </c:strCache>
            </c:strRef>
          </c:cat>
          <c:val>
            <c:numRef>
              <c:f>'Strategi yang Ditekankan'!$K$2:$K$5</c:f>
              <c:numCache>
                <c:formatCode>General</c:formatCode>
                <c:ptCount val="4"/>
                <c:pt idx="0">
                  <c:v>25.763358778625953</c:v>
                </c:pt>
                <c:pt idx="1">
                  <c:v>25.114503816793892</c:v>
                </c:pt>
                <c:pt idx="2">
                  <c:v>24.961832061068701</c:v>
                </c:pt>
                <c:pt idx="3">
                  <c:v>24.16030534351145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3-4CD2-B8CE-2F8E661F7E7F}"/>
            </c:ext>
          </c:extLst>
        </c:ser>
        <c:ser>
          <c:idx val="1"/>
          <c:order val="1"/>
          <c:tx>
            <c:strRef>
              <c:f>'Strategi yang Ditekankan'!$L$1</c:f>
              <c:strCache>
                <c:ptCount val="1"/>
                <c:pt idx="0">
                  <c:v>Preferred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'Strategi yang Ditekankan'!$J$2:$J$5</c:f>
              <c:strCache>
                <c:ptCount val="4"/>
                <c:pt idx="0">
                  <c:v>Clan</c:v>
                </c:pt>
                <c:pt idx="1">
                  <c:v>Adhocracy</c:v>
                </c:pt>
                <c:pt idx="2">
                  <c:v>Market</c:v>
                </c:pt>
                <c:pt idx="3">
                  <c:v>Hierarchy</c:v>
                </c:pt>
              </c:strCache>
            </c:strRef>
          </c:cat>
          <c:val>
            <c:numRef>
              <c:f>'Strategi yang Ditekankan'!$L$2:$L$5</c:f>
              <c:numCache>
                <c:formatCode>General</c:formatCode>
                <c:ptCount val="4"/>
                <c:pt idx="0">
                  <c:v>27.938931297709924</c:v>
                </c:pt>
                <c:pt idx="1">
                  <c:v>26.068702290076335</c:v>
                </c:pt>
                <c:pt idx="2">
                  <c:v>22.709923664122137</c:v>
                </c:pt>
                <c:pt idx="3">
                  <c:v>23.282442748091604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3-4CD2-B8CE-2F8E661F7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080832"/>
        <c:axId val="1047083232"/>
      </c:radarChart>
      <c:catAx>
        <c:axId val="104708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83232"/>
        <c:crosses val="autoZero"/>
        <c:auto val="1"/>
        <c:lblAlgn val="ctr"/>
        <c:lblOffset val="100"/>
        <c:noMultiLvlLbl val="0"/>
      </c:catAx>
      <c:valAx>
        <c:axId val="104708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08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Kriteria dari Kesuksesan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'Kriteria dari Kesuksesan'!$K$1</c:f>
              <c:strCache>
                <c:ptCount val="1"/>
                <c:pt idx="0">
                  <c:v>Now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'Kriteria dari Kesuksesan'!$J$2:$J$5</c:f>
              <c:strCache>
                <c:ptCount val="4"/>
                <c:pt idx="0">
                  <c:v>Clan</c:v>
                </c:pt>
                <c:pt idx="1">
                  <c:v>Adhocracy</c:v>
                </c:pt>
                <c:pt idx="2">
                  <c:v>Market</c:v>
                </c:pt>
                <c:pt idx="3">
                  <c:v>Hierarchy</c:v>
                </c:pt>
              </c:strCache>
            </c:strRef>
          </c:cat>
          <c:val>
            <c:numRef>
              <c:f>'Kriteria dari Kesuksesan'!$K$2:$K$5</c:f>
              <c:numCache>
                <c:formatCode>General</c:formatCode>
                <c:ptCount val="4"/>
                <c:pt idx="0">
                  <c:v>31.259541984732824</c:v>
                </c:pt>
                <c:pt idx="1">
                  <c:v>22.137404580152673</c:v>
                </c:pt>
                <c:pt idx="2">
                  <c:v>23.091603053435115</c:v>
                </c:pt>
                <c:pt idx="3">
                  <c:v>23.511450381679388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5-4FDC-AE7A-89B724111B31}"/>
            </c:ext>
          </c:extLst>
        </c:ser>
        <c:ser>
          <c:idx val="1"/>
          <c:order val="1"/>
          <c:tx>
            <c:strRef>
              <c:f>'Kriteria dari Kesuksesan'!$L$1</c:f>
              <c:strCache>
                <c:ptCount val="1"/>
                <c:pt idx="0">
                  <c:v>Preferred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'Kriteria dari Kesuksesan'!$J$2:$J$5</c:f>
              <c:strCache>
                <c:ptCount val="4"/>
                <c:pt idx="0">
                  <c:v>Clan</c:v>
                </c:pt>
                <c:pt idx="1">
                  <c:v>Adhocracy</c:v>
                </c:pt>
                <c:pt idx="2">
                  <c:v>Market</c:v>
                </c:pt>
                <c:pt idx="3">
                  <c:v>Hierarchy</c:v>
                </c:pt>
              </c:strCache>
            </c:strRef>
          </c:cat>
          <c:val>
            <c:numRef>
              <c:f>'Kriteria dari Kesuksesan'!$L$2:$L$5</c:f>
              <c:numCache>
                <c:formatCode>General</c:formatCode>
                <c:ptCount val="4"/>
                <c:pt idx="0">
                  <c:v>33.549618320610683</c:v>
                </c:pt>
                <c:pt idx="1">
                  <c:v>21.679389312977101</c:v>
                </c:pt>
                <c:pt idx="2">
                  <c:v>21.984732824427482</c:v>
                </c:pt>
                <c:pt idx="3">
                  <c:v>22.786259541984734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A5-4FDC-AE7A-89B724111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557104"/>
        <c:axId val="1164560464"/>
      </c:radarChart>
      <c:catAx>
        <c:axId val="116455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60464"/>
        <c:crosses val="autoZero"/>
        <c:auto val="1"/>
        <c:lblAlgn val="ctr"/>
        <c:lblOffset val="100"/>
        <c:noMultiLvlLbl val="0"/>
      </c:catAx>
      <c:valAx>
        <c:axId val="116456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5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206375</xdr:colOff>
      <xdr:row>0</xdr:row>
      <xdr:rowOff>44450</xdr:rowOff>
    </xdr:from>
    <xdr:to>
      <xdr:col>19</xdr:col>
      <xdr:colOff>511175</xdr:colOff>
      <xdr:row>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3D7EB2-6F6C-22F9-3090-566D3D478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0</xdr:row>
      <xdr:rowOff>44450</xdr:rowOff>
    </xdr:from>
    <xdr:to>
      <xdr:col>20</xdr:col>
      <xdr:colOff>295275</xdr:colOff>
      <xdr:row>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5D578-E31C-FE89-ABE8-58A1529F9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0</xdr:row>
      <xdr:rowOff>25400</xdr:rowOff>
    </xdr:from>
    <xdr:to>
      <xdr:col>20</xdr:col>
      <xdr:colOff>295275</xdr:colOff>
      <xdr:row>15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9E95AF-4640-AD8C-B73E-FE1F21CDA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0</xdr:row>
      <xdr:rowOff>12700</xdr:rowOff>
    </xdr:from>
    <xdr:to>
      <xdr:col>20</xdr:col>
      <xdr:colOff>314325</xdr:colOff>
      <xdr:row>14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A41D09-7B05-1A78-0CBE-47CE1A8A4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28575</xdr:colOff>
      <xdr:row>0</xdr:row>
      <xdr:rowOff>38100</xdr:rowOff>
    </xdr:from>
    <xdr:to>
      <xdr:col>20</xdr:col>
      <xdr:colOff>333375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46728-BD61-BD1E-71D2-DF881E928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415925</xdr:colOff>
      <xdr:row>0</xdr:row>
      <xdr:rowOff>69850</xdr:rowOff>
    </xdr:from>
    <xdr:to>
      <xdr:col>20</xdr:col>
      <xdr:colOff>111125</xdr:colOff>
      <xdr:row>15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11A88F-C3A6-1381-DD1B-FF545DB2C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EA245-D5FA-42F0-A672-296ED92D6F48}" name="Form_Responses1" displayName="Form_Responses1" ref="A1:CK182" headerRowCount="0">
  <tableColumns count="89">
    <tableColumn id="9" xr3:uid="{0F45279B-20FD-4572-A3D2-DD500FD4F8C8}" name="Column9"/>
    <tableColumn id="10" xr3:uid="{5F7C53ED-A599-44D8-9A03-E375F282F16B}" name="Column10"/>
    <tableColumn id="11" xr3:uid="{4660C61D-C37D-4218-AB9A-111AE9A3C0A7}" name="Column11"/>
    <tableColumn id="12" xr3:uid="{2672FFA7-963E-4136-8B33-657E4F256A85}" name="Column12"/>
    <tableColumn id="13" xr3:uid="{2114207C-6C5E-4D29-8FD8-C7D2A194484F}" name="Column13"/>
    <tableColumn id="14" xr3:uid="{07C396B1-A3B5-45E7-972A-29BD73686181}" name="Column14"/>
    <tableColumn id="15" xr3:uid="{BD167EA0-34F8-434E-BCB7-4D90C80499DC}" name="Column15"/>
    <tableColumn id="16" xr3:uid="{3E1EADE0-0E95-44B5-BFC5-2C3137BB80BA}" name="Column16"/>
    <tableColumn id="17" xr3:uid="{3C88E8AC-E171-4D81-89AC-EB39A102A011}" name="Column17"/>
    <tableColumn id="18" xr3:uid="{778E283F-806D-477D-ADCA-61D51E64EE3B}" name="Column18"/>
    <tableColumn id="19" xr3:uid="{754D0DE9-0287-44F1-B979-CBC4BC0E240C}" name="Column19"/>
    <tableColumn id="20" xr3:uid="{3C910D4C-654A-4B95-A8B8-C25142CBB90E}" name="Column20"/>
    <tableColumn id="21" xr3:uid="{A708B68F-F228-4D43-A2E3-E0C67738AA44}" name="Column21"/>
    <tableColumn id="22" xr3:uid="{E47293BC-2461-4D3B-97AA-C6A7135B9B04}" name="Column22"/>
    <tableColumn id="23" xr3:uid="{F90DA818-C552-4145-B235-8D6DC0D0ADD0}" name="Column23"/>
    <tableColumn id="24" xr3:uid="{EC7337C2-BC3A-4A39-A6EE-908118DBC5FD}" name="Column24"/>
    <tableColumn id="25" xr3:uid="{04A1BF99-950C-4B42-8D66-1FBBFFCDCB95}" name="Column25"/>
    <tableColumn id="26" xr3:uid="{40ACBB6B-209A-45EE-9555-D3634AF20748}" name="Column26"/>
    <tableColumn id="27" xr3:uid="{9AC11FBB-A8A2-465E-95D3-8DB13EC76CC0}" name="Column27"/>
    <tableColumn id="28" xr3:uid="{8DE2993A-A178-4DF4-AF6C-4AFFEA479F8F}" name="Column28"/>
    <tableColumn id="97" xr3:uid="{1F50ECB2-73C0-4D1B-A416-EAB68ACC6854}" name="Column97" dataDxfId="0"/>
    <tableColumn id="29" xr3:uid="{8F047993-2A7F-4141-98C5-33527ED1F3E1}" name="Column29"/>
    <tableColumn id="30" xr3:uid="{D6ECD48E-9491-4065-B3E7-B93FF160B31C}" name="Column30"/>
    <tableColumn id="31" xr3:uid="{F292FE1C-667D-4F4D-A911-FF683A05DE30}" name="Column31"/>
    <tableColumn id="32" xr3:uid="{02D9D81A-7BA3-4601-9843-786F1BF3C99B}" name="Column32"/>
    <tableColumn id="33" xr3:uid="{0D59B54D-09BF-433D-B513-9280C10A52C7}" name="Column33"/>
    <tableColumn id="34" xr3:uid="{C2746CCE-91D0-4D12-9900-DF280C93768B}" name="Column34"/>
    <tableColumn id="35" xr3:uid="{D89F0133-0232-4FBE-8F97-359C86FF78F9}" name="Column35"/>
    <tableColumn id="36" xr3:uid="{279A3901-9C23-4620-B4E0-8EDDD92336A0}" name="Column36"/>
    <tableColumn id="37" xr3:uid="{E3FFBF72-9C54-4115-9F8B-1C491B464AE0}" name="Column37"/>
    <tableColumn id="38" xr3:uid="{9F1B6450-7957-481D-9EFB-D0F93C60D9D8}" name="Column38"/>
    <tableColumn id="39" xr3:uid="{08819DAF-A047-475F-AD3C-21F8A140395A}" name="Column39"/>
    <tableColumn id="40" xr3:uid="{64093BE8-3E2D-4FB7-9C79-8A290CD57863}" name="Column40"/>
    <tableColumn id="41" xr3:uid="{D6523C46-2AF9-4E69-8119-29045E93D662}" name="Column41"/>
    <tableColumn id="42" xr3:uid="{2060A51B-78C8-4DA8-8533-3EA9B28725AD}" name="Column42"/>
    <tableColumn id="43" xr3:uid="{6A4971A9-1FF3-4E31-96D1-75772123C766}" name="Column43"/>
    <tableColumn id="44" xr3:uid="{F2EADBA5-3E8A-4CE6-875F-E5DC766113F2}" name="Column44"/>
    <tableColumn id="45" xr3:uid="{5BC4A9C4-9D18-4100-B01B-B73A79E65170}" name="Column45"/>
    <tableColumn id="46" xr3:uid="{DD317CE9-F461-4DB4-93E2-4CE8B83A8B16}" name="Column46"/>
    <tableColumn id="47" xr3:uid="{03C99396-6DA4-41F2-8DCE-10A00534CDE2}" name="Column47"/>
    <tableColumn id="48" xr3:uid="{0A131617-E5E3-4CC5-A2C7-6DE73F8821E2}" name="Column48"/>
    <tableColumn id="49" xr3:uid="{C2A0587E-9B2C-44C5-B53E-3F9D9EE997E1}" name="Column49"/>
    <tableColumn id="50" xr3:uid="{D9A232BE-3D13-487C-9112-CE94823F3024}" name="Column50"/>
    <tableColumn id="51" xr3:uid="{BCD7F4F9-8317-49C3-9CC5-3255187DBF55}" name="Column51"/>
    <tableColumn id="52" xr3:uid="{8FA22178-684D-49FB-87F8-222BE83D0BE1}" name="Column52"/>
    <tableColumn id="53" xr3:uid="{3150C88B-3F0C-4A99-A4F7-6137B1FABEBA}" name="Column53"/>
    <tableColumn id="54" xr3:uid="{6863B115-15A3-4980-AE88-1AD647EA652D}" name="Column54"/>
    <tableColumn id="55" xr3:uid="{2EFAA21D-F0BE-48AA-AB4E-5A3D88228D62}" name="Column55"/>
    <tableColumn id="56" xr3:uid="{AFD39B7C-9DD8-43F2-8C3E-7B14089E70C2}" name="Column56"/>
    <tableColumn id="57" xr3:uid="{57D59CEB-B6F4-49C4-97D1-BD72B548288F}" name="Column57"/>
    <tableColumn id="58" xr3:uid="{E70F631D-5B6B-490B-B3B3-2A94CB49E13D}" name="Column58"/>
    <tableColumn id="59" xr3:uid="{55B3A8CE-EAF9-4286-AB21-8BC95AE9F8CE}" name="Column59"/>
    <tableColumn id="60" xr3:uid="{50AB4395-DA69-4251-8BF9-5A51370A41C1}" name="Column60"/>
    <tableColumn id="61" xr3:uid="{D2C23DC1-7302-4E92-A73C-55B3FBB0E328}" name="Column61"/>
    <tableColumn id="62" xr3:uid="{DC6BF66B-50B2-4B9E-8F0D-516F366107E1}" name="Column62"/>
    <tableColumn id="63" xr3:uid="{5B795255-D9C8-44DF-A8C8-B70BC18DC4BE}" name="Column63"/>
    <tableColumn id="64" xr3:uid="{508D7FDF-588B-4A47-9CBF-22E67FCAE7E2}" name="Column64"/>
    <tableColumn id="65" xr3:uid="{BBC508EC-2BD7-44E5-997C-F6BDF5106D34}" name="Column65"/>
    <tableColumn id="66" xr3:uid="{2F9C6FDD-ED5D-4AA0-A2B2-6A7CF5913823}" name="Column66"/>
    <tableColumn id="67" xr3:uid="{15518E1A-A05B-4BCC-B96D-A2ED2A4A32EC}" name="Column67"/>
    <tableColumn id="68" xr3:uid="{F0A4A686-B074-449D-B13A-E5EBD901D9DB}" name="Column68"/>
    <tableColumn id="69" xr3:uid="{BC2F6FD8-772B-4E3B-9B28-BA0C7F260573}" name="Column69"/>
    <tableColumn id="70" xr3:uid="{8025E9A3-3F18-411B-914E-2645F2887FE4}" name="Column70"/>
    <tableColumn id="71" xr3:uid="{8E576261-D70C-47DE-9E32-ADF0B0360684}" name="Column71"/>
    <tableColumn id="72" xr3:uid="{52D835F2-B6B9-484C-94EF-11AF024B22BC}" name="Column72"/>
    <tableColumn id="73" xr3:uid="{411DB404-391D-4CC4-9EE6-DDAFF94F2BEB}" name="Column73"/>
    <tableColumn id="74" xr3:uid="{78341CED-986C-4B26-9A1C-4DF0ABB19A54}" name="Column74"/>
    <tableColumn id="75" xr3:uid="{2586F6A5-9227-462E-98A2-9BD8CB5ED57F}" name="Column75"/>
    <tableColumn id="76" xr3:uid="{2B4910FF-FEC1-40E4-AD3E-83C04D0A0FFA}" name="Column76"/>
    <tableColumn id="77" xr3:uid="{FE1529D7-3FBF-4B70-A912-A5D5FD8BD067}" name="Column77"/>
    <tableColumn id="78" xr3:uid="{6F9039FC-722D-4AFD-98AF-B77E8F2A6FF6}" name="Column78"/>
    <tableColumn id="79" xr3:uid="{DF1642F4-66F0-406A-B8C5-C3ECCECBA0A8}" name="Column79"/>
    <tableColumn id="80" xr3:uid="{D4B510C5-EC48-46BD-A2C8-EC8A1696A852}" name="Column80"/>
    <tableColumn id="81" xr3:uid="{50F395AD-CAAA-4E20-AABA-A3D8CFC2E5D1}" name="Column81"/>
    <tableColumn id="82" xr3:uid="{0D0B353C-D756-4702-9EB4-1A358AE025C5}" name="Column82"/>
    <tableColumn id="83" xr3:uid="{8EBBD836-1BA8-4DF9-9F93-37E7C464F7DA}" name="Column83"/>
    <tableColumn id="84" xr3:uid="{17FF26FE-EFCB-4491-B8D4-48B5FD5BF7AF}" name="Column84"/>
    <tableColumn id="85" xr3:uid="{02ADF42C-591A-492E-A882-C41CC12EFAC2}" name="Column85"/>
    <tableColumn id="86" xr3:uid="{A24B5112-7144-49E2-A66D-D2AC4D20F09C}" name="Column86"/>
    <tableColumn id="87" xr3:uid="{FEEE7863-F188-43A5-9065-2CEA8258B26D}" name="Column87"/>
    <tableColumn id="88" xr3:uid="{52D60229-4C1D-4DF2-9C2F-5D83329186CA}" name="Column88"/>
    <tableColumn id="89" xr3:uid="{C20DC696-FB41-4D08-8D49-FFB7ECEC0601}" name="Column89"/>
    <tableColumn id="90" xr3:uid="{B052C46C-07C6-4A2A-A734-A0C27530A0E1}" name="Column90"/>
    <tableColumn id="91" xr3:uid="{EC439048-CED7-456E-A625-249B22548C3B}" name="Column91"/>
    <tableColumn id="92" xr3:uid="{3966F1DC-FFEB-45EC-931F-952E9DD5CA3D}" name="Column92"/>
    <tableColumn id="93" xr3:uid="{C19A81FF-63EC-4A3C-B50B-7189EEF9CF89}" name="Column93"/>
    <tableColumn id="94" xr3:uid="{74032D34-9695-4F25-A880-62BB1976E270}" name="Column94"/>
    <tableColumn id="95" xr3:uid="{A8F69E36-5C77-4202-B318-1706A8EDA94E}" name="Column95"/>
    <tableColumn id="96" xr3:uid="{6C0A33C4-C44D-4E1E-A7E8-73E26DA1A5B9}" name="Column9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01A3-DD16-4329-9E86-5AEA9A342DC0}">
  <dimension ref="A1:AE132"/>
  <sheetViews>
    <sheetView tabSelected="1" topLeftCell="Y1" workbookViewId="0">
      <selection activeCell="AH11" sqref="AH11"/>
    </sheetView>
  </sheetViews>
  <sheetFormatPr defaultRowHeight="14.5"/>
  <cols>
    <col min="1" max="1" width="11.90625" bestFit="1" customWidth="1"/>
    <col min="2" max="2" width="10.81640625" bestFit="1" customWidth="1"/>
    <col min="3" max="3" width="17.54296875" bestFit="1" customWidth="1"/>
    <col min="4" max="4" width="11.90625" bestFit="1" customWidth="1"/>
    <col min="5" max="5" width="12.7265625" bestFit="1" customWidth="1"/>
    <col min="26" max="26" width="13.453125" bestFit="1" customWidth="1"/>
  </cols>
  <sheetData>
    <row r="1" spans="1:31">
      <c r="A1" t="str">
        <f>Sosiometri!A1</f>
        <v>Jenis Kelamin</v>
      </c>
      <c r="B1" t="str">
        <f>Sosiometri!B1</f>
        <v>Usia</v>
      </c>
      <c r="C1" t="str">
        <f>Sosiometri!C1</f>
        <v>Pendidikan Terakhir</v>
      </c>
      <c r="D1" t="str">
        <f>Sosiometri!D1</f>
        <v>Lama Bekerja</v>
      </c>
      <c r="E1" t="str">
        <f>Sosiometri!E1</f>
        <v>Jabatan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0</v>
      </c>
      <c r="AA1" t="s">
        <v>76</v>
      </c>
      <c r="AB1" t="s">
        <v>81</v>
      </c>
      <c r="AC1" t="s">
        <v>78</v>
      </c>
      <c r="AD1" t="s">
        <v>79</v>
      </c>
      <c r="AE1" s="48" t="s">
        <v>1</v>
      </c>
    </row>
    <row r="2" spans="1:31">
      <c r="A2" t="str">
        <f>Sosiometri!A2</f>
        <v>Perempuan</v>
      </c>
      <c r="B2" t="str">
        <f>Sosiometri!B2</f>
        <v>41-50 tahun</v>
      </c>
      <c r="C2" t="str">
        <f>Sosiometri!C2</f>
        <v>S1</v>
      </c>
      <c r="D2" t="str">
        <f>Sosiometri!D2</f>
        <v>&gt; 5 tahun</v>
      </c>
      <c r="E2" t="str">
        <f>Sosiometri!E2</f>
        <v>Level 2</v>
      </c>
      <c r="F2">
        <f>Form_Responses1[[#This Row],[Column9]]</f>
        <v>4</v>
      </c>
      <c r="G2">
        <f>Form_Responses1[[#This Row],[Column10]]</f>
        <v>5</v>
      </c>
      <c r="H2">
        <f>Form_Responses1[[#This Row],[Column11]]</f>
        <v>4</v>
      </c>
      <c r="I2">
        <f>Form_Responses1[[#This Row],[Column12]]</f>
        <v>5</v>
      </c>
      <c r="J2">
        <f>Form_Responses1[[#This Row],[Column13]]</f>
        <v>4</v>
      </c>
      <c r="K2">
        <f>Form_Responses1[[#This Row],[Column14]]</f>
        <v>5</v>
      </c>
      <c r="L2">
        <f>Form_Responses1[[#This Row],[Column15]]</f>
        <v>5</v>
      </c>
      <c r="M2">
        <f>Form_Responses1[[#This Row],[Column16]]</f>
        <v>5</v>
      </c>
      <c r="N2">
        <f>Form_Responses1[[#This Row],[Column17]]</f>
        <v>5</v>
      </c>
      <c r="O2">
        <f>Form_Responses1[[#This Row],[Column18]]</f>
        <v>5</v>
      </c>
      <c r="P2">
        <f>Form_Responses1[[#This Row],[Column19]]</f>
        <v>5</v>
      </c>
      <c r="Q2">
        <f>Form_Responses1[[#This Row],[Column20]]</f>
        <v>5</v>
      </c>
      <c r="R2">
        <f>Form_Responses1[[#This Row],[Column21]]</f>
        <v>4</v>
      </c>
      <c r="S2">
        <f>Form_Responses1[[#This Row],[Column22]]</f>
        <v>4</v>
      </c>
      <c r="T2">
        <f>Form_Responses1[[#This Row],[Column23]]</f>
        <v>4</v>
      </c>
      <c r="U2">
        <f>Form_Responses1[[#This Row],[Column24]]</f>
        <v>4</v>
      </c>
      <c r="V2">
        <f>Form_Responses1[[#This Row],[Column25]]</f>
        <v>5</v>
      </c>
      <c r="W2">
        <f>Form_Responses1[[#This Row],[Column26]]</f>
        <v>5</v>
      </c>
      <c r="X2">
        <f>Form_Responses1[[#This Row],[Column27]]</f>
        <v>5</v>
      </c>
      <c r="Y2">
        <f>Form_Responses1[[#This Row],[Column28]]</f>
        <v>4</v>
      </c>
      <c r="Z2">
        <f>SUM(F2:Y2)</f>
        <v>92</v>
      </c>
      <c r="AA2">
        <f>AVERAGE('Karakteristik yang Dominan'!E3,'Kepemimpinan dalam Rumah Sakit'!E3,'Pengelolaan Pegawai'!E3,'Perekat Rumah Sakit'!E3,'Strategi yang Ditekankan'!E3,'Kriteria dari Kesuksesan'!E3)</f>
        <v>23.333333333333332</v>
      </c>
      <c r="AB2">
        <f>AVERAGE('Karakteristik yang Dominan'!F3,'Kepemimpinan dalam Rumah Sakit'!F3,'Pengelolaan Pegawai'!F3,'Perekat Rumah Sakit'!F3,'Strategi yang Ditekankan'!F3,'Kriteria dari Kesuksesan'!F3)</f>
        <v>23.333333333333332</v>
      </c>
      <c r="AC2">
        <f>AVERAGE('Karakteristik yang Dominan'!G3,'Kepemimpinan dalam Rumah Sakit'!G3,'Pengelolaan Pegawai'!G3,'Perekat Rumah Sakit'!G3,'Strategi yang Ditekankan'!G3,'Kriteria dari Kesuksesan'!G3)</f>
        <v>26.666666666666668</v>
      </c>
      <c r="AD2">
        <f>AVERAGE('Karakteristik yang Dominan'!H3,'Kepemimpinan dalam Rumah Sakit'!H3,'Pengelolaan Pegawai'!H3,'Perekat Rumah Sakit'!H3,'Strategi yang Ditekankan'!H3,'Kriteria dari Kesuksesan'!H3)</f>
        <v>26.666666666666668</v>
      </c>
      <c r="AE2" s="49">
        <v>4.8099999999999996</v>
      </c>
    </row>
    <row r="3" spans="1:31">
      <c r="A3" t="str">
        <f>Sosiometri!A3</f>
        <v>Perempuan</v>
      </c>
      <c r="B3" t="str">
        <f>Sosiometri!B3</f>
        <v>31-40 tahun</v>
      </c>
      <c r="C3" t="str">
        <f>Sosiometri!C3</f>
        <v>D3</v>
      </c>
      <c r="D3" t="str">
        <f>Sosiometri!D3</f>
        <v>&gt; 5 tahun</v>
      </c>
      <c r="E3" t="str">
        <f>Sosiometri!E3</f>
        <v>Staf Pelaksana</v>
      </c>
      <c r="F3">
        <f>Form_Responses1[[#This Row],[Column9]]</f>
        <v>4</v>
      </c>
      <c r="G3">
        <f>Form_Responses1[[#This Row],[Column10]]</f>
        <v>4</v>
      </c>
      <c r="H3">
        <f>Form_Responses1[[#This Row],[Column11]]</f>
        <v>2</v>
      </c>
      <c r="I3">
        <f>Form_Responses1[[#This Row],[Column12]]</f>
        <v>3</v>
      </c>
      <c r="J3">
        <f>Form_Responses1[[#This Row],[Column13]]</f>
        <v>3</v>
      </c>
      <c r="K3">
        <f>Form_Responses1[[#This Row],[Column14]]</f>
        <v>4</v>
      </c>
      <c r="L3">
        <f>Form_Responses1[[#This Row],[Column15]]</f>
        <v>3</v>
      </c>
      <c r="M3">
        <f>Form_Responses1[[#This Row],[Column16]]</f>
        <v>2</v>
      </c>
      <c r="N3">
        <f>Form_Responses1[[#This Row],[Column17]]</f>
        <v>2</v>
      </c>
      <c r="O3">
        <f>Form_Responses1[[#This Row],[Column18]]</f>
        <v>3</v>
      </c>
      <c r="P3">
        <f>Form_Responses1[[#This Row],[Column19]]</f>
        <v>2</v>
      </c>
      <c r="Q3">
        <f>Form_Responses1[[#This Row],[Column20]]</f>
        <v>2</v>
      </c>
      <c r="R3">
        <f>Form_Responses1[[#This Row],[Column21]]</f>
        <v>2</v>
      </c>
      <c r="S3">
        <f>Form_Responses1[[#This Row],[Column22]]</f>
        <v>3</v>
      </c>
      <c r="T3">
        <f>Form_Responses1[[#This Row],[Column23]]</f>
        <v>3</v>
      </c>
      <c r="U3">
        <f>Form_Responses1[[#This Row],[Column24]]</f>
        <v>3</v>
      </c>
      <c r="V3">
        <f>Form_Responses1[[#This Row],[Column25]]</f>
        <v>2</v>
      </c>
      <c r="W3">
        <f>Form_Responses1[[#This Row],[Column26]]</f>
        <v>3</v>
      </c>
      <c r="X3">
        <f>Form_Responses1[[#This Row],[Column27]]</f>
        <v>4</v>
      </c>
      <c r="Y3">
        <f>Form_Responses1[[#This Row],[Column28]]</f>
        <v>3</v>
      </c>
      <c r="Z3">
        <f t="shared" ref="Z3:Z66" si="0">SUM(F3:Y3)</f>
        <v>57</v>
      </c>
      <c r="AA3">
        <f>AVERAGE('Karakteristik yang Dominan'!E4,'Kepemimpinan dalam Rumah Sakit'!E4,'Pengelolaan Pegawai'!E4,'Perekat Rumah Sakit'!E4,'Strategi yang Ditekankan'!E4,'Kriteria dari Kesuksesan'!E4)</f>
        <v>30</v>
      </c>
      <c r="AB3">
        <f>AVERAGE('Karakteristik yang Dominan'!F4,'Kepemimpinan dalam Rumah Sakit'!F4,'Pengelolaan Pegawai'!F4,'Perekat Rumah Sakit'!F4,'Strategi yang Ditekankan'!F4,'Kriteria dari Kesuksesan'!F4)</f>
        <v>25</v>
      </c>
      <c r="AC3">
        <f>AVERAGE('Karakteristik yang Dominan'!G4,'Kepemimpinan dalam Rumah Sakit'!G4,'Pengelolaan Pegawai'!G4,'Perekat Rumah Sakit'!G4,'Strategi yang Ditekankan'!G4,'Kriteria dari Kesuksesan'!G4)</f>
        <v>23.333333333333332</v>
      </c>
      <c r="AD3">
        <f>AVERAGE('Karakteristik yang Dominan'!H4,'Kepemimpinan dalam Rumah Sakit'!H4,'Pengelolaan Pegawai'!H4,'Perekat Rumah Sakit'!H4,'Strategi yang Ditekankan'!H4,'Kriteria dari Kesuksesan'!H4)</f>
        <v>21.666666666666668</v>
      </c>
      <c r="AE3" s="48">
        <v>4.01</v>
      </c>
    </row>
    <row r="4" spans="1:31">
      <c r="A4" t="str">
        <f>Sosiometri!A4</f>
        <v>Perempuan</v>
      </c>
      <c r="B4" t="str">
        <f>Sosiometri!B4</f>
        <v>31-40 tahun</v>
      </c>
      <c r="C4" t="str">
        <f>Sosiometri!C4</f>
        <v>D3</v>
      </c>
      <c r="D4" t="str">
        <f>Sosiometri!D4</f>
        <v>&gt; 5 tahun</v>
      </c>
      <c r="E4" t="str">
        <f>Sosiometri!E4</f>
        <v>Level 3</v>
      </c>
      <c r="F4">
        <f>Form_Responses1[[#This Row],[Column9]]</f>
        <v>5</v>
      </c>
      <c r="G4">
        <f>Form_Responses1[[#This Row],[Column10]]</f>
        <v>5</v>
      </c>
      <c r="H4">
        <f>Form_Responses1[[#This Row],[Column11]]</f>
        <v>5</v>
      </c>
      <c r="I4">
        <f>Form_Responses1[[#This Row],[Column12]]</f>
        <v>4</v>
      </c>
      <c r="J4">
        <f>Form_Responses1[[#This Row],[Column13]]</f>
        <v>5</v>
      </c>
      <c r="K4">
        <f>Form_Responses1[[#This Row],[Column14]]</f>
        <v>5</v>
      </c>
      <c r="L4">
        <f>Form_Responses1[[#This Row],[Column15]]</f>
        <v>4</v>
      </c>
      <c r="M4">
        <f>Form_Responses1[[#This Row],[Column16]]</f>
        <v>5</v>
      </c>
      <c r="N4">
        <f>Form_Responses1[[#This Row],[Column17]]</f>
        <v>5</v>
      </c>
      <c r="O4">
        <f>Form_Responses1[[#This Row],[Column18]]</f>
        <v>5</v>
      </c>
      <c r="P4">
        <f>Form_Responses1[[#This Row],[Column19]]</f>
        <v>5</v>
      </c>
      <c r="Q4">
        <f>Form_Responses1[[#This Row],[Column20]]</f>
        <v>5</v>
      </c>
      <c r="R4">
        <f>Form_Responses1[[#This Row],[Column21]]</f>
        <v>5</v>
      </c>
      <c r="S4">
        <f>Form_Responses1[[#This Row],[Column22]]</f>
        <v>5</v>
      </c>
      <c r="T4">
        <f>Form_Responses1[[#This Row],[Column23]]</f>
        <v>5</v>
      </c>
      <c r="U4">
        <f>Form_Responses1[[#This Row],[Column24]]</f>
        <v>5</v>
      </c>
      <c r="V4">
        <f>Form_Responses1[[#This Row],[Column25]]</f>
        <v>5</v>
      </c>
      <c r="W4">
        <f>Form_Responses1[[#This Row],[Column26]]</f>
        <v>5</v>
      </c>
      <c r="X4">
        <f>Form_Responses1[[#This Row],[Column27]]</f>
        <v>5</v>
      </c>
      <c r="Y4">
        <f>Form_Responses1[[#This Row],[Column28]]</f>
        <v>5</v>
      </c>
      <c r="Z4">
        <f t="shared" si="0"/>
        <v>98</v>
      </c>
      <c r="AA4">
        <f>AVERAGE('Karakteristik yang Dominan'!E5,'Kepemimpinan dalam Rumah Sakit'!E5,'Pengelolaan Pegawai'!E5,'Perekat Rumah Sakit'!E5,'Strategi yang Ditekankan'!E5,'Kriteria dari Kesuksesan'!E5)</f>
        <v>25</v>
      </c>
      <c r="AB4">
        <f>AVERAGE('Karakteristik yang Dominan'!F5,'Kepemimpinan dalam Rumah Sakit'!F5,'Pengelolaan Pegawai'!F5,'Perekat Rumah Sakit'!F5,'Strategi yang Ditekankan'!F5,'Kriteria dari Kesuksesan'!F5)</f>
        <v>25</v>
      </c>
      <c r="AC4">
        <f>AVERAGE('Karakteristik yang Dominan'!G5,'Kepemimpinan dalam Rumah Sakit'!G5,'Pengelolaan Pegawai'!G5,'Perekat Rumah Sakit'!G5,'Strategi yang Ditekankan'!G5,'Kriteria dari Kesuksesan'!G5)</f>
        <v>25</v>
      </c>
      <c r="AD4">
        <f>AVERAGE('Karakteristik yang Dominan'!H5,'Kepemimpinan dalam Rumah Sakit'!H5,'Pengelolaan Pegawai'!H5,'Perekat Rumah Sakit'!H5,'Strategi yang Ditekankan'!H5,'Kriteria dari Kesuksesan'!H5)</f>
        <v>25</v>
      </c>
      <c r="AE4" s="49">
        <v>4.4800000000000004</v>
      </c>
    </row>
    <row r="5" spans="1:31">
      <c r="A5" t="str">
        <f>Sosiometri!A5</f>
        <v>Perempuan</v>
      </c>
      <c r="B5" t="str">
        <f>Sosiometri!B5</f>
        <v>31-40 tahun</v>
      </c>
      <c r="C5" t="str">
        <f>Sosiometri!C5</f>
        <v>D3</v>
      </c>
      <c r="D5" t="str">
        <f>Sosiometri!D5</f>
        <v>&gt; 5 tahun</v>
      </c>
      <c r="E5" t="str">
        <f>Sosiometri!E5</f>
        <v>Staf Pelaksana</v>
      </c>
      <c r="F5">
        <f>Form_Responses1[[#This Row],[Column9]]</f>
        <v>3</v>
      </c>
      <c r="G5">
        <f>Form_Responses1[[#This Row],[Column10]]</f>
        <v>4</v>
      </c>
      <c r="H5">
        <f>Form_Responses1[[#This Row],[Column11]]</f>
        <v>3</v>
      </c>
      <c r="I5">
        <f>Form_Responses1[[#This Row],[Column12]]</f>
        <v>4</v>
      </c>
      <c r="J5">
        <f>Form_Responses1[[#This Row],[Column13]]</f>
        <v>4</v>
      </c>
      <c r="K5">
        <f>Form_Responses1[[#This Row],[Column14]]</f>
        <v>4</v>
      </c>
      <c r="L5">
        <f>Form_Responses1[[#This Row],[Column15]]</f>
        <v>4</v>
      </c>
      <c r="M5">
        <f>Form_Responses1[[#This Row],[Column16]]</f>
        <v>4</v>
      </c>
      <c r="N5">
        <f>Form_Responses1[[#This Row],[Column17]]</f>
        <v>4</v>
      </c>
      <c r="O5">
        <f>Form_Responses1[[#This Row],[Column18]]</f>
        <v>4</v>
      </c>
      <c r="P5">
        <f>Form_Responses1[[#This Row],[Column19]]</f>
        <v>4</v>
      </c>
      <c r="Q5">
        <f>Form_Responses1[[#This Row],[Column20]]</f>
        <v>4</v>
      </c>
      <c r="R5">
        <f>Form_Responses1[[#This Row],[Column21]]</f>
        <v>4</v>
      </c>
      <c r="S5">
        <f>Form_Responses1[[#This Row],[Column22]]</f>
        <v>4</v>
      </c>
      <c r="T5">
        <f>Form_Responses1[[#This Row],[Column23]]</f>
        <v>4</v>
      </c>
      <c r="U5">
        <f>Form_Responses1[[#This Row],[Column24]]</f>
        <v>3</v>
      </c>
      <c r="V5">
        <f>Form_Responses1[[#This Row],[Column25]]</f>
        <v>4</v>
      </c>
      <c r="W5">
        <f>Form_Responses1[[#This Row],[Column26]]</f>
        <v>3</v>
      </c>
      <c r="X5">
        <f>Form_Responses1[[#This Row],[Column27]]</f>
        <v>3</v>
      </c>
      <c r="Y5">
        <f>Form_Responses1[[#This Row],[Column28]]</f>
        <v>3</v>
      </c>
      <c r="Z5">
        <f t="shared" si="0"/>
        <v>74</v>
      </c>
      <c r="AA5">
        <f>AVERAGE('Karakteristik yang Dominan'!E6,'Kepemimpinan dalam Rumah Sakit'!E6,'Pengelolaan Pegawai'!E6,'Perekat Rumah Sakit'!E6,'Strategi yang Ditekankan'!E6,'Kriteria dari Kesuksesan'!E6)</f>
        <v>25</v>
      </c>
      <c r="AB5">
        <f>AVERAGE('Karakteristik yang Dominan'!F6,'Kepemimpinan dalam Rumah Sakit'!F6,'Pengelolaan Pegawai'!F6,'Perekat Rumah Sakit'!F6,'Strategi yang Ditekankan'!F6,'Kriteria dari Kesuksesan'!F6)</f>
        <v>25</v>
      </c>
      <c r="AC5">
        <f>AVERAGE('Karakteristik yang Dominan'!G6,'Kepemimpinan dalam Rumah Sakit'!G6,'Pengelolaan Pegawai'!G6,'Perekat Rumah Sakit'!G6,'Strategi yang Ditekankan'!G6,'Kriteria dari Kesuksesan'!G6)</f>
        <v>26.666666666666668</v>
      </c>
      <c r="AD5">
        <f>AVERAGE('Karakteristik yang Dominan'!H6,'Kepemimpinan dalam Rumah Sakit'!H6,'Pengelolaan Pegawai'!H6,'Perekat Rumah Sakit'!H6,'Strategi yang Ditekankan'!H6,'Kriteria dari Kesuksesan'!H6)</f>
        <v>23.333333333333332</v>
      </c>
      <c r="AE5" s="48">
        <v>4.37</v>
      </c>
    </row>
    <row r="6" spans="1:31">
      <c r="A6" t="str">
        <f>Sosiometri!A6</f>
        <v>Laki-Laki</v>
      </c>
      <c r="B6" t="str">
        <f>Sosiometri!B6</f>
        <v>51-60 tahun</v>
      </c>
      <c r="C6" t="str">
        <f>Sosiometri!C6</f>
        <v>D3</v>
      </c>
      <c r="D6" t="str">
        <f>Sosiometri!D6</f>
        <v>&gt;3-5 tahun</v>
      </c>
      <c r="E6" t="str">
        <f>Sosiometri!E6</f>
        <v>Staf Pelaksana</v>
      </c>
      <c r="F6">
        <f>Form_Responses1[[#This Row],[Column9]]</f>
        <v>4</v>
      </c>
      <c r="G6">
        <f>Form_Responses1[[#This Row],[Column10]]</f>
        <v>4</v>
      </c>
      <c r="H6">
        <f>Form_Responses1[[#This Row],[Column11]]</f>
        <v>4</v>
      </c>
      <c r="I6">
        <f>Form_Responses1[[#This Row],[Column12]]</f>
        <v>4</v>
      </c>
      <c r="J6">
        <f>Form_Responses1[[#This Row],[Column13]]</f>
        <v>4</v>
      </c>
      <c r="K6">
        <f>Form_Responses1[[#This Row],[Column14]]</f>
        <v>4</v>
      </c>
      <c r="L6">
        <f>Form_Responses1[[#This Row],[Column15]]</f>
        <v>4</v>
      </c>
      <c r="M6">
        <f>Form_Responses1[[#This Row],[Column16]]</f>
        <v>4</v>
      </c>
      <c r="N6">
        <f>Form_Responses1[[#This Row],[Column17]]</f>
        <v>4</v>
      </c>
      <c r="O6">
        <f>Form_Responses1[[#This Row],[Column18]]</f>
        <v>4</v>
      </c>
      <c r="P6">
        <f>Form_Responses1[[#This Row],[Column19]]</f>
        <v>4</v>
      </c>
      <c r="Q6">
        <f>Form_Responses1[[#This Row],[Column20]]</f>
        <v>3</v>
      </c>
      <c r="R6">
        <f>Form_Responses1[[#This Row],[Column21]]</f>
        <v>4</v>
      </c>
      <c r="S6">
        <f>Form_Responses1[[#This Row],[Column22]]</f>
        <v>3</v>
      </c>
      <c r="T6">
        <f>Form_Responses1[[#This Row],[Column23]]</f>
        <v>4</v>
      </c>
      <c r="U6">
        <f>Form_Responses1[[#This Row],[Column24]]</f>
        <v>4</v>
      </c>
      <c r="V6">
        <f>Form_Responses1[[#This Row],[Column25]]</f>
        <v>4</v>
      </c>
      <c r="W6">
        <f>Form_Responses1[[#This Row],[Column26]]</f>
        <v>4</v>
      </c>
      <c r="X6">
        <f>Form_Responses1[[#This Row],[Column27]]</f>
        <v>4</v>
      </c>
      <c r="Y6">
        <f>Form_Responses1[[#This Row],[Column28]]</f>
        <v>4</v>
      </c>
      <c r="Z6">
        <f t="shared" si="0"/>
        <v>78</v>
      </c>
      <c r="AA6">
        <f>AVERAGE('Karakteristik yang Dominan'!E7,'Kepemimpinan dalam Rumah Sakit'!E7,'Pengelolaan Pegawai'!E7,'Perekat Rumah Sakit'!E7,'Strategi yang Ditekankan'!E7,'Kriteria dari Kesuksesan'!E7)</f>
        <v>26.666666666666668</v>
      </c>
      <c r="AB6">
        <f>AVERAGE('Karakteristik yang Dominan'!F7,'Kepemimpinan dalam Rumah Sakit'!F7,'Pengelolaan Pegawai'!F7,'Perekat Rumah Sakit'!F7,'Strategi yang Ditekankan'!F7,'Kriteria dari Kesuksesan'!F7)</f>
        <v>23.333333333333332</v>
      </c>
      <c r="AC6">
        <f>AVERAGE('Karakteristik yang Dominan'!G7,'Kepemimpinan dalam Rumah Sakit'!G7,'Pengelolaan Pegawai'!G7,'Perekat Rumah Sakit'!G7,'Strategi yang Ditekankan'!G7,'Kriteria dari Kesuksesan'!G7)</f>
        <v>21.666666666666668</v>
      </c>
      <c r="AD6">
        <f>AVERAGE('Karakteristik yang Dominan'!H7,'Kepemimpinan dalam Rumah Sakit'!H7,'Pengelolaan Pegawai'!H7,'Perekat Rumah Sakit'!H7,'Strategi yang Ditekankan'!H7,'Kriteria dari Kesuksesan'!H7)</f>
        <v>28.333333333333332</v>
      </c>
      <c r="AE6" s="49">
        <v>4.3499999999999996</v>
      </c>
    </row>
    <row r="7" spans="1:31">
      <c r="A7" t="str">
        <f>Sosiometri!A7</f>
        <v>Laki-Laki</v>
      </c>
      <c r="B7" t="str">
        <f>Sosiometri!B7</f>
        <v>21-30 tahun</v>
      </c>
      <c r="C7" t="str">
        <f>Sosiometri!C7</f>
        <v>D3</v>
      </c>
      <c r="D7" t="str">
        <f>Sosiometri!D7</f>
        <v>&lt;1 tahun</v>
      </c>
      <c r="E7" t="str">
        <f>Sosiometri!E7</f>
        <v>Staf Pelaksana</v>
      </c>
      <c r="F7">
        <f>Form_Responses1[[#This Row],[Column9]]</f>
        <v>5</v>
      </c>
      <c r="G7">
        <f>Form_Responses1[[#This Row],[Column10]]</f>
        <v>5</v>
      </c>
      <c r="H7">
        <f>Form_Responses1[[#This Row],[Column11]]</f>
        <v>4</v>
      </c>
      <c r="I7">
        <f>Form_Responses1[[#This Row],[Column12]]</f>
        <v>4</v>
      </c>
      <c r="J7">
        <f>Form_Responses1[[#This Row],[Column13]]</f>
        <v>5</v>
      </c>
      <c r="K7">
        <f>Form_Responses1[[#This Row],[Column14]]</f>
        <v>5</v>
      </c>
      <c r="L7">
        <f>Form_Responses1[[#This Row],[Column15]]</f>
        <v>5</v>
      </c>
      <c r="M7">
        <f>Form_Responses1[[#This Row],[Column16]]</f>
        <v>4</v>
      </c>
      <c r="N7">
        <f>Form_Responses1[[#This Row],[Column17]]</f>
        <v>4</v>
      </c>
      <c r="O7">
        <f>Form_Responses1[[#This Row],[Column18]]</f>
        <v>5</v>
      </c>
      <c r="P7">
        <f>Form_Responses1[[#This Row],[Column19]]</f>
        <v>5</v>
      </c>
      <c r="Q7">
        <f>Form_Responses1[[#This Row],[Column20]]</f>
        <v>4</v>
      </c>
      <c r="R7">
        <f>Form_Responses1[[#This Row],[Column21]]</f>
        <v>5</v>
      </c>
      <c r="S7">
        <f>Form_Responses1[[#This Row],[Column22]]</f>
        <v>5</v>
      </c>
      <c r="T7">
        <f>Form_Responses1[[#This Row],[Column23]]</f>
        <v>5</v>
      </c>
      <c r="U7">
        <f>Form_Responses1[[#This Row],[Column24]]</f>
        <v>4</v>
      </c>
      <c r="V7">
        <f>Form_Responses1[[#This Row],[Column25]]</f>
        <v>5</v>
      </c>
      <c r="W7">
        <f>Form_Responses1[[#This Row],[Column26]]</f>
        <v>5</v>
      </c>
      <c r="X7">
        <f>Form_Responses1[[#This Row],[Column27]]</f>
        <v>5</v>
      </c>
      <c r="Y7">
        <f>Form_Responses1[[#This Row],[Column28]]</f>
        <v>5</v>
      </c>
      <c r="Z7">
        <f t="shared" si="0"/>
        <v>94</v>
      </c>
      <c r="AA7">
        <f>AVERAGE('Karakteristik yang Dominan'!E8,'Kepemimpinan dalam Rumah Sakit'!E8,'Pengelolaan Pegawai'!E8,'Perekat Rumah Sakit'!E8,'Strategi yang Ditekankan'!E8,'Kriteria dari Kesuksesan'!E8)</f>
        <v>28.333333333333332</v>
      </c>
      <c r="AB7">
        <f>AVERAGE('Karakteristik yang Dominan'!F8,'Kepemimpinan dalam Rumah Sakit'!F8,'Pengelolaan Pegawai'!F8,'Perekat Rumah Sakit'!F8,'Strategi yang Ditekankan'!F8,'Kriteria dari Kesuksesan'!F8)</f>
        <v>23.333333333333332</v>
      </c>
      <c r="AC7">
        <f>AVERAGE('Karakteristik yang Dominan'!G8,'Kepemimpinan dalam Rumah Sakit'!G8,'Pengelolaan Pegawai'!G8,'Perekat Rumah Sakit'!G8,'Strategi yang Ditekankan'!G8,'Kriteria dari Kesuksesan'!G8)</f>
        <v>26.666666666666668</v>
      </c>
      <c r="AD7">
        <f>AVERAGE('Karakteristik yang Dominan'!H8,'Kepemimpinan dalam Rumah Sakit'!H8,'Pengelolaan Pegawai'!H8,'Perekat Rumah Sakit'!H8,'Strategi yang Ditekankan'!H8,'Kriteria dari Kesuksesan'!H8)</f>
        <v>21.666666666666668</v>
      </c>
      <c r="AE7" s="48">
        <v>4.29</v>
      </c>
    </row>
    <row r="8" spans="1:31">
      <c r="A8" t="str">
        <f>Sosiometri!A8</f>
        <v>Perempuan</v>
      </c>
      <c r="B8" t="str">
        <f>Sosiometri!B8</f>
        <v>21-30 tahun</v>
      </c>
      <c r="C8" t="str">
        <f>Sosiometri!C8</f>
        <v>S1</v>
      </c>
      <c r="D8" t="str">
        <f>Sosiometri!D8</f>
        <v>&lt;1 tahun</v>
      </c>
      <c r="E8" t="str">
        <f>Sosiometri!E8</f>
        <v>Staf Pelaksana</v>
      </c>
      <c r="F8">
        <f>Form_Responses1[[#This Row],[Column9]]</f>
        <v>4</v>
      </c>
      <c r="G8">
        <f>Form_Responses1[[#This Row],[Column10]]</f>
        <v>4</v>
      </c>
      <c r="H8">
        <f>Form_Responses1[[#This Row],[Column11]]</f>
        <v>4</v>
      </c>
      <c r="I8">
        <f>Form_Responses1[[#This Row],[Column12]]</f>
        <v>4</v>
      </c>
      <c r="J8">
        <f>Form_Responses1[[#This Row],[Column13]]</f>
        <v>5</v>
      </c>
      <c r="K8">
        <f>Form_Responses1[[#This Row],[Column14]]</f>
        <v>5</v>
      </c>
      <c r="L8">
        <f>Form_Responses1[[#This Row],[Column15]]</f>
        <v>4</v>
      </c>
      <c r="M8">
        <f>Form_Responses1[[#This Row],[Column16]]</f>
        <v>4</v>
      </c>
      <c r="N8">
        <f>Form_Responses1[[#This Row],[Column17]]</f>
        <v>4</v>
      </c>
      <c r="O8">
        <f>Form_Responses1[[#This Row],[Column18]]</f>
        <v>4</v>
      </c>
      <c r="P8">
        <f>Form_Responses1[[#This Row],[Column19]]</f>
        <v>5</v>
      </c>
      <c r="Q8">
        <f>Form_Responses1[[#This Row],[Column20]]</f>
        <v>4</v>
      </c>
      <c r="R8">
        <f>Form_Responses1[[#This Row],[Column21]]</f>
        <v>5</v>
      </c>
      <c r="S8">
        <f>Form_Responses1[[#This Row],[Column22]]</f>
        <v>4</v>
      </c>
      <c r="T8">
        <f>Form_Responses1[[#This Row],[Column23]]</f>
        <v>5</v>
      </c>
      <c r="U8">
        <f>Form_Responses1[[#This Row],[Column24]]</f>
        <v>5</v>
      </c>
      <c r="V8">
        <f>Form_Responses1[[#This Row],[Column25]]</f>
        <v>5</v>
      </c>
      <c r="W8">
        <f>Form_Responses1[[#This Row],[Column26]]</f>
        <v>4</v>
      </c>
      <c r="X8">
        <f>Form_Responses1[[#This Row],[Column27]]</f>
        <v>5</v>
      </c>
      <c r="Y8">
        <f>Form_Responses1[[#This Row],[Column28]]</f>
        <v>4</v>
      </c>
      <c r="Z8">
        <f t="shared" si="0"/>
        <v>88</v>
      </c>
      <c r="AA8">
        <f>AVERAGE('Karakteristik yang Dominan'!E9,'Kepemimpinan dalam Rumah Sakit'!E9,'Pengelolaan Pegawai'!E9,'Perekat Rumah Sakit'!E9,'Strategi yang Ditekankan'!E9,'Kriteria dari Kesuksesan'!E9)</f>
        <v>25</v>
      </c>
      <c r="AB8">
        <f>AVERAGE('Karakteristik yang Dominan'!F9,'Kepemimpinan dalam Rumah Sakit'!F9,'Pengelolaan Pegawai'!F9,'Perekat Rumah Sakit'!F9,'Strategi yang Ditekankan'!F9,'Kriteria dari Kesuksesan'!F9)</f>
        <v>25</v>
      </c>
      <c r="AC8">
        <f>AVERAGE('Karakteristik yang Dominan'!G9,'Kepemimpinan dalam Rumah Sakit'!G9,'Pengelolaan Pegawai'!G9,'Perekat Rumah Sakit'!G9,'Strategi yang Ditekankan'!G9,'Kriteria dari Kesuksesan'!G9)</f>
        <v>25</v>
      </c>
      <c r="AD8">
        <f>AVERAGE('Karakteristik yang Dominan'!H9,'Kepemimpinan dalam Rumah Sakit'!H9,'Pengelolaan Pegawai'!H9,'Perekat Rumah Sakit'!H9,'Strategi yang Ditekankan'!H9,'Kriteria dari Kesuksesan'!H9)</f>
        <v>25</v>
      </c>
      <c r="AE8" s="49">
        <v>4.07</v>
      </c>
    </row>
    <row r="9" spans="1:31">
      <c r="A9" t="str">
        <f>Sosiometri!A9</f>
        <v>Perempuan</v>
      </c>
      <c r="B9" t="str">
        <f>Sosiometri!B9</f>
        <v>21-30 tahun</v>
      </c>
      <c r="C9" t="str">
        <f>Sosiometri!C9</f>
        <v>S1</v>
      </c>
      <c r="D9" t="str">
        <f>Sosiometri!D9</f>
        <v>&gt;3-5 tahun</v>
      </c>
      <c r="E9" t="str">
        <f>Sosiometri!E9</f>
        <v>Staf Pelaksana</v>
      </c>
      <c r="F9">
        <f>Form_Responses1[[#This Row],[Column9]]</f>
        <v>2</v>
      </c>
      <c r="G9">
        <f>Form_Responses1[[#This Row],[Column10]]</f>
        <v>4</v>
      </c>
      <c r="H9">
        <f>Form_Responses1[[#This Row],[Column11]]</f>
        <v>3</v>
      </c>
      <c r="I9">
        <f>Form_Responses1[[#This Row],[Column12]]</f>
        <v>2</v>
      </c>
      <c r="J9">
        <f>Form_Responses1[[#This Row],[Column13]]</f>
        <v>3</v>
      </c>
      <c r="K9">
        <f>Form_Responses1[[#This Row],[Column14]]</f>
        <v>4</v>
      </c>
      <c r="L9">
        <f>Form_Responses1[[#This Row],[Column15]]</f>
        <v>3</v>
      </c>
      <c r="M9">
        <f>Form_Responses1[[#This Row],[Column16]]</f>
        <v>4</v>
      </c>
      <c r="N9">
        <f>Form_Responses1[[#This Row],[Column17]]</f>
        <v>4</v>
      </c>
      <c r="O9">
        <f>Form_Responses1[[#This Row],[Column18]]</f>
        <v>4</v>
      </c>
      <c r="P9">
        <f>Form_Responses1[[#This Row],[Column19]]</f>
        <v>3</v>
      </c>
      <c r="Q9">
        <f>Form_Responses1[[#This Row],[Column20]]</f>
        <v>3</v>
      </c>
      <c r="R9">
        <f>Form_Responses1[[#This Row],[Column21]]</f>
        <v>2</v>
      </c>
      <c r="S9">
        <f>Form_Responses1[[#This Row],[Column22]]</f>
        <v>3</v>
      </c>
      <c r="T9">
        <f>Form_Responses1[[#This Row],[Column23]]</f>
        <v>3</v>
      </c>
      <c r="U9">
        <f>Form_Responses1[[#This Row],[Column24]]</f>
        <v>3</v>
      </c>
      <c r="V9">
        <f>Form_Responses1[[#This Row],[Column25]]</f>
        <v>3</v>
      </c>
      <c r="W9">
        <f>Form_Responses1[[#This Row],[Column26]]</f>
        <v>3</v>
      </c>
      <c r="X9">
        <f>Form_Responses1[[#This Row],[Column27]]</f>
        <v>3</v>
      </c>
      <c r="Y9">
        <f>Form_Responses1[[#This Row],[Column28]]</f>
        <v>2</v>
      </c>
      <c r="Z9">
        <f t="shared" si="0"/>
        <v>61</v>
      </c>
      <c r="AA9">
        <f>AVERAGE('Karakteristik yang Dominan'!E10,'Kepemimpinan dalam Rumah Sakit'!E10,'Pengelolaan Pegawai'!E10,'Perekat Rumah Sakit'!E10,'Strategi yang Ditekankan'!E10,'Kriteria dari Kesuksesan'!E10)</f>
        <v>25</v>
      </c>
      <c r="AB9">
        <f>AVERAGE('Karakteristik yang Dominan'!F10,'Kepemimpinan dalam Rumah Sakit'!F10,'Pengelolaan Pegawai'!F10,'Perekat Rumah Sakit'!F10,'Strategi yang Ditekankan'!F10,'Kriteria dari Kesuksesan'!F10)</f>
        <v>25</v>
      </c>
      <c r="AC9">
        <f>AVERAGE('Karakteristik yang Dominan'!G10,'Kepemimpinan dalam Rumah Sakit'!G10,'Pengelolaan Pegawai'!G10,'Perekat Rumah Sakit'!G10,'Strategi yang Ditekankan'!G10,'Kriteria dari Kesuksesan'!G10)</f>
        <v>25</v>
      </c>
      <c r="AD9">
        <f>AVERAGE('Karakteristik yang Dominan'!H10,'Kepemimpinan dalam Rumah Sakit'!H10,'Pengelolaan Pegawai'!H10,'Perekat Rumah Sakit'!H10,'Strategi yang Ditekankan'!H10,'Kriteria dari Kesuksesan'!H10)</f>
        <v>25</v>
      </c>
      <c r="AE9" s="48">
        <v>4.03</v>
      </c>
    </row>
    <row r="10" spans="1:31">
      <c r="A10" t="str">
        <f>Sosiometri!A10</f>
        <v>Laki-Laki</v>
      </c>
      <c r="B10" t="str">
        <f>Sosiometri!B10</f>
        <v>21-30 tahun</v>
      </c>
      <c r="C10" t="str">
        <f>Sosiometri!C10</f>
        <v>S1</v>
      </c>
      <c r="D10" t="str">
        <f>Sosiometri!D10</f>
        <v>&lt;1 tahun</v>
      </c>
      <c r="E10" t="str">
        <f>Sosiometri!E10</f>
        <v>Staf Pelaksana</v>
      </c>
      <c r="F10">
        <f>Form_Responses1[[#This Row],[Column9]]</f>
        <v>3</v>
      </c>
      <c r="G10">
        <f>Form_Responses1[[#This Row],[Column10]]</f>
        <v>3</v>
      </c>
      <c r="H10">
        <f>Form_Responses1[[#This Row],[Column11]]</f>
        <v>3</v>
      </c>
      <c r="I10">
        <f>Form_Responses1[[#This Row],[Column12]]</f>
        <v>2</v>
      </c>
      <c r="J10">
        <f>Form_Responses1[[#This Row],[Column13]]</f>
        <v>2</v>
      </c>
      <c r="K10">
        <f>Form_Responses1[[#This Row],[Column14]]</f>
        <v>3</v>
      </c>
      <c r="L10">
        <f>Form_Responses1[[#This Row],[Column15]]</f>
        <v>2</v>
      </c>
      <c r="M10">
        <f>Form_Responses1[[#This Row],[Column16]]</f>
        <v>2</v>
      </c>
      <c r="N10">
        <f>Form_Responses1[[#This Row],[Column17]]</f>
        <v>3</v>
      </c>
      <c r="O10">
        <f>Form_Responses1[[#This Row],[Column18]]</f>
        <v>3</v>
      </c>
      <c r="P10">
        <f>Form_Responses1[[#This Row],[Column19]]</f>
        <v>3</v>
      </c>
      <c r="Q10">
        <f>Form_Responses1[[#This Row],[Column20]]</f>
        <v>3</v>
      </c>
      <c r="R10">
        <f>Form_Responses1[[#This Row],[Column21]]</f>
        <v>3</v>
      </c>
      <c r="S10">
        <f>Form_Responses1[[#This Row],[Column22]]</f>
        <v>2</v>
      </c>
      <c r="T10">
        <f>Form_Responses1[[#This Row],[Column23]]</f>
        <v>3</v>
      </c>
      <c r="U10">
        <f>Form_Responses1[[#This Row],[Column24]]</f>
        <v>2</v>
      </c>
      <c r="V10">
        <f>Form_Responses1[[#This Row],[Column25]]</f>
        <v>3</v>
      </c>
      <c r="W10">
        <f>Form_Responses1[[#This Row],[Column26]]</f>
        <v>3</v>
      </c>
      <c r="X10">
        <f>Form_Responses1[[#This Row],[Column27]]</f>
        <v>2</v>
      </c>
      <c r="Y10">
        <f>Form_Responses1[[#This Row],[Column28]]</f>
        <v>2</v>
      </c>
      <c r="Z10">
        <f t="shared" si="0"/>
        <v>52</v>
      </c>
      <c r="AA10">
        <f>AVERAGE('Karakteristik yang Dominan'!E11,'Kepemimpinan dalam Rumah Sakit'!E11,'Pengelolaan Pegawai'!E11,'Perekat Rumah Sakit'!E11,'Strategi yang Ditekankan'!E11,'Kriteria dari Kesuksesan'!E11)</f>
        <v>25</v>
      </c>
      <c r="AB10">
        <f>AVERAGE('Karakteristik yang Dominan'!F11,'Kepemimpinan dalam Rumah Sakit'!F11,'Pengelolaan Pegawai'!F11,'Perekat Rumah Sakit'!F11,'Strategi yang Ditekankan'!F11,'Kriteria dari Kesuksesan'!F11)</f>
        <v>25</v>
      </c>
      <c r="AC10">
        <f>AVERAGE('Karakteristik yang Dominan'!G11,'Kepemimpinan dalam Rumah Sakit'!G11,'Pengelolaan Pegawai'!G11,'Perekat Rumah Sakit'!G11,'Strategi yang Ditekankan'!G11,'Kriteria dari Kesuksesan'!G11)</f>
        <v>25</v>
      </c>
      <c r="AD10">
        <f>AVERAGE('Karakteristik yang Dominan'!H11,'Kepemimpinan dalam Rumah Sakit'!H11,'Pengelolaan Pegawai'!H11,'Perekat Rumah Sakit'!H11,'Strategi yang Ditekankan'!H11,'Kriteria dari Kesuksesan'!H11)</f>
        <v>25</v>
      </c>
      <c r="AE10" s="49">
        <v>3.81</v>
      </c>
    </row>
    <row r="11" spans="1:31">
      <c r="A11" t="str">
        <f>Sosiometri!A11</f>
        <v>Laki-Laki</v>
      </c>
      <c r="B11" t="str">
        <f>Sosiometri!B11</f>
        <v>21-30 tahun</v>
      </c>
      <c r="C11" t="str">
        <f>Sosiometri!C11</f>
        <v>S1</v>
      </c>
      <c r="D11" t="str">
        <f>Sosiometri!D11</f>
        <v>&lt;1 tahun</v>
      </c>
      <c r="E11" t="str">
        <f>Sosiometri!E11</f>
        <v>Staf Pelaksana</v>
      </c>
      <c r="F11">
        <f>Form_Responses1[[#This Row],[Column9]]</f>
        <v>2</v>
      </c>
      <c r="G11">
        <f>Form_Responses1[[#This Row],[Column10]]</f>
        <v>2</v>
      </c>
      <c r="H11">
        <f>Form_Responses1[[#This Row],[Column11]]</f>
        <v>3</v>
      </c>
      <c r="I11">
        <f>Form_Responses1[[#This Row],[Column12]]</f>
        <v>2</v>
      </c>
      <c r="J11">
        <f>Form_Responses1[[#This Row],[Column13]]</f>
        <v>3</v>
      </c>
      <c r="K11">
        <f>Form_Responses1[[#This Row],[Column14]]</f>
        <v>2</v>
      </c>
      <c r="L11">
        <f>Form_Responses1[[#This Row],[Column15]]</f>
        <v>2</v>
      </c>
      <c r="M11">
        <f>Form_Responses1[[#This Row],[Column16]]</f>
        <v>2</v>
      </c>
      <c r="N11">
        <f>Form_Responses1[[#This Row],[Column17]]</f>
        <v>3</v>
      </c>
      <c r="O11">
        <f>Form_Responses1[[#This Row],[Column18]]</f>
        <v>4</v>
      </c>
      <c r="P11">
        <f>Form_Responses1[[#This Row],[Column19]]</f>
        <v>2</v>
      </c>
      <c r="Q11">
        <f>Form_Responses1[[#This Row],[Column20]]</f>
        <v>3</v>
      </c>
      <c r="R11">
        <f>Form_Responses1[[#This Row],[Column21]]</f>
        <v>4</v>
      </c>
      <c r="S11">
        <f>Form_Responses1[[#This Row],[Column22]]</f>
        <v>2</v>
      </c>
      <c r="T11">
        <f>Form_Responses1[[#This Row],[Column23]]</f>
        <v>4</v>
      </c>
      <c r="U11">
        <f>Form_Responses1[[#This Row],[Column24]]</f>
        <v>3</v>
      </c>
      <c r="V11">
        <f>Form_Responses1[[#This Row],[Column25]]</f>
        <v>4</v>
      </c>
      <c r="W11">
        <f>Form_Responses1[[#This Row],[Column26]]</f>
        <v>2</v>
      </c>
      <c r="X11">
        <f>Form_Responses1[[#This Row],[Column27]]</f>
        <v>3</v>
      </c>
      <c r="Y11">
        <f>Form_Responses1[[#This Row],[Column28]]</f>
        <v>2</v>
      </c>
      <c r="Z11">
        <f t="shared" si="0"/>
        <v>54</v>
      </c>
      <c r="AA11">
        <f>AVERAGE('Karakteristik yang Dominan'!E12,'Kepemimpinan dalam Rumah Sakit'!E12,'Pengelolaan Pegawai'!E12,'Perekat Rumah Sakit'!E12,'Strategi yang Ditekankan'!E12,'Kriteria dari Kesuksesan'!E12)</f>
        <v>28.333333333333332</v>
      </c>
      <c r="AB11">
        <f>AVERAGE('Karakteristik yang Dominan'!F12,'Kepemimpinan dalam Rumah Sakit'!F12,'Pengelolaan Pegawai'!F12,'Perekat Rumah Sakit'!F12,'Strategi yang Ditekankan'!F12,'Kriteria dari Kesuksesan'!F12)</f>
        <v>30</v>
      </c>
      <c r="AC11">
        <f>AVERAGE('Karakteristik yang Dominan'!G12,'Kepemimpinan dalam Rumah Sakit'!G12,'Pengelolaan Pegawai'!G12,'Perekat Rumah Sakit'!G12,'Strategi yang Ditekankan'!G12,'Kriteria dari Kesuksesan'!G12)</f>
        <v>15</v>
      </c>
      <c r="AD11">
        <f>AVERAGE('Karakteristik yang Dominan'!H12,'Kepemimpinan dalam Rumah Sakit'!H12,'Pengelolaan Pegawai'!H12,'Perekat Rumah Sakit'!H12,'Strategi yang Ditekankan'!H12,'Kriteria dari Kesuksesan'!H12)</f>
        <v>26.666666666666668</v>
      </c>
      <c r="AE11" s="48">
        <v>4.1500000000000004</v>
      </c>
    </row>
    <row r="12" spans="1:31">
      <c r="A12" t="str">
        <f>Sosiometri!A12</f>
        <v>Perempuan</v>
      </c>
      <c r="B12" t="str">
        <f>Sosiometri!B12</f>
        <v>21-30 tahun</v>
      </c>
      <c r="C12" t="str">
        <f>Sosiometri!C12</f>
        <v>S1</v>
      </c>
      <c r="D12" t="str">
        <f>Sosiometri!D12</f>
        <v>&gt;3-5 tahun</v>
      </c>
      <c r="E12" t="str">
        <f>Sosiometri!E12</f>
        <v>Koordinator</v>
      </c>
      <c r="F12">
        <f>Form_Responses1[[#This Row],[Column9]]</f>
        <v>5</v>
      </c>
      <c r="G12">
        <f>Form_Responses1[[#This Row],[Column10]]</f>
        <v>5</v>
      </c>
      <c r="H12">
        <f>Form_Responses1[[#This Row],[Column11]]</f>
        <v>5</v>
      </c>
      <c r="I12">
        <f>Form_Responses1[[#This Row],[Column12]]</f>
        <v>5</v>
      </c>
      <c r="J12">
        <f>Form_Responses1[[#This Row],[Column13]]</f>
        <v>5</v>
      </c>
      <c r="K12">
        <f>Form_Responses1[[#This Row],[Column14]]</f>
        <v>5</v>
      </c>
      <c r="L12">
        <f>Form_Responses1[[#This Row],[Column15]]</f>
        <v>5</v>
      </c>
      <c r="M12">
        <f>Form_Responses1[[#This Row],[Column16]]</f>
        <v>5</v>
      </c>
      <c r="N12">
        <f>Form_Responses1[[#This Row],[Column17]]</f>
        <v>5</v>
      </c>
      <c r="O12">
        <f>Form_Responses1[[#This Row],[Column18]]</f>
        <v>5</v>
      </c>
      <c r="P12">
        <f>Form_Responses1[[#This Row],[Column19]]</f>
        <v>5</v>
      </c>
      <c r="Q12">
        <f>Form_Responses1[[#This Row],[Column20]]</f>
        <v>5</v>
      </c>
      <c r="R12">
        <f>Form_Responses1[[#This Row],[Column21]]</f>
        <v>5</v>
      </c>
      <c r="S12">
        <f>Form_Responses1[[#This Row],[Column22]]</f>
        <v>5</v>
      </c>
      <c r="T12">
        <f>Form_Responses1[[#This Row],[Column23]]</f>
        <v>5</v>
      </c>
      <c r="U12">
        <f>Form_Responses1[[#This Row],[Column24]]</f>
        <v>5</v>
      </c>
      <c r="V12">
        <f>Form_Responses1[[#This Row],[Column25]]</f>
        <v>5</v>
      </c>
      <c r="W12">
        <f>Form_Responses1[[#This Row],[Column26]]</f>
        <v>5</v>
      </c>
      <c r="X12">
        <f>Form_Responses1[[#This Row],[Column27]]</f>
        <v>5</v>
      </c>
      <c r="Y12">
        <f>Form_Responses1[[#This Row],[Column28]]</f>
        <v>5</v>
      </c>
      <c r="Z12">
        <f t="shared" si="0"/>
        <v>100</v>
      </c>
      <c r="AA12">
        <f>AVERAGE('Karakteristik yang Dominan'!E13,'Kepemimpinan dalam Rumah Sakit'!E13,'Pengelolaan Pegawai'!E13,'Perekat Rumah Sakit'!E13,'Strategi yang Ditekankan'!E13,'Kriteria dari Kesuksesan'!E13)</f>
        <v>24.166666666666668</v>
      </c>
      <c r="AB12">
        <f>AVERAGE('Karakteristik yang Dominan'!F13,'Kepemimpinan dalam Rumah Sakit'!F13,'Pengelolaan Pegawai'!F13,'Perekat Rumah Sakit'!F13,'Strategi yang Ditekankan'!F13,'Kriteria dari Kesuksesan'!F13)</f>
        <v>25.833333333333332</v>
      </c>
      <c r="AC12">
        <f>AVERAGE('Karakteristik yang Dominan'!G13,'Kepemimpinan dalam Rumah Sakit'!G13,'Pengelolaan Pegawai'!G13,'Perekat Rumah Sakit'!G13,'Strategi yang Ditekankan'!G13,'Kriteria dari Kesuksesan'!G13)</f>
        <v>26.666666666666668</v>
      </c>
      <c r="AD12">
        <f>AVERAGE('Karakteristik yang Dominan'!H13,'Kepemimpinan dalam Rumah Sakit'!H13,'Pengelolaan Pegawai'!H13,'Perekat Rumah Sakit'!H13,'Strategi yang Ditekankan'!H13,'Kriteria dari Kesuksesan'!H13)</f>
        <v>23.333333333333332</v>
      </c>
      <c r="AE12" s="49">
        <v>5.0199999999999996</v>
      </c>
    </row>
    <row r="13" spans="1:31">
      <c r="A13" t="str">
        <f>Sosiometri!A13</f>
        <v>Perempuan</v>
      </c>
      <c r="B13" t="str">
        <f>Sosiometri!B13</f>
        <v>21-30 tahun</v>
      </c>
      <c r="C13" t="str">
        <f>Sosiometri!C13</f>
        <v>D3</v>
      </c>
      <c r="D13" t="str">
        <f>Sosiometri!D13</f>
        <v>1-3 tahun</v>
      </c>
      <c r="E13" t="str">
        <f>Sosiometri!E13</f>
        <v>Staf Pelaksana</v>
      </c>
      <c r="F13">
        <f>Form_Responses1[[#This Row],[Column9]]</f>
        <v>4</v>
      </c>
      <c r="G13">
        <f>Form_Responses1[[#This Row],[Column10]]</f>
        <v>4</v>
      </c>
      <c r="H13">
        <f>Form_Responses1[[#This Row],[Column11]]</f>
        <v>4</v>
      </c>
      <c r="I13">
        <f>Form_Responses1[[#This Row],[Column12]]</f>
        <v>5</v>
      </c>
      <c r="J13">
        <f>Form_Responses1[[#This Row],[Column13]]</f>
        <v>5</v>
      </c>
      <c r="K13">
        <f>Form_Responses1[[#This Row],[Column14]]</f>
        <v>4</v>
      </c>
      <c r="L13">
        <f>Form_Responses1[[#This Row],[Column15]]</f>
        <v>4</v>
      </c>
      <c r="M13">
        <f>Form_Responses1[[#This Row],[Column16]]</f>
        <v>4</v>
      </c>
      <c r="N13">
        <f>Form_Responses1[[#This Row],[Column17]]</f>
        <v>5</v>
      </c>
      <c r="O13">
        <f>Form_Responses1[[#This Row],[Column18]]</f>
        <v>5</v>
      </c>
      <c r="P13">
        <f>Form_Responses1[[#This Row],[Column19]]</f>
        <v>5</v>
      </c>
      <c r="Q13">
        <f>Form_Responses1[[#This Row],[Column20]]</f>
        <v>4</v>
      </c>
      <c r="R13">
        <f>Form_Responses1[[#This Row],[Column21]]</f>
        <v>5</v>
      </c>
      <c r="S13">
        <f>Form_Responses1[[#This Row],[Column22]]</f>
        <v>5</v>
      </c>
      <c r="T13">
        <f>Form_Responses1[[#This Row],[Column23]]</f>
        <v>4</v>
      </c>
      <c r="U13">
        <f>Form_Responses1[[#This Row],[Column24]]</f>
        <v>5</v>
      </c>
      <c r="V13">
        <f>Form_Responses1[[#This Row],[Column25]]</f>
        <v>4</v>
      </c>
      <c r="W13">
        <f>Form_Responses1[[#This Row],[Column26]]</f>
        <v>5</v>
      </c>
      <c r="X13">
        <f>Form_Responses1[[#This Row],[Column27]]</f>
        <v>5</v>
      </c>
      <c r="Y13">
        <f>Form_Responses1[[#This Row],[Column28]]</f>
        <v>5</v>
      </c>
      <c r="Z13">
        <f t="shared" si="0"/>
        <v>91</v>
      </c>
      <c r="AA13">
        <f>AVERAGE('Karakteristik yang Dominan'!E14,'Kepemimpinan dalam Rumah Sakit'!E14,'Pengelolaan Pegawai'!E14,'Perekat Rumah Sakit'!E14,'Strategi yang Ditekankan'!E14,'Kriteria dari Kesuksesan'!E14)</f>
        <v>25</v>
      </c>
      <c r="AB13">
        <f>AVERAGE('Karakteristik yang Dominan'!F14,'Kepemimpinan dalam Rumah Sakit'!F14,'Pengelolaan Pegawai'!F14,'Perekat Rumah Sakit'!F14,'Strategi yang Ditekankan'!F14,'Kriteria dari Kesuksesan'!F14)</f>
        <v>25</v>
      </c>
      <c r="AC13">
        <f>AVERAGE('Karakteristik yang Dominan'!G14,'Kepemimpinan dalam Rumah Sakit'!G14,'Pengelolaan Pegawai'!G14,'Perekat Rumah Sakit'!G14,'Strategi yang Ditekankan'!G14,'Kriteria dari Kesuksesan'!G14)</f>
        <v>25</v>
      </c>
      <c r="AD13">
        <f>AVERAGE('Karakteristik yang Dominan'!H14,'Kepemimpinan dalam Rumah Sakit'!H14,'Pengelolaan Pegawai'!H14,'Perekat Rumah Sakit'!H14,'Strategi yang Ditekankan'!H14,'Kriteria dari Kesuksesan'!H14)</f>
        <v>25</v>
      </c>
      <c r="AE13" s="48">
        <v>4.25</v>
      </c>
    </row>
    <row r="14" spans="1:31">
      <c r="A14" t="str">
        <f>Sosiometri!A14</f>
        <v>Laki-Laki</v>
      </c>
      <c r="B14" t="str">
        <f>Sosiometri!B14</f>
        <v>21-30 tahun</v>
      </c>
      <c r="C14" t="str">
        <f>Sosiometri!C14</f>
        <v>D3</v>
      </c>
      <c r="D14" t="str">
        <f>Sosiometri!D14</f>
        <v>1-3 tahun</v>
      </c>
      <c r="E14" t="str">
        <f>Sosiometri!E14</f>
        <v>Staf Pelaksana</v>
      </c>
      <c r="F14">
        <f>Form_Responses1[[#This Row],[Column9]]</f>
        <v>4</v>
      </c>
      <c r="G14">
        <f>Form_Responses1[[#This Row],[Column10]]</f>
        <v>5</v>
      </c>
      <c r="H14">
        <f>Form_Responses1[[#This Row],[Column11]]</f>
        <v>4</v>
      </c>
      <c r="I14">
        <f>Form_Responses1[[#This Row],[Column12]]</f>
        <v>5</v>
      </c>
      <c r="J14">
        <f>Form_Responses1[[#This Row],[Column13]]</f>
        <v>5</v>
      </c>
      <c r="K14">
        <f>Form_Responses1[[#This Row],[Column14]]</f>
        <v>5</v>
      </c>
      <c r="L14">
        <f>Form_Responses1[[#This Row],[Column15]]</f>
        <v>5</v>
      </c>
      <c r="M14">
        <f>Form_Responses1[[#This Row],[Column16]]</f>
        <v>4</v>
      </c>
      <c r="N14">
        <f>Form_Responses1[[#This Row],[Column17]]</f>
        <v>4</v>
      </c>
      <c r="O14">
        <f>Form_Responses1[[#This Row],[Column18]]</f>
        <v>4</v>
      </c>
      <c r="P14">
        <f>Form_Responses1[[#This Row],[Column19]]</f>
        <v>5</v>
      </c>
      <c r="Q14">
        <f>Form_Responses1[[#This Row],[Column20]]</f>
        <v>4</v>
      </c>
      <c r="R14">
        <f>Form_Responses1[[#This Row],[Column21]]</f>
        <v>5</v>
      </c>
      <c r="S14">
        <f>Form_Responses1[[#This Row],[Column22]]</f>
        <v>5</v>
      </c>
      <c r="T14">
        <f>Form_Responses1[[#This Row],[Column23]]</f>
        <v>5</v>
      </c>
      <c r="U14">
        <f>Form_Responses1[[#This Row],[Column24]]</f>
        <v>4</v>
      </c>
      <c r="V14">
        <f>Form_Responses1[[#This Row],[Column25]]</f>
        <v>4</v>
      </c>
      <c r="W14">
        <f>Form_Responses1[[#This Row],[Column26]]</f>
        <v>4</v>
      </c>
      <c r="X14">
        <f>Form_Responses1[[#This Row],[Column27]]</f>
        <v>4</v>
      </c>
      <c r="Y14">
        <f>Form_Responses1[[#This Row],[Column28]]</f>
        <v>4</v>
      </c>
      <c r="Z14">
        <f t="shared" si="0"/>
        <v>89</v>
      </c>
      <c r="AA14">
        <f>AVERAGE('Karakteristik yang Dominan'!E15,'Kepemimpinan dalam Rumah Sakit'!E15,'Pengelolaan Pegawai'!E15,'Perekat Rumah Sakit'!E15,'Strategi yang Ditekankan'!E15,'Kriteria dari Kesuksesan'!E15)</f>
        <v>25</v>
      </c>
      <c r="AB14">
        <f>AVERAGE('Karakteristik yang Dominan'!F15,'Kepemimpinan dalam Rumah Sakit'!F15,'Pengelolaan Pegawai'!F15,'Perekat Rumah Sakit'!F15,'Strategi yang Ditekankan'!F15,'Kriteria dari Kesuksesan'!F15)</f>
        <v>25</v>
      </c>
      <c r="AC14">
        <f>AVERAGE('Karakteristik yang Dominan'!G15,'Kepemimpinan dalam Rumah Sakit'!G15,'Pengelolaan Pegawai'!G15,'Perekat Rumah Sakit'!G15,'Strategi yang Ditekankan'!G15,'Kriteria dari Kesuksesan'!G15)</f>
        <v>25</v>
      </c>
      <c r="AD14">
        <f>AVERAGE('Karakteristik yang Dominan'!H15,'Kepemimpinan dalam Rumah Sakit'!H15,'Pengelolaan Pegawai'!H15,'Perekat Rumah Sakit'!H15,'Strategi yang Ditekankan'!H15,'Kriteria dari Kesuksesan'!H15)</f>
        <v>25</v>
      </c>
      <c r="AE14" s="49">
        <v>4.0599999999999996</v>
      </c>
    </row>
    <row r="15" spans="1:31">
      <c r="A15" t="str">
        <f>Sosiometri!A15</f>
        <v>Perempuan</v>
      </c>
      <c r="B15" t="str">
        <f>Sosiometri!B15</f>
        <v>21-30 tahun</v>
      </c>
      <c r="C15" t="str">
        <f>Sosiometri!C15</f>
        <v>D3</v>
      </c>
      <c r="D15" t="str">
        <f>Sosiometri!D15</f>
        <v>1-3 tahun</v>
      </c>
      <c r="E15" t="str">
        <f>Sosiometri!E15</f>
        <v>Staf Pelaksana</v>
      </c>
      <c r="F15">
        <f>Form_Responses1[[#This Row],[Column9]]</f>
        <v>3</v>
      </c>
      <c r="G15">
        <f>Form_Responses1[[#This Row],[Column10]]</f>
        <v>4</v>
      </c>
      <c r="H15">
        <f>Form_Responses1[[#This Row],[Column11]]</f>
        <v>4</v>
      </c>
      <c r="I15">
        <f>Form_Responses1[[#This Row],[Column12]]</f>
        <v>3</v>
      </c>
      <c r="J15">
        <f>Form_Responses1[[#This Row],[Column13]]</f>
        <v>2</v>
      </c>
      <c r="K15">
        <f>Form_Responses1[[#This Row],[Column14]]</f>
        <v>4</v>
      </c>
      <c r="L15">
        <f>Form_Responses1[[#This Row],[Column15]]</f>
        <v>4</v>
      </c>
      <c r="M15">
        <f>Form_Responses1[[#This Row],[Column16]]</f>
        <v>4</v>
      </c>
      <c r="N15">
        <f>Form_Responses1[[#This Row],[Column17]]</f>
        <v>2</v>
      </c>
      <c r="O15">
        <f>Form_Responses1[[#This Row],[Column18]]</f>
        <v>2</v>
      </c>
      <c r="P15">
        <f>Form_Responses1[[#This Row],[Column19]]</f>
        <v>3</v>
      </c>
      <c r="Q15">
        <f>Form_Responses1[[#This Row],[Column20]]</f>
        <v>2</v>
      </c>
      <c r="R15">
        <f>Form_Responses1[[#This Row],[Column21]]</f>
        <v>2</v>
      </c>
      <c r="S15">
        <f>Form_Responses1[[#This Row],[Column22]]</f>
        <v>2</v>
      </c>
      <c r="T15">
        <f>Form_Responses1[[#This Row],[Column23]]</f>
        <v>3</v>
      </c>
      <c r="U15">
        <f>Form_Responses1[[#This Row],[Column24]]</f>
        <v>3</v>
      </c>
      <c r="V15">
        <f>Form_Responses1[[#This Row],[Column25]]</f>
        <v>3</v>
      </c>
      <c r="W15">
        <f>Form_Responses1[[#This Row],[Column26]]</f>
        <v>4</v>
      </c>
      <c r="X15">
        <f>Form_Responses1[[#This Row],[Column27]]</f>
        <v>4</v>
      </c>
      <c r="Y15">
        <f>Form_Responses1[[#This Row],[Column28]]</f>
        <v>3</v>
      </c>
      <c r="Z15">
        <f t="shared" si="0"/>
        <v>61</v>
      </c>
      <c r="AA15">
        <f>AVERAGE('Karakteristik yang Dominan'!E16,'Kepemimpinan dalam Rumah Sakit'!E16,'Pengelolaan Pegawai'!E16,'Perekat Rumah Sakit'!E16,'Strategi yang Ditekankan'!E16,'Kriteria dari Kesuksesan'!E16)</f>
        <v>23.333333333333332</v>
      </c>
      <c r="AB15">
        <f>AVERAGE('Karakteristik yang Dominan'!F16,'Kepemimpinan dalam Rumah Sakit'!F16,'Pengelolaan Pegawai'!F16,'Perekat Rumah Sakit'!F16,'Strategi yang Ditekankan'!F16,'Kriteria dari Kesuksesan'!F16)</f>
        <v>28.333333333333332</v>
      </c>
      <c r="AC15">
        <f>AVERAGE('Karakteristik yang Dominan'!G16,'Kepemimpinan dalam Rumah Sakit'!G16,'Pengelolaan Pegawai'!G16,'Perekat Rumah Sakit'!G16,'Strategi yang Ditekankan'!G16,'Kriteria dari Kesuksesan'!G16)</f>
        <v>21.666666666666668</v>
      </c>
      <c r="AD15">
        <f>AVERAGE('Karakteristik yang Dominan'!H16,'Kepemimpinan dalam Rumah Sakit'!H16,'Pengelolaan Pegawai'!H16,'Perekat Rumah Sakit'!H16,'Strategi yang Ditekankan'!H16,'Kriteria dari Kesuksesan'!H16)</f>
        <v>26.666666666666668</v>
      </c>
      <c r="AE15" s="48">
        <v>4.01</v>
      </c>
    </row>
    <row r="16" spans="1:31">
      <c r="A16" t="str">
        <f>Sosiometri!A16</f>
        <v>Perempuan</v>
      </c>
      <c r="B16" t="str">
        <f>Sosiometri!B16</f>
        <v>31-40 tahun</v>
      </c>
      <c r="C16" t="str">
        <f>Sosiometri!C16</f>
        <v>S1</v>
      </c>
      <c r="D16" t="str">
        <f>Sosiometri!D16</f>
        <v>1-3 tahun</v>
      </c>
      <c r="E16" t="str">
        <f>Sosiometri!E16</f>
        <v>Staf Pelaksana</v>
      </c>
      <c r="F16">
        <f>Form_Responses1[[#This Row],[Column9]]</f>
        <v>5</v>
      </c>
      <c r="G16">
        <f>Form_Responses1[[#This Row],[Column10]]</f>
        <v>5</v>
      </c>
      <c r="H16">
        <f>Form_Responses1[[#This Row],[Column11]]</f>
        <v>5</v>
      </c>
      <c r="I16">
        <f>Form_Responses1[[#This Row],[Column12]]</f>
        <v>5</v>
      </c>
      <c r="J16">
        <f>Form_Responses1[[#This Row],[Column13]]</f>
        <v>5</v>
      </c>
      <c r="K16">
        <f>Form_Responses1[[#This Row],[Column14]]</f>
        <v>4</v>
      </c>
      <c r="L16">
        <f>Form_Responses1[[#This Row],[Column15]]</f>
        <v>5</v>
      </c>
      <c r="M16">
        <f>Form_Responses1[[#This Row],[Column16]]</f>
        <v>5</v>
      </c>
      <c r="N16">
        <f>Form_Responses1[[#This Row],[Column17]]</f>
        <v>5</v>
      </c>
      <c r="O16">
        <f>Form_Responses1[[#This Row],[Column18]]</f>
        <v>4</v>
      </c>
      <c r="P16">
        <f>Form_Responses1[[#This Row],[Column19]]</f>
        <v>4</v>
      </c>
      <c r="Q16">
        <f>Form_Responses1[[#This Row],[Column20]]</f>
        <v>4</v>
      </c>
      <c r="R16">
        <f>Form_Responses1[[#This Row],[Column21]]</f>
        <v>5</v>
      </c>
      <c r="S16">
        <f>Form_Responses1[[#This Row],[Column22]]</f>
        <v>5</v>
      </c>
      <c r="T16">
        <f>Form_Responses1[[#This Row],[Column23]]</f>
        <v>4</v>
      </c>
      <c r="U16">
        <f>Form_Responses1[[#This Row],[Column24]]</f>
        <v>4</v>
      </c>
      <c r="V16">
        <f>Form_Responses1[[#This Row],[Column25]]</f>
        <v>5</v>
      </c>
      <c r="W16">
        <f>Form_Responses1[[#This Row],[Column26]]</f>
        <v>5</v>
      </c>
      <c r="X16">
        <f>Form_Responses1[[#This Row],[Column27]]</f>
        <v>5</v>
      </c>
      <c r="Y16">
        <f>Form_Responses1[[#This Row],[Column28]]</f>
        <v>5</v>
      </c>
      <c r="Z16">
        <f t="shared" si="0"/>
        <v>94</v>
      </c>
      <c r="AA16">
        <f>AVERAGE('Karakteristik yang Dominan'!E17,'Kepemimpinan dalam Rumah Sakit'!E17,'Pengelolaan Pegawai'!E17,'Perekat Rumah Sakit'!E17,'Strategi yang Ditekankan'!E17,'Kriteria dari Kesuksesan'!E17)</f>
        <v>23.333333333333332</v>
      </c>
      <c r="AB16">
        <f>AVERAGE('Karakteristik yang Dominan'!F17,'Kepemimpinan dalam Rumah Sakit'!F17,'Pengelolaan Pegawai'!F17,'Perekat Rumah Sakit'!F17,'Strategi yang Ditekankan'!F17,'Kriteria dari Kesuksesan'!F17)</f>
        <v>30</v>
      </c>
      <c r="AC16">
        <f>AVERAGE('Karakteristik yang Dominan'!G17,'Kepemimpinan dalam Rumah Sakit'!G17,'Pengelolaan Pegawai'!G17,'Perekat Rumah Sakit'!G17,'Strategi yang Ditekankan'!G17,'Kriteria dari Kesuksesan'!G17)</f>
        <v>20</v>
      </c>
      <c r="AD16">
        <f>AVERAGE('Karakteristik yang Dominan'!H17,'Kepemimpinan dalam Rumah Sakit'!H17,'Pengelolaan Pegawai'!H17,'Perekat Rumah Sakit'!H17,'Strategi yang Ditekankan'!H17,'Kriteria dari Kesuksesan'!H17)</f>
        <v>26.666666666666668</v>
      </c>
      <c r="AE16" s="49">
        <v>4.21</v>
      </c>
    </row>
    <row r="17" spans="1:31">
      <c r="A17" t="str">
        <f>Sosiometri!A17</f>
        <v>Perempuan</v>
      </c>
      <c r="B17" t="str">
        <f>Sosiometri!B17</f>
        <v>31-40 tahun</v>
      </c>
      <c r="C17" t="str">
        <f>Sosiometri!C17</f>
        <v>S1</v>
      </c>
      <c r="D17" t="str">
        <f>Sosiometri!D17</f>
        <v>1-3 tahun</v>
      </c>
      <c r="E17" t="str">
        <f>Sosiometri!E17</f>
        <v>Staf Pelaksana</v>
      </c>
      <c r="F17">
        <f>Form_Responses1[[#This Row],[Column9]]</f>
        <v>2</v>
      </c>
      <c r="G17">
        <f>Form_Responses1[[#This Row],[Column10]]</f>
        <v>2</v>
      </c>
      <c r="H17">
        <f>Form_Responses1[[#This Row],[Column11]]</f>
        <v>2</v>
      </c>
      <c r="I17">
        <f>Form_Responses1[[#This Row],[Column12]]</f>
        <v>2</v>
      </c>
      <c r="J17">
        <f>Form_Responses1[[#This Row],[Column13]]</f>
        <v>2</v>
      </c>
      <c r="K17">
        <f>Form_Responses1[[#This Row],[Column14]]</f>
        <v>2</v>
      </c>
      <c r="L17">
        <f>Form_Responses1[[#This Row],[Column15]]</f>
        <v>3</v>
      </c>
      <c r="M17">
        <f>Form_Responses1[[#This Row],[Column16]]</f>
        <v>3</v>
      </c>
      <c r="N17">
        <f>Form_Responses1[[#This Row],[Column17]]</f>
        <v>3</v>
      </c>
      <c r="O17">
        <f>Form_Responses1[[#This Row],[Column18]]</f>
        <v>2</v>
      </c>
      <c r="P17">
        <f>Form_Responses1[[#This Row],[Column19]]</f>
        <v>3</v>
      </c>
      <c r="Q17">
        <f>Form_Responses1[[#This Row],[Column20]]</f>
        <v>2</v>
      </c>
      <c r="R17">
        <f>Form_Responses1[[#This Row],[Column21]]</f>
        <v>2</v>
      </c>
      <c r="S17">
        <f>Form_Responses1[[#This Row],[Column22]]</f>
        <v>3</v>
      </c>
      <c r="T17">
        <f>Form_Responses1[[#This Row],[Column23]]</f>
        <v>2</v>
      </c>
      <c r="U17">
        <f>Form_Responses1[[#This Row],[Column24]]</f>
        <v>2</v>
      </c>
      <c r="V17">
        <f>Form_Responses1[[#This Row],[Column25]]</f>
        <v>2</v>
      </c>
      <c r="W17">
        <f>Form_Responses1[[#This Row],[Column26]]</f>
        <v>2</v>
      </c>
      <c r="X17">
        <f>Form_Responses1[[#This Row],[Column27]]</f>
        <v>2</v>
      </c>
      <c r="Y17">
        <f>Form_Responses1[[#This Row],[Column28]]</f>
        <v>2</v>
      </c>
      <c r="Z17">
        <f t="shared" si="0"/>
        <v>45</v>
      </c>
      <c r="AA17">
        <f>AVERAGE('Karakteristik yang Dominan'!E18,'Kepemimpinan dalam Rumah Sakit'!E18,'Pengelolaan Pegawai'!E18,'Perekat Rumah Sakit'!E18,'Strategi yang Ditekankan'!E18,'Kriteria dari Kesuksesan'!E18)</f>
        <v>23.333333333333332</v>
      </c>
      <c r="AB17">
        <f>AVERAGE('Karakteristik yang Dominan'!F18,'Kepemimpinan dalam Rumah Sakit'!F18,'Pengelolaan Pegawai'!F18,'Perekat Rumah Sakit'!F18,'Strategi yang Ditekankan'!F18,'Kriteria dari Kesuksesan'!F18)</f>
        <v>23.333333333333332</v>
      </c>
      <c r="AC17">
        <f>AVERAGE('Karakteristik yang Dominan'!G18,'Kepemimpinan dalam Rumah Sakit'!G18,'Pengelolaan Pegawai'!G18,'Perekat Rumah Sakit'!G18,'Strategi yang Ditekankan'!G18,'Kriteria dari Kesuksesan'!G18)</f>
        <v>26.666666666666668</v>
      </c>
      <c r="AD17">
        <f>AVERAGE('Karakteristik yang Dominan'!H18,'Kepemimpinan dalam Rumah Sakit'!H18,'Pengelolaan Pegawai'!H18,'Perekat Rumah Sakit'!H18,'Strategi yang Ditekankan'!H18,'Kriteria dari Kesuksesan'!H18)</f>
        <v>26.666666666666668</v>
      </c>
      <c r="AE17" s="48">
        <v>3.88</v>
      </c>
    </row>
    <row r="18" spans="1:31">
      <c r="A18" t="str">
        <f>Sosiometri!A18</f>
        <v>Perempuan</v>
      </c>
      <c r="B18" t="str">
        <f>Sosiometri!B18</f>
        <v>21-30 tahun</v>
      </c>
      <c r="C18" t="str">
        <f>Sosiometri!C18</f>
        <v>S1</v>
      </c>
      <c r="D18" t="str">
        <f>Sosiometri!D18</f>
        <v>1-3 tahun</v>
      </c>
      <c r="E18" t="str">
        <f>Sosiometri!E18</f>
        <v>Staf Pelaksana</v>
      </c>
      <c r="F18">
        <f>Form_Responses1[[#This Row],[Column9]]</f>
        <v>4</v>
      </c>
      <c r="G18">
        <f>Form_Responses1[[#This Row],[Column10]]</f>
        <v>2</v>
      </c>
      <c r="H18">
        <f>Form_Responses1[[#This Row],[Column11]]</f>
        <v>3</v>
      </c>
      <c r="I18">
        <f>Form_Responses1[[#This Row],[Column12]]</f>
        <v>2</v>
      </c>
      <c r="J18">
        <f>Form_Responses1[[#This Row],[Column13]]</f>
        <v>3</v>
      </c>
      <c r="K18">
        <f>Form_Responses1[[#This Row],[Column14]]</f>
        <v>2</v>
      </c>
      <c r="L18">
        <f>Form_Responses1[[#This Row],[Column15]]</f>
        <v>3</v>
      </c>
      <c r="M18">
        <f>Form_Responses1[[#This Row],[Column16]]</f>
        <v>2</v>
      </c>
      <c r="N18">
        <f>Form_Responses1[[#This Row],[Column17]]</f>
        <v>3</v>
      </c>
      <c r="O18">
        <f>Form_Responses1[[#This Row],[Column18]]</f>
        <v>3</v>
      </c>
      <c r="P18">
        <f>Form_Responses1[[#This Row],[Column19]]</f>
        <v>4</v>
      </c>
      <c r="Q18">
        <f>Form_Responses1[[#This Row],[Column20]]</f>
        <v>2</v>
      </c>
      <c r="R18">
        <f>Form_Responses1[[#This Row],[Column21]]</f>
        <v>3</v>
      </c>
      <c r="S18">
        <f>Form_Responses1[[#This Row],[Column22]]</f>
        <v>2</v>
      </c>
      <c r="T18">
        <f>Form_Responses1[[#This Row],[Column23]]</f>
        <v>4</v>
      </c>
      <c r="U18">
        <f>Form_Responses1[[#This Row],[Column24]]</f>
        <v>2</v>
      </c>
      <c r="V18">
        <f>Form_Responses1[[#This Row],[Column25]]</f>
        <v>2</v>
      </c>
      <c r="W18">
        <f>Form_Responses1[[#This Row],[Column26]]</f>
        <v>3</v>
      </c>
      <c r="X18">
        <f>Form_Responses1[[#This Row],[Column27]]</f>
        <v>4</v>
      </c>
      <c r="Y18">
        <f>Form_Responses1[[#This Row],[Column28]]</f>
        <v>4</v>
      </c>
      <c r="Z18">
        <f t="shared" si="0"/>
        <v>57</v>
      </c>
      <c r="AA18">
        <f>AVERAGE('Karakteristik yang Dominan'!E19,'Kepemimpinan dalam Rumah Sakit'!E19,'Pengelolaan Pegawai'!E19,'Perekat Rumah Sakit'!E19,'Strategi yang Ditekankan'!E19,'Kriteria dari Kesuksesan'!E19)</f>
        <v>20</v>
      </c>
      <c r="AB18">
        <f>AVERAGE('Karakteristik yang Dominan'!F19,'Kepemimpinan dalam Rumah Sakit'!F19,'Pengelolaan Pegawai'!F19,'Perekat Rumah Sakit'!F19,'Strategi yang Ditekankan'!F19,'Kriteria dari Kesuksesan'!F19)</f>
        <v>18.333333333333332</v>
      </c>
      <c r="AC18">
        <f>AVERAGE('Karakteristik yang Dominan'!G19,'Kepemimpinan dalam Rumah Sakit'!G19,'Pengelolaan Pegawai'!G19,'Perekat Rumah Sakit'!G19,'Strategi yang Ditekankan'!G19,'Kriteria dari Kesuksesan'!G19)</f>
        <v>21.666666666666668</v>
      </c>
      <c r="AD18">
        <f>AVERAGE('Karakteristik yang Dominan'!H19,'Kepemimpinan dalam Rumah Sakit'!H19,'Pengelolaan Pegawai'!H19,'Perekat Rumah Sakit'!H19,'Strategi yang Ditekankan'!H19,'Kriteria dari Kesuksesan'!H19)</f>
        <v>40</v>
      </c>
      <c r="AE18" s="49">
        <v>4.1100000000000003</v>
      </c>
    </row>
    <row r="19" spans="1:31">
      <c r="A19" t="str">
        <f>Sosiometri!A19</f>
        <v>Perempuan</v>
      </c>
      <c r="B19" t="str">
        <f>Sosiometri!B19</f>
        <v>41-50 tahun</v>
      </c>
      <c r="C19" t="str">
        <f>Sosiometri!C19</f>
        <v>SMA/SMK/SPK</v>
      </c>
      <c r="D19" t="str">
        <f>Sosiometri!D19</f>
        <v>&gt; 5 tahun</v>
      </c>
      <c r="E19" t="str">
        <f>Sosiometri!E19</f>
        <v>Staf Pelaksana</v>
      </c>
      <c r="F19">
        <f>Form_Responses1[[#This Row],[Column9]]</f>
        <v>3</v>
      </c>
      <c r="G19">
        <f>Form_Responses1[[#This Row],[Column10]]</f>
        <v>3</v>
      </c>
      <c r="H19">
        <f>Form_Responses1[[#This Row],[Column11]]</f>
        <v>4</v>
      </c>
      <c r="I19">
        <f>Form_Responses1[[#This Row],[Column12]]</f>
        <v>3</v>
      </c>
      <c r="J19">
        <f>Form_Responses1[[#This Row],[Column13]]</f>
        <v>3</v>
      </c>
      <c r="K19">
        <f>Form_Responses1[[#This Row],[Column14]]</f>
        <v>3</v>
      </c>
      <c r="L19">
        <f>Form_Responses1[[#This Row],[Column15]]</f>
        <v>3</v>
      </c>
      <c r="M19">
        <f>Form_Responses1[[#This Row],[Column16]]</f>
        <v>3</v>
      </c>
      <c r="N19">
        <f>Form_Responses1[[#This Row],[Column17]]</f>
        <v>3</v>
      </c>
      <c r="O19">
        <f>Form_Responses1[[#This Row],[Column18]]</f>
        <v>3</v>
      </c>
      <c r="P19">
        <f>Form_Responses1[[#This Row],[Column19]]</f>
        <v>3</v>
      </c>
      <c r="Q19">
        <f>Form_Responses1[[#This Row],[Column20]]</f>
        <v>3</v>
      </c>
      <c r="R19">
        <f>Form_Responses1[[#This Row],[Column21]]</f>
        <v>3</v>
      </c>
      <c r="S19">
        <f>Form_Responses1[[#This Row],[Column22]]</f>
        <v>3</v>
      </c>
      <c r="T19">
        <f>Form_Responses1[[#This Row],[Column23]]</f>
        <v>3</v>
      </c>
      <c r="U19">
        <f>Form_Responses1[[#This Row],[Column24]]</f>
        <v>3</v>
      </c>
      <c r="V19">
        <f>Form_Responses1[[#This Row],[Column25]]</f>
        <v>4</v>
      </c>
      <c r="W19">
        <f>Form_Responses1[[#This Row],[Column26]]</f>
        <v>4</v>
      </c>
      <c r="X19">
        <f>Form_Responses1[[#This Row],[Column27]]</f>
        <v>4</v>
      </c>
      <c r="Y19">
        <f>Form_Responses1[[#This Row],[Column28]]</f>
        <v>3</v>
      </c>
      <c r="Z19">
        <f t="shared" si="0"/>
        <v>64</v>
      </c>
      <c r="AA19">
        <f>AVERAGE('Karakteristik yang Dominan'!E20,'Kepemimpinan dalam Rumah Sakit'!E20,'Pengelolaan Pegawai'!E20,'Perekat Rumah Sakit'!E20,'Strategi yang Ditekankan'!E20,'Kriteria dari Kesuksesan'!E20)</f>
        <v>15.833333333333334</v>
      </c>
      <c r="AB19">
        <f>AVERAGE('Karakteristik yang Dominan'!F20,'Kepemimpinan dalam Rumah Sakit'!F20,'Pengelolaan Pegawai'!F20,'Perekat Rumah Sakit'!F20,'Strategi yang Ditekankan'!F20,'Kriteria dari Kesuksesan'!F20)</f>
        <v>29.166666666666668</v>
      </c>
      <c r="AC19">
        <f>AVERAGE('Karakteristik yang Dominan'!G20,'Kepemimpinan dalam Rumah Sakit'!G20,'Pengelolaan Pegawai'!G20,'Perekat Rumah Sakit'!G20,'Strategi yang Ditekankan'!G20,'Kriteria dari Kesuksesan'!G20)</f>
        <v>24.166666666666668</v>
      </c>
      <c r="AD19">
        <f>AVERAGE('Karakteristik yang Dominan'!H20,'Kepemimpinan dalam Rumah Sakit'!H20,'Pengelolaan Pegawai'!H20,'Perekat Rumah Sakit'!H20,'Strategi yang Ditekankan'!H20,'Kriteria dari Kesuksesan'!H20)</f>
        <v>30.833333333333332</v>
      </c>
      <c r="AE19" s="48">
        <v>4.07</v>
      </c>
    </row>
    <row r="20" spans="1:31">
      <c r="A20" t="str">
        <f>Sosiometri!A20</f>
        <v>Perempuan</v>
      </c>
      <c r="B20" t="str">
        <f>Sosiometri!B20</f>
        <v>41-50 tahun</v>
      </c>
      <c r="C20" t="str">
        <f>Sosiometri!C20</f>
        <v>D3</v>
      </c>
      <c r="D20" t="str">
        <f>Sosiometri!D20</f>
        <v>&gt; 5 tahun</v>
      </c>
      <c r="E20" t="str">
        <f>Sosiometri!E20</f>
        <v>Staf Pelaksana</v>
      </c>
      <c r="F20">
        <f>Form_Responses1[[#This Row],[Column9]]</f>
        <v>2</v>
      </c>
      <c r="G20">
        <f>Form_Responses1[[#This Row],[Column10]]</f>
        <v>3</v>
      </c>
      <c r="H20">
        <f>Form_Responses1[[#This Row],[Column11]]</f>
        <v>2</v>
      </c>
      <c r="I20">
        <f>Form_Responses1[[#This Row],[Column12]]</f>
        <v>3</v>
      </c>
      <c r="J20">
        <f>Form_Responses1[[#This Row],[Column13]]</f>
        <v>3</v>
      </c>
      <c r="K20">
        <f>Form_Responses1[[#This Row],[Column14]]</f>
        <v>3</v>
      </c>
      <c r="L20">
        <f>Form_Responses1[[#This Row],[Column15]]</f>
        <v>3</v>
      </c>
      <c r="M20">
        <f>Form_Responses1[[#This Row],[Column16]]</f>
        <v>3</v>
      </c>
      <c r="N20">
        <f>Form_Responses1[[#This Row],[Column17]]</f>
        <v>2</v>
      </c>
      <c r="O20">
        <f>Form_Responses1[[#This Row],[Column18]]</f>
        <v>2</v>
      </c>
      <c r="P20">
        <f>Form_Responses1[[#This Row],[Column19]]</f>
        <v>3</v>
      </c>
      <c r="Q20">
        <f>Form_Responses1[[#This Row],[Column20]]</f>
        <v>3</v>
      </c>
      <c r="R20">
        <f>Form_Responses1[[#This Row],[Column21]]</f>
        <v>3</v>
      </c>
      <c r="S20">
        <f>Form_Responses1[[#This Row],[Column22]]</f>
        <v>3</v>
      </c>
      <c r="T20">
        <f>Form_Responses1[[#This Row],[Column23]]</f>
        <v>3</v>
      </c>
      <c r="U20">
        <f>Form_Responses1[[#This Row],[Column24]]</f>
        <v>2</v>
      </c>
      <c r="V20">
        <f>Form_Responses1[[#This Row],[Column25]]</f>
        <v>2</v>
      </c>
      <c r="W20">
        <f>Form_Responses1[[#This Row],[Column26]]</f>
        <v>2</v>
      </c>
      <c r="X20">
        <f>Form_Responses1[[#This Row],[Column27]]</f>
        <v>3</v>
      </c>
      <c r="Y20">
        <f>Form_Responses1[[#This Row],[Column28]]</f>
        <v>3</v>
      </c>
      <c r="Z20">
        <f t="shared" si="0"/>
        <v>53</v>
      </c>
      <c r="AA20">
        <f>AVERAGE('Karakteristik yang Dominan'!E21,'Kepemimpinan dalam Rumah Sakit'!E21,'Pengelolaan Pegawai'!E21,'Perekat Rumah Sakit'!E21,'Strategi yang Ditekankan'!E21,'Kriteria dari Kesuksesan'!E21)</f>
        <v>25</v>
      </c>
      <c r="AB20">
        <f>AVERAGE('Karakteristik yang Dominan'!F21,'Kepemimpinan dalam Rumah Sakit'!F21,'Pengelolaan Pegawai'!F21,'Perekat Rumah Sakit'!F21,'Strategi yang Ditekankan'!F21,'Kriteria dari Kesuksesan'!F21)</f>
        <v>28.333333333333332</v>
      </c>
      <c r="AC20">
        <f>AVERAGE('Karakteristik yang Dominan'!G21,'Kepemimpinan dalam Rumah Sakit'!G21,'Pengelolaan Pegawai'!G21,'Perekat Rumah Sakit'!G21,'Strategi yang Ditekankan'!G21,'Kriteria dari Kesuksesan'!G21)</f>
        <v>21.666666666666668</v>
      </c>
      <c r="AD20">
        <f>AVERAGE('Karakteristik yang Dominan'!H21,'Kepemimpinan dalam Rumah Sakit'!H21,'Pengelolaan Pegawai'!H21,'Perekat Rumah Sakit'!H21,'Strategi yang Ditekankan'!H21,'Kriteria dari Kesuksesan'!H21)</f>
        <v>25</v>
      </c>
      <c r="AE20" s="49">
        <v>3.88</v>
      </c>
    </row>
    <row r="21" spans="1:31">
      <c r="A21" t="str">
        <f>Sosiometri!A21</f>
        <v>Laki-Laki</v>
      </c>
      <c r="B21" t="str">
        <f>Sosiometri!B21</f>
        <v>21-30 tahun</v>
      </c>
      <c r="C21" t="str">
        <f>Sosiometri!C21</f>
        <v>S1</v>
      </c>
      <c r="D21" t="str">
        <f>Sosiometri!D21</f>
        <v>&lt;1 tahun</v>
      </c>
      <c r="E21" t="str">
        <f>Sosiometri!E21</f>
        <v>Staf Pelaksana</v>
      </c>
      <c r="F21">
        <f>Form_Responses1[[#This Row],[Column9]]</f>
        <v>3</v>
      </c>
      <c r="G21">
        <f>Form_Responses1[[#This Row],[Column10]]</f>
        <v>3</v>
      </c>
      <c r="H21">
        <f>Form_Responses1[[#This Row],[Column11]]</f>
        <v>3</v>
      </c>
      <c r="I21">
        <f>Form_Responses1[[#This Row],[Column12]]</f>
        <v>3</v>
      </c>
      <c r="J21">
        <f>Form_Responses1[[#This Row],[Column13]]</f>
        <v>3</v>
      </c>
      <c r="K21">
        <f>Form_Responses1[[#This Row],[Column14]]</f>
        <v>3</v>
      </c>
      <c r="L21">
        <f>Form_Responses1[[#This Row],[Column15]]</f>
        <v>3</v>
      </c>
      <c r="M21">
        <f>Form_Responses1[[#This Row],[Column16]]</f>
        <v>3</v>
      </c>
      <c r="N21">
        <f>Form_Responses1[[#This Row],[Column17]]</f>
        <v>3</v>
      </c>
      <c r="O21">
        <f>Form_Responses1[[#This Row],[Column18]]</f>
        <v>3</v>
      </c>
      <c r="P21">
        <f>Form_Responses1[[#This Row],[Column19]]</f>
        <v>3</v>
      </c>
      <c r="Q21">
        <f>Form_Responses1[[#This Row],[Column20]]</f>
        <v>3</v>
      </c>
      <c r="R21">
        <f>Form_Responses1[[#This Row],[Column21]]</f>
        <v>3</v>
      </c>
      <c r="S21">
        <f>Form_Responses1[[#This Row],[Column22]]</f>
        <v>3</v>
      </c>
      <c r="T21">
        <f>Form_Responses1[[#This Row],[Column23]]</f>
        <v>3</v>
      </c>
      <c r="U21">
        <f>Form_Responses1[[#This Row],[Column24]]</f>
        <v>3</v>
      </c>
      <c r="V21">
        <f>Form_Responses1[[#This Row],[Column25]]</f>
        <v>3</v>
      </c>
      <c r="W21">
        <f>Form_Responses1[[#This Row],[Column26]]</f>
        <v>3</v>
      </c>
      <c r="X21">
        <f>Form_Responses1[[#This Row],[Column27]]</f>
        <v>3</v>
      </c>
      <c r="Y21">
        <f>Form_Responses1[[#This Row],[Column28]]</f>
        <v>3</v>
      </c>
      <c r="Z21">
        <f t="shared" si="0"/>
        <v>60</v>
      </c>
      <c r="AA21">
        <f>AVERAGE('Karakteristik yang Dominan'!E22,'Kepemimpinan dalam Rumah Sakit'!E22,'Pengelolaan Pegawai'!E22,'Perekat Rumah Sakit'!E22,'Strategi yang Ditekankan'!E22,'Kriteria dari Kesuksesan'!E22)</f>
        <v>25</v>
      </c>
      <c r="AB21">
        <f>AVERAGE('Karakteristik yang Dominan'!F22,'Kepemimpinan dalam Rumah Sakit'!F22,'Pengelolaan Pegawai'!F22,'Perekat Rumah Sakit'!F22,'Strategi yang Ditekankan'!F22,'Kriteria dari Kesuksesan'!F22)</f>
        <v>25</v>
      </c>
      <c r="AC21">
        <f>AVERAGE('Karakteristik yang Dominan'!G22,'Kepemimpinan dalam Rumah Sakit'!G22,'Pengelolaan Pegawai'!G22,'Perekat Rumah Sakit'!G22,'Strategi yang Ditekankan'!G22,'Kriteria dari Kesuksesan'!G22)</f>
        <v>25</v>
      </c>
      <c r="AD21">
        <f>AVERAGE('Karakteristik yang Dominan'!H22,'Kepemimpinan dalam Rumah Sakit'!H22,'Pengelolaan Pegawai'!H22,'Perekat Rumah Sakit'!H22,'Strategi yang Ditekankan'!H22,'Kriteria dari Kesuksesan'!H22)</f>
        <v>25</v>
      </c>
      <c r="AE21" s="48">
        <v>4.1500000000000004</v>
      </c>
    </row>
    <row r="22" spans="1:31">
      <c r="A22" t="str">
        <f>Sosiometri!A22</f>
        <v>Perempuan</v>
      </c>
      <c r="B22" t="str">
        <f>Sosiometri!B22</f>
        <v>31-40 tahun</v>
      </c>
      <c r="C22" t="str">
        <f>Sosiometri!C22</f>
        <v>SMA/SMK/SPK</v>
      </c>
      <c r="D22" t="str">
        <f>Sosiometri!D22</f>
        <v>1-3 tahun</v>
      </c>
      <c r="E22" t="str">
        <f>Sosiometri!E22</f>
        <v>Koordinator</v>
      </c>
      <c r="F22">
        <f>Form_Responses1[[#This Row],[Column9]]</f>
        <v>4</v>
      </c>
      <c r="G22">
        <f>Form_Responses1[[#This Row],[Column10]]</f>
        <v>4</v>
      </c>
      <c r="H22">
        <f>Form_Responses1[[#This Row],[Column11]]</f>
        <v>4</v>
      </c>
      <c r="I22">
        <f>Form_Responses1[[#This Row],[Column12]]</f>
        <v>4</v>
      </c>
      <c r="J22">
        <f>Form_Responses1[[#This Row],[Column13]]</f>
        <v>4</v>
      </c>
      <c r="K22">
        <f>Form_Responses1[[#This Row],[Column14]]</f>
        <v>4</v>
      </c>
      <c r="L22">
        <f>Form_Responses1[[#This Row],[Column15]]</f>
        <v>4</v>
      </c>
      <c r="M22">
        <f>Form_Responses1[[#This Row],[Column16]]</f>
        <v>5</v>
      </c>
      <c r="N22">
        <f>Form_Responses1[[#This Row],[Column17]]</f>
        <v>5</v>
      </c>
      <c r="O22">
        <f>Form_Responses1[[#This Row],[Column18]]</f>
        <v>4</v>
      </c>
      <c r="P22">
        <f>Form_Responses1[[#This Row],[Column19]]</f>
        <v>4</v>
      </c>
      <c r="Q22">
        <f>Form_Responses1[[#This Row],[Column20]]</f>
        <v>4</v>
      </c>
      <c r="R22">
        <f>Form_Responses1[[#This Row],[Column21]]</f>
        <v>4</v>
      </c>
      <c r="S22">
        <f>Form_Responses1[[#This Row],[Column22]]</f>
        <v>4</v>
      </c>
      <c r="T22">
        <f>Form_Responses1[[#This Row],[Column23]]</f>
        <v>5</v>
      </c>
      <c r="U22">
        <f>Form_Responses1[[#This Row],[Column24]]</f>
        <v>4</v>
      </c>
      <c r="V22">
        <f>Form_Responses1[[#This Row],[Column25]]</f>
        <v>5</v>
      </c>
      <c r="W22">
        <f>Form_Responses1[[#This Row],[Column26]]</f>
        <v>4</v>
      </c>
      <c r="X22">
        <f>Form_Responses1[[#This Row],[Column27]]</f>
        <v>5</v>
      </c>
      <c r="Y22">
        <f>Form_Responses1[[#This Row],[Column28]]</f>
        <v>5</v>
      </c>
      <c r="Z22">
        <f t="shared" si="0"/>
        <v>86</v>
      </c>
      <c r="AA22">
        <f>AVERAGE('Karakteristik yang Dominan'!E23,'Kepemimpinan dalam Rumah Sakit'!E23,'Pengelolaan Pegawai'!E23,'Perekat Rumah Sakit'!E23,'Strategi yang Ditekankan'!E23,'Kriteria dari Kesuksesan'!E23)</f>
        <v>33.333333333333336</v>
      </c>
      <c r="AB22">
        <f>AVERAGE('Karakteristik yang Dominan'!F23,'Kepemimpinan dalam Rumah Sakit'!F23,'Pengelolaan Pegawai'!F23,'Perekat Rumah Sakit'!F23,'Strategi yang Ditekankan'!F23,'Kriteria dari Kesuksesan'!F23)</f>
        <v>18.333333333333332</v>
      </c>
      <c r="AC22">
        <f>AVERAGE('Karakteristik yang Dominan'!G23,'Kepemimpinan dalam Rumah Sakit'!G23,'Pengelolaan Pegawai'!G23,'Perekat Rumah Sakit'!G23,'Strategi yang Ditekankan'!G23,'Kriteria dari Kesuksesan'!G23)</f>
        <v>18.333333333333332</v>
      </c>
      <c r="AD22">
        <f>AVERAGE('Karakteristik yang Dominan'!H23,'Kepemimpinan dalam Rumah Sakit'!H23,'Pengelolaan Pegawai'!H23,'Perekat Rumah Sakit'!H23,'Strategi yang Ditekankan'!H23,'Kriteria dari Kesuksesan'!H23)</f>
        <v>30</v>
      </c>
      <c r="AE22" s="49">
        <v>4.71</v>
      </c>
    </row>
    <row r="23" spans="1:31">
      <c r="A23" t="str">
        <f>Sosiometri!A23</f>
        <v>Perempuan</v>
      </c>
      <c r="B23" t="str">
        <f>Sosiometri!B23</f>
        <v>21-30 tahun</v>
      </c>
      <c r="C23" t="str">
        <f>Sosiometri!C23</f>
        <v>S1</v>
      </c>
      <c r="D23" t="str">
        <f>Sosiometri!D23</f>
        <v>1-3 tahun</v>
      </c>
      <c r="E23" t="str">
        <f>Sosiometri!E23</f>
        <v>Staf Pelaksana</v>
      </c>
      <c r="F23">
        <f>Form_Responses1[[#This Row],[Column9]]</f>
        <v>4</v>
      </c>
      <c r="G23">
        <f>Form_Responses1[[#This Row],[Column10]]</f>
        <v>4</v>
      </c>
      <c r="H23">
        <f>Form_Responses1[[#This Row],[Column11]]</f>
        <v>3</v>
      </c>
      <c r="I23">
        <f>Form_Responses1[[#This Row],[Column12]]</f>
        <v>3</v>
      </c>
      <c r="J23">
        <f>Form_Responses1[[#This Row],[Column13]]</f>
        <v>3</v>
      </c>
      <c r="K23">
        <f>Form_Responses1[[#This Row],[Column14]]</f>
        <v>4</v>
      </c>
      <c r="L23">
        <f>Form_Responses1[[#This Row],[Column15]]</f>
        <v>5</v>
      </c>
      <c r="M23">
        <f>Form_Responses1[[#This Row],[Column16]]</f>
        <v>5</v>
      </c>
      <c r="N23">
        <f>Form_Responses1[[#This Row],[Column17]]</f>
        <v>4</v>
      </c>
      <c r="O23">
        <f>Form_Responses1[[#This Row],[Column18]]</f>
        <v>4</v>
      </c>
      <c r="P23">
        <f>Form_Responses1[[#This Row],[Column19]]</f>
        <v>4</v>
      </c>
      <c r="Q23">
        <f>Form_Responses1[[#This Row],[Column20]]</f>
        <v>3</v>
      </c>
      <c r="R23">
        <f>Form_Responses1[[#This Row],[Column21]]</f>
        <v>3</v>
      </c>
      <c r="S23">
        <f>Form_Responses1[[#This Row],[Column22]]</f>
        <v>3</v>
      </c>
      <c r="T23">
        <f>Form_Responses1[[#This Row],[Column23]]</f>
        <v>2</v>
      </c>
      <c r="U23">
        <f>Form_Responses1[[#This Row],[Column24]]</f>
        <v>2</v>
      </c>
      <c r="V23">
        <f>Form_Responses1[[#This Row],[Column25]]</f>
        <v>3</v>
      </c>
      <c r="W23">
        <f>Form_Responses1[[#This Row],[Column26]]</f>
        <v>3</v>
      </c>
      <c r="X23">
        <f>Form_Responses1[[#This Row],[Column27]]</f>
        <v>4</v>
      </c>
      <c r="Y23">
        <f>Form_Responses1[[#This Row],[Column28]]</f>
        <v>4</v>
      </c>
      <c r="Z23">
        <f t="shared" si="0"/>
        <v>70</v>
      </c>
      <c r="AA23">
        <f>AVERAGE('Karakteristik yang Dominan'!E24,'Kepemimpinan dalam Rumah Sakit'!E24,'Pengelolaan Pegawai'!E24,'Perekat Rumah Sakit'!E24,'Strategi yang Ditekankan'!E24,'Kriteria dari Kesuksesan'!E24)</f>
        <v>11.666666666666666</v>
      </c>
      <c r="AB23">
        <f>AVERAGE('Karakteristik yang Dominan'!F24,'Kepemimpinan dalam Rumah Sakit'!F24,'Pengelolaan Pegawai'!F24,'Perekat Rumah Sakit'!F24,'Strategi yang Ditekankan'!F24,'Kriteria dari Kesuksesan'!F24)</f>
        <v>16.666666666666668</v>
      </c>
      <c r="AC23">
        <f>AVERAGE('Karakteristik yang Dominan'!G24,'Kepemimpinan dalam Rumah Sakit'!G24,'Pengelolaan Pegawai'!G24,'Perekat Rumah Sakit'!G24,'Strategi yang Ditekankan'!G24,'Kriteria dari Kesuksesan'!G24)</f>
        <v>40</v>
      </c>
      <c r="AD23">
        <f>AVERAGE('Karakteristik yang Dominan'!H24,'Kepemimpinan dalam Rumah Sakit'!H24,'Pengelolaan Pegawai'!H24,'Perekat Rumah Sakit'!H24,'Strategi yang Ditekankan'!H24,'Kriteria dari Kesuksesan'!H24)</f>
        <v>31.666666666666668</v>
      </c>
      <c r="AE23" s="48">
        <v>4.17</v>
      </c>
    </row>
    <row r="24" spans="1:31">
      <c r="A24" t="str">
        <f>Sosiometri!A24</f>
        <v>Perempuan</v>
      </c>
      <c r="B24" t="str">
        <f>Sosiometri!B24</f>
        <v>31-40 tahun</v>
      </c>
      <c r="C24" t="str">
        <f>Sosiometri!C24</f>
        <v>SMA/SMK/SPK</v>
      </c>
      <c r="D24" t="str">
        <f>Sosiometri!D24</f>
        <v>&gt; 5 tahun</v>
      </c>
      <c r="E24" t="str">
        <f>Sosiometri!E24</f>
        <v>Staf Pelaksana</v>
      </c>
      <c r="F24">
        <f>Form_Responses1[[#This Row],[Column9]]</f>
        <v>4</v>
      </c>
      <c r="G24">
        <f>Form_Responses1[[#This Row],[Column10]]</f>
        <v>4</v>
      </c>
      <c r="H24">
        <f>Form_Responses1[[#This Row],[Column11]]</f>
        <v>4</v>
      </c>
      <c r="I24">
        <f>Form_Responses1[[#This Row],[Column12]]</f>
        <v>4</v>
      </c>
      <c r="J24">
        <f>Form_Responses1[[#This Row],[Column13]]</f>
        <v>4</v>
      </c>
      <c r="K24">
        <f>Form_Responses1[[#This Row],[Column14]]</f>
        <v>4</v>
      </c>
      <c r="L24">
        <f>Form_Responses1[[#This Row],[Column15]]</f>
        <v>4</v>
      </c>
      <c r="M24">
        <f>Form_Responses1[[#This Row],[Column16]]</f>
        <v>4</v>
      </c>
      <c r="N24">
        <f>Form_Responses1[[#This Row],[Column17]]</f>
        <v>4</v>
      </c>
      <c r="O24">
        <f>Form_Responses1[[#This Row],[Column18]]</f>
        <v>4</v>
      </c>
      <c r="P24">
        <f>Form_Responses1[[#This Row],[Column19]]</f>
        <v>3</v>
      </c>
      <c r="Q24">
        <f>Form_Responses1[[#This Row],[Column20]]</f>
        <v>4</v>
      </c>
      <c r="R24">
        <f>Form_Responses1[[#This Row],[Column21]]</f>
        <v>3</v>
      </c>
      <c r="S24">
        <f>Form_Responses1[[#This Row],[Column22]]</f>
        <v>3</v>
      </c>
      <c r="T24">
        <f>Form_Responses1[[#This Row],[Column23]]</f>
        <v>3</v>
      </c>
      <c r="U24">
        <f>Form_Responses1[[#This Row],[Column24]]</f>
        <v>4</v>
      </c>
      <c r="V24">
        <f>Form_Responses1[[#This Row],[Column25]]</f>
        <v>4</v>
      </c>
      <c r="W24">
        <f>Form_Responses1[[#This Row],[Column26]]</f>
        <v>4</v>
      </c>
      <c r="X24">
        <f>Form_Responses1[[#This Row],[Column27]]</f>
        <v>4</v>
      </c>
      <c r="Y24">
        <f>Form_Responses1[[#This Row],[Column28]]</f>
        <v>4</v>
      </c>
      <c r="Z24">
        <f t="shared" si="0"/>
        <v>76</v>
      </c>
      <c r="AA24">
        <f>AVERAGE('Karakteristik yang Dominan'!E25,'Kepemimpinan dalam Rumah Sakit'!E25,'Pengelolaan Pegawai'!E25,'Perekat Rumah Sakit'!E25,'Strategi yang Ditekankan'!E25,'Kriteria dari Kesuksesan'!E25)</f>
        <v>25</v>
      </c>
      <c r="AB24">
        <f>AVERAGE('Karakteristik yang Dominan'!F25,'Kepemimpinan dalam Rumah Sakit'!F25,'Pengelolaan Pegawai'!F25,'Perekat Rumah Sakit'!F25,'Strategi yang Ditekankan'!F25,'Kriteria dari Kesuksesan'!F25)</f>
        <v>25</v>
      </c>
      <c r="AC24">
        <f>AVERAGE('Karakteristik yang Dominan'!G25,'Kepemimpinan dalam Rumah Sakit'!G25,'Pengelolaan Pegawai'!G25,'Perekat Rumah Sakit'!G25,'Strategi yang Ditekankan'!G25,'Kriteria dari Kesuksesan'!G25)</f>
        <v>25</v>
      </c>
      <c r="AD24">
        <f>AVERAGE('Karakteristik yang Dominan'!H25,'Kepemimpinan dalam Rumah Sakit'!H25,'Pengelolaan Pegawai'!H25,'Perekat Rumah Sakit'!H25,'Strategi yang Ditekankan'!H25,'Kriteria dari Kesuksesan'!H25)</f>
        <v>25</v>
      </c>
      <c r="AE24" s="49">
        <v>4.45</v>
      </c>
    </row>
    <row r="25" spans="1:31">
      <c r="A25" t="str">
        <f>Sosiometri!A25</f>
        <v>Perempuan</v>
      </c>
      <c r="B25" t="str">
        <f>Sosiometri!B25</f>
        <v>21-30 tahun</v>
      </c>
      <c r="C25" t="str">
        <f>Sosiometri!C25</f>
        <v>S1</v>
      </c>
      <c r="D25" t="str">
        <f>Sosiometri!D25</f>
        <v>&lt;1 tahun</v>
      </c>
      <c r="E25" t="str">
        <f>Sosiometri!E25</f>
        <v>Koordinator</v>
      </c>
      <c r="F25">
        <f>Form_Responses1[[#This Row],[Column9]]</f>
        <v>4</v>
      </c>
      <c r="G25">
        <f>Form_Responses1[[#This Row],[Column10]]</f>
        <v>4</v>
      </c>
      <c r="H25">
        <f>Form_Responses1[[#This Row],[Column11]]</f>
        <v>5</v>
      </c>
      <c r="I25">
        <f>Form_Responses1[[#This Row],[Column12]]</f>
        <v>4</v>
      </c>
      <c r="J25">
        <f>Form_Responses1[[#This Row],[Column13]]</f>
        <v>5</v>
      </c>
      <c r="K25">
        <f>Form_Responses1[[#This Row],[Column14]]</f>
        <v>4</v>
      </c>
      <c r="L25">
        <f>Form_Responses1[[#This Row],[Column15]]</f>
        <v>5</v>
      </c>
      <c r="M25">
        <f>Form_Responses1[[#This Row],[Column16]]</f>
        <v>4</v>
      </c>
      <c r="N25">
        <f>Form_Responses1[[#This Row],[Column17]]</f>
        <v>4</v>
      </c>
      <c r="O25">
        <f>Form_Responses1[[#This Row],[Column18]]</f>
        <v>4</v>
      </c>
      <c r="P25">
        <f>Form_Responses1[[#This Row],[Column19]]</f>
        <v>4</v>
      </c>
      <c r="Q25">
        <f>Form_Responses1[[#This Row],[Column20]]</f>
        <v>5</v>
      </c>
      <c r="R25">
        <f>Form_Responses1[[#This Row],[Column21]]</f>
        <v>5</v>
      </c>
      <c r="S25">
        <f>Form_Responses1[[#This Row],[Column22]]</f>
        <v>5</v>
      </c>
      <c r="T25">
        <f>Form_Responses1[[#This Row],[Column23]]</f>
        <v>5</v>
      </c>
      <c r="U25">
        <f>Form_Responses1[[#This Row],[Column24]]</f>
        <v>4</v>
      </c>
      <c r="V25">
        <f>Form_Responses1[[#This Row],[Column25]]</f>
        <v>5</v>
      </c>
      <c r="W25">
        <f>Form_Responses1[[#This Row],[Column26]]</f>
        <v>5</v>
      </c>
      <c r="X25">
        <f>Form_Responses1[[#This Row],[Column27]]</f>
        <v>4</v>
      </c>
      <c r="Y25">
        <f>Form_Responses1[[#This Row],[Column28]]</f>
        <v>4</v>
      </c>
      <c r="Z25">
        <f t="shared" si="0"/>
        <v>89</v>
      </c>
      <c r="AA25">
        <f>AVERAGE('Karakteristik yang Dominan'!E26,'Kepemimpinan dalam Rumah Sakit'!E26,'Pengelolaan Pegawai'!E26,'Perekat Rumah Sakit'!E26,'Strategi yang Ditekankan'!E26,'Kriteria dari Kesuksesan'!E26)</f>
        <v>28.333333333333332</v>
      </c>
      <c r="AB25">
        <f>AVERAGE('Karakteristik yang Dominan'!F26,'Kepemimpinan dalam Rumah Sakit'!F26,'Pengelolaan Pegawai'!F26,'Perekat Rumah Sakit'!F26,'Strategi yang Ditekankan'!F26,'Kriteria dari Kesuksesan'!F26)</f>
        <v>20</v>
      </c>
      <c r="AC25">
        <f>AVERAGE('Karakteristik yang Dominan'!G26,'Kepemimpinan dalam Rumah Sakit'!G26,'Pengelolaan Pegawai'!G26,'Perekat Rumah Sakit'!G26,'Strategi yang Ditekankan'!G26,'Kriteria dari Kesuksesan'!G26)</f>
        <v>26.666666666666668</v>
      </c>
      <c r="AD25">
        <f>AVERAGE('Karakteristik yang Dominan'!H26,'Kepemimpinan dalam Rumah Sakit'!H26,'Pengelolaan Pegawai'!H26,'Perekat Rumah Sakit'!H26,'Strategi yang Ditekankan'!H26,'Kriteria dari Kesuksesan'!H26)</f>
        <v>25</v>
      </c>
      <c r="AE25" s="48">
        <v>4.1500000000000004</v>
      </c>
    </row>
    <row r="26" spans="1:31">
      <c r="A26" t="str">
        <f>Sosiometri!A26</f>
        <v>Perempuan</v>
      </c>
      <c r="B26" t="str">
        <f>Sosiometri!B26</f>
        <v>21-30 tahun</v>
      </c>
      <c r="C26" t="str">
        <f>Sosiometri!C26</f>
        <v>S1</v>
      </c>
      <c r="D26" t="str">
        <f>Sosiometri!D26</f>
        <v>&gt;3-5 tahun</v>
      </c>
      <c r="E26" t="str">
        <f>Sosiometri!E26</f>
        <v>Staf Pelaksana</v>
      </c>
      <c r="F26">
        <f>Form_Responses1[[#This Row],[Column9]]</f>
        <v>4</v>
      </c>
      <c r="G26">
        <f>Form_Responses1[[#This Row],[Column10]]</f>
        <v>4</v>
      </c>
      <c r="H26">
        <f>Form_Responses1[[#This Row],[Column11]]</f>
        <v>4</v>
      </c>
      <c r="I26">
        <f>Form_Responses1[[#This Row],[Column12]]</f>
        <v>4</v>
      </c>
      <c r="J26">
        <f>Form_Responses1[[#This Row],[Column13]]</f>
        <v>4</v>
      </c>
      <c r="K26">
        <f>Form_Responses1[[#This Row],[Column14]]</f>
        <v>4</v>
      </c>
      <c r="L26">
        <f>Form_Responses1[[#This Row],[Column15]]</f>
        <v>4</v>
      </c>
      <c r="M26">
        <f>Form_Responses1[[#This Row],[Column16]]</f>
        <v>4</v>
      </c>
      <c r="N26">
        <f>Form_Responses1[[#This Row],[Column17]]</f>
        <v>4</v>
      </c>
      <c r="O26">
        <f>Form_Responses1[[#This Row],[Column18]]</f>
        <v>4</v>
      </c>
      <c r="P26">
        <f>Form_Responses1[[#This Row],[Column19]]</f>
        <v>4</v>
      </c>
      <c r="Q26">
        <f>Form_Responses1[[#This Row],[Column20]]</f>
        <v>4</v>
      </c>
      <c r="R26">
        <f>Form_Responses1[[#This Row],[Column21]]</f>
        <v>4</v>
      </c>
      <c r="S26">
        <f>Form_Responses1[[#This Row],[Column22]]</f>
        <v>4</v>
      </c>
      <c r="T26">
        <f>Form_Responses1[[#This Row],[Column23]]</f>
        <v>4</v>
      </c>
      <c r="U26">
        <f>Form_Responses1[[#This Row],[Column24]]</f>
        <v>4</v>
      </c>
      <c r="V26">
        <f>Form_Responses1[[#This Row],[Column25]]</f>
        <v>4</v>
      </c>
      <c r="W26">
        <f>Form_Responses1[[#This Row],[Column26]]</f>
        <v>4</v>
      </c>
      <c r="X26">
        <f>Form_Responses1[[#This Row],[Column27]]</f>
        <v>4</v>
      </c>
      <c r="Y26">
        <f>Form_Responses1[[#This Row],[Column28]]</f>
        <v>4</v>
      </c>
      <c r="Z26">
        <f t="shared" si="0"/>
        <v>80</v>
      </c>
      <c r="AA26">
        <f>AVERAGE('Karakteristik yang Dominan'!E27,'Kepemimpinan dalam Rumah Sakit'!E27,'Pengelolaan Pegawai'!E27,'Perekat Rumah Sakit'!E27,'Strategi yang Ditekankan'!E27,'Kriteria dari Kesuksesan'!E27)</f>
        <v>40</v>
      </c>
      <c r="AB26">
        <f>AVERAGE('Karakteristik yang Dominan'!F27,'Kepemimpinan dalam Rumah Sakit'!F27,'Pengelolaan Pegawai'!F27,'Perekat Rumah Sakit'!F27,'Strategi yang Ditekankan'!F27,'Kriteria dari Kesuksesan'!F27)</f>
        <v>20</v>
      </c>
      <c r="AC26">
        <f>AVERAGE('Karakteristik yang Dominan'!G27,'Kepemimpinan dalam Rumah Sakit'!G27,'Pengelolaan Pegawai'!G27,'Perekat Rumah Sakit'!G27,'Strategi yang Ditekankan'!G27,'Kriteria dari Kesuksesan'!G27)</f>
        <v>10</v>
      </c>
      <c r="AD26">
        <f>AVERAGE('Karakteristik yang Dominan'!H27,'Kepemimpinan dalam Rumah Sakit'!H27,'Pengelolaan Pegawai'!H27,'Perekat Rumah Sakit'!H27,'Strategi yang Ditekankan'!H27,'Kriteria dari Kesuksesan'!H27)</f>
        <v>30</v>
      </c>
      <c r="AE26" s="49">
        <v>4.46</v>
      </c>
    </row>
    <row r="27" spans="1:31">
      <c r="A27" t="str">
        <f>Sosiometri!A27</f>
        <v>Laki-Laki</v>
      </c>
      <c r="B27" t="str">
        <f>Sosiometri!B27</f>
        <v>41-50 tahun</v>
      </c>
      <c r="C27" t="str">
        <f>Sosiometri!C27</f>
        <v>S1</v>
      </c>
      <c r="D27" t="str">
        <f>Sosiometri!D27</f>
        <v>&gt; 5 tahun</v>
      </c>
      <c r="E27" t="str">
        <f>Sosiometri!E27</f>
        <v>Level 3</v>
      </c>
      <c r="F27">
        <f>Form_Responses1[[#This Row],[Column9]]</f>
        <v>5</v>
      </c>
      <c r="G27">
        <f>Form_Responses1[[#This Row],[Column10]]</f>
        <v>5</v>
      </c>
      <c r="H27">
        <f>Form_Responses1[[#This Row],[Column11]]</f>
        <v>5</v>
      </c>
      <c r="I27">
        <f>Form_Responses1[[#This Row],[Column12]]</f>
        <v>5</v>
      </c>
      <c r="J27">
        <f>Form_Responses1[[#This Row],[Column13]]</f>
        <v>5</v>
      </c>
      <c r="K27">
        <f>Form_Responses1[[#This Row],[Column14]]</f>
        <v>4</v>
      </c>
      <c r="L27">
        <f>Form_Responses1[[#This Row],[Column15]]</f>
        <v>5</v>
      </c>
      <c r="M27">
        <f>Form_Responses1[[#This Row],[Column16]]</f>
        <v>4</v>
      </c>
      <c r="N27">
        <f>Form_Responses1[[#This Row],[Column17]]</f>
        <v>5</v>
      </c>
      <c r="O27">
        <f>Form_Responses1[[#This Row],[Column18]]</f>
        <v>5</v>
      </c>
      <c r="P27">
        <f>Form_Responses1[[#This Row],[Column19]]</f>
        <v>5</v>
      </c>
      <c r="Q27">
        <f>Form_Responses1[[#This Row],[Column20]]</f>
        <v>5</v>
      </c>
      <c r="R27">
        <f>Form_Responses1[[#This Row],[Column21]]</f>
        <v>5</v>
      </c>
      <c r="S27">
        <f>Form_Responses1[[#This Row],[Column22]]</f>
        <v>5</v>
      </c>
      <c r="T27">
        <f>Form_Responses1[[#This Row],[Column23]]</f>
        <v>5</v>
      </c>
      <c r="U27">
        <f>Form_Responses1[[#This Row],[Column24]]</f>
        <v>5</v>
      </c>
      <c r="V27">
        <f>Form_Responses1[[#This Row],[Column25]]</f>
        <v>5</v>
      </c>
      <c r="W27">
        <f>Form_Responses1[[#This Row],[Column26]]</f>
        <v>5</v>
      </c>
      <c r="X27">
        <f>Form_Responses1[[#This Row],[Column27]]</f>
        <v>5</v>
      </c>
      <c r="Y27">
        <f>Form_Responses1[[#This Row],[Column28]]</f>
        <v>5</v>
      </c>
      <c r="Z27">
        <f t="shared" si="0"/>
        <v>98</v>
      </c>
      <c r="AA27">
        <f>AVERAGE('Karakteristik yang Dominan'!E28,'Kepemimpinan dalam Rumah Sakit'!E28,'Pengelolaan Pegawai'!E28,'Perekat Rumah Sakit'!E28,'Strategi yang Ditekankan'!E28,'Kriteria dari Kesuksesan'!E28)</f>
        <v>26.666666666666668</v>
      </c>
      <c r="AB27">
        <f>AVERAGE('Karakteristik yang Dominan'!F28,'Kepemimpinan dalam Rumah Sakit'!F28,'Pengelolaan Pegawai'!F28,'Perekat Rumah Sakit'!F28,'Strategi yang Ditekankan'!F28,'Kriteria dari Kesuksesan'!F28)</f>
        <v>21.666666666666668</v>
      </c>
      <c r="AC27">
        <f>AVERAGE('Karakteristik yang Dominan'!G28,'Kepemimpinan dalam Rumah Sakit'!G28,'Pengelolaan Pegawai'!G28,'Perekat Rumah Sakit'!G28,'Strategi yang Ditekankan'!G28,'Kriteria dari Kesuksesan'!G28)</f>
        <v>25</v>
      </c>
      <c r="AD27">
        <f>AVERAGE('Karakteristik yang Dominan'!H28,'Kepemimpinan dalam Rumah Sakit'!H28,'Pengelolaan Pegawai'!H28,'Perekat Rumah Sakit'!H28,'Strategi yang Ditekankan'!H28,'Kriteria dari Kesuksesan'!H28)</f>
        <v>26.666666666666668</v>
      </c>
      <c r="AE27" s="48">
        <v>4.91</v>
      </c>
    </row>
    <row r="28" spans="1:31">
      <c r="A28" t="str">
        <f>Sosiometri!A28</f>
        <v>Laki-Laki</v>
      </c>
      <c r="B28" t="str">
        <f>Sosiometri!B28</f>
        <v>21-30 tahun</v>
      </c>
      <c r="C28" t="str">
        <f>Sosiometri!C28</f>
        <v>D3</v>
      </c>
      <c r="D28" t="str">
        <f>Sosiometri!D28</f>
        <v>&gt;3-5 tahun</v>
      </c>
      <c r="E28" t="str">
        <f>Sosiometri!E28</f>
        <v>Koordinator</v>
      </c>
      <c r="F28">
        <f>Form_Responses1[[#This Row],[Column9]]</f>
        <v>4</v>
      </c>
      <c r="G28">
        <f>Form_Responses1[[#This Row],[Column10]]</f>
        <v>3</v>
      </c>
      <c r="H28">
        <f>Form_Responses1[[#This Row],[Column11]]</f>
        <v>4</v>
      </c>
      <c r="I28">
        <f>Form_Responses1[[#This Row],[Column12]]</f>
        <v>3</v>
      </c>
      <c r="J28">
        <f>Form_Responses1[[#This Row],[Column13]]</f>
        <v>2</v>
      </c>
      <c r="K28">
        <f>Form_Responses1[[#This Row],[Column14]]</f>
        <v>4</v>
      </c>
      <c r="L28">
        <f>Form_Responses1[[#This Row],[Column15]]</f>
        <v>4</v>
      </c>
      <c r="M28">
        <f>Form_Responses1[[#This Row],[Column16]]</f>
        <v>2</v>
      </c>
      <c r="N28">
        <f>Form_Responses1[[#This Row],[Column17]]</f>
        <v>3</v>
      </c>
      <c r="O28">
        <f>Form_Responses1[[#This Row],[Column18]]</f>
        <v>4</v>
      </c>
      <c r="P28">
        <f>Form_Responses1[[#This Row],[Column19]]</f>
        <v>4</v>
      </c>
      <c r="Q28">
        <f>Form_Responses1[[#This Row],[Column20]]</f>
        <v>3</v>
      </c>
      <c r="R28">
        <f>Form_Responses1[[#This Row],[Column21]]</f>
        <v>2</v>
      </c>
      <c r="S28">
        <f>Form_Responses1[[#This Row],[Column22]]</f>
        <v>2</v>
      </c>
      <c r="T28">
        <f>Form_Responses1[[#This Row],[Column23]]</f>
        <v>4</v>
      </c>
      <c r="U28">
        <f>Form_Responses1[[#This Row],[Column24]]</f>
        <v>3</v>
      </c>
      <c r="V28">
        <f>Form_Responses1[[#This Row],[Column25]]</f>
        <v>3</v>
      </c>
      <c r="W28">
        <f>Form_Responses1[[#This Row],[Column26]]</f>
        <v>4</v>
      </c>
      <c r="X28">
        <f>Form_Responses1[[#This Row],[Column27]]</f>
        <v>4</v>
      </c>
      <c r="Y28">
        <f>Form_Responses1[[#This Row],[Column28]]</f>
        <v>4</v>
      </c>
      <c r="Z28">
        <f t="shared" si="0"/>
        <v>66</v>
      </c>
      <c r="AA28">
        <f>AVERAGE('Karakteristik yang Dominan'!E29,'Kepemimpinan dalam Rumah Sakit'!E29,'Pengelolaan Pegawai'!E29,'Perekat Rumah Sakit'!E29,'Strategi yang Ditekankan'!E29,'Kriteria dari Kesuksesan'!E29)</f>
        <v>24.166666666666668</v>
      </c>
      <c r="AB28">
        <f>AVERAGE('Karakteristik yang Dominan'!F29,'Kepemimpinan dalam Rumah Sakit'!F29,'Pengelolaan Pegawai'!F29,'Perekat Rumah Sakit'!F29,'Strategi yang Ditekankan'!F29,'Kriteria dari Kesuksesan'!F29)</f>
        <v>24.166666666666668</v>
      </c>
      <c r="AC28">
        <f>AVERAGE('Karakteristik yang Dominan'!G29,'Kepemimpinan dalam Rumah Sakit'!G29,'Pengelolaan Pegawai'!G29,'Perekat Rumah Sakit'!G29,'Strategi yang Ditekankan'!G29,'Kriteria dari Kesuksesan'!G29)</f>
        <v>27.5</v>
      </c>
      <c r="AD28">
        <f>AVERAGE('Karakteristik yang Dominan'!H29,'Kepemimpinan dalam Rumah Sakit'!H29,'Pengelolaan Pegawai'!H29,'Perekat Rumah Sakit'!H29,'Strategi yang Ditekankan'!H29,'Kriteria dari Kesuksesan'!H29)</f>
        <v>24.166666666666668</v>
      </c>
      <c r="AE28" s="49">
        <v>4.1100000000000003</v>
      </c>
    </row>
    <row r="29" spans="1:31">
      <c r="A29" t="str">
        <f>Sosiometri!A29</f>
        <v>Laki-Laki</v>
      </c>
      <c r="B29" t="str">
        <f>Sosiometri!B29</f>
        <v>31-40 tahun</v>
      </c>
      <c r="C29" t="str">
        <f>Sosiometri!C29</f>
        <v>SMA/SMK/SPK</v>
      </c>
      <c r="D29" t="str">
        <f>Sosiometri!D29</f>
        <v>&gt; 5 tahun</v>
      </c>
      <c r="E29" t="str">
        <f>Sosiometri!E29</f>
        <v>Staf Pelaksana</v>
      </c>
      <c r="F29">
        <f>Form_Responses1[[#This Row],[Column9]]</f>
        <v>4</v>
      </c>
      <c r="G29">
        <f>Form_Responses1[[#This Row],[Column10]]</f>
        <v>4</v>
      </c>
      <c r="H29">
        <f>Form_Responses1[[#This Row],[Column11]]</f>
        <v>3</v>
      </c>
      <c r="I29">
        <f>Form_Responses1[[#This Row],[Column12]]</f>
        <v>3</v>
      </c>
      <c r="J29">
        <f>Form_Responses1[[#This Row],[Column13]]</f>
        <v>4</v>
      </c>
      <c r="K29">
        <f>Form_Responses1[[#This Row],[Column14]]</f>
        <v>4</v>
      </c>
      <c r="L29">
        <f>Form_Responses1[[#This Row],[Column15]]</f>
        <v>4</v>
      </c>
      <c r="M29">
        <f>Form_Responses1[[#This Row],[Column16]]</f>
        <v>4</v>
      </c>
      <c r="N29">
        <f>Form_Responses1[[#This Row],[Column17]]</f>
        <v>4</v>
      </c>
      <c r="O29">
        <f>Form_Responses1[[#This Row],[Column18]]</f>
        <v>4</v>
      </c>
      <c r="P29">
        <f>Form_Responses1[[#This Row],[Column19]]</f>
        <v>4</v>
      </c>
      <c r="Q29">
        <f>Form_Responses1[[#This Row],[Column20]]</f>
        <v>4</v>
      </c>
      <c r="R29">
        <f>Form_Responses1[[#This Row],[Column21]]</f>
        <v>4</v>
      </c>
      <c r="S29">
        <f>Form_Responses1[[#This Row],[Column22]]</f>
        <v>4</v>
      </c>
      <c r="T29">
        <f>Form_Responses1[[#This Row],[Column23]]</f>
        <v>4</v>
      </c>
      <c r="U29">
        <f>Form_Responses1[[#This Row],[Column24]]</f>
        <v>4</v>
      </c>
      <c r="V29">
        <f>Form_Responses1[[#This Row],[Column25]]</f>
        <v>4</v>
      </c>
      <c r="W29">
        <f>Form_Responses1[[#This Row],[Column26]]</f>
        <v>4</v>
      </c>
      <c r="X29">
        <f>Form_Responses1[[#This Row],[Column27]]</f>
        <v>4</v>
      </c>
      <c r="Y29">
        <f>Form_Responses1[[#This Row],[Column28]]</f>
        <v>4</v>
      </c>
      <c r="Z29">
        <f t="shared" si="0"/>
        <v>78</v>
      </c>
      <c r="AA29">
        <f>AVERAGE('Karakteristik yang Dominan'!E30,'Kepemimpinan dalam Rumah Sakit'!E30,'Pengelolaan Pegawai'!E30,'Perekat Rumah Sakit'!E30,'Strategi yang Ditekankan'!E30,'Kriteria dari Kesuksesan'!E30)</f>
        <v>21.666666666666668</v>
      </c>
      <c r="AB29">
        <f>AVERAGE('Karakteristik yang Dominan'!F30,'Kepemimpinan dalam Rumah Sakit'!F30,'Pengelolaan Pegawai'!F30,'Perekat Rumah Sakit'!F30,'Strategi yang Ditekankan'!F30,'Kriteria dari Kesuksesan'!F30)</f>
        <v>25</v>
      </c>
      <c r="AC29">
        <f>AVERAGE('Karakteristik yang Dominan'!G30,'Kepemimpinan dalam Rumah Sakit'!G30,'Pengelolaan Pegawai'!G30,'Perekat Rumah Sakit'!G30,'Strategi yang Ditekankan'!G30,'Kriteria dari Kesuksesan'!G30)</f>
        <v>25</v>
      </c>
      <c r="AD29">
        <f>AVERAGE('Karakteristik yang Dominan'!H30,'Kepemimpinan dalam Rumah Sakit'!H30,'Pengelolaan Pegawai'!H30,'Perekat Rumah Sakit'!H30,'Strategi yang Ditekankan'!H30,'Kriteria dari Kesuksesan'!H30)</f>
        <v>28.333333333333332</v>
      </c>
      <c r="AE29" s="48">
        <v>4.25</v>
      </c>
    </row>
    <row r="30" spans="1:31">
      <c r="A30" t="str">
        <f>Sosiometri!A30</f>
        <v>Perempuan</v>
      </c>
      <c r="B30" t="str">
        <f>Sosiometri!B30</f>
        <v>21-30 tahun</v>
      </c>
      <c r="C30" t="str">
        <f>Sosiometri!C30</f>
        <v>SMA/SMK/SPK</v>
      </c>
      <c r="D30" t="str">
        <f>Sosiometri!D30</f>
        <v>1-3 tahun</v>
      </c>
      <c r="E30" t="str">
        <f>Sosiometri!E30</f>
        <v>Staf Pelaksana</v>
      </c>
      <c r="F30">
        <f>Form_Responses1[[#This Row],[Column9]]</f>
        <v>4</v>
      </c>
      <c r="G30">
        <f>Form_Responses1[[#This Row],[Column10]]</f>
        <v>4</v>
      </c>
      <c r="H30">
        <f>Form_Responses1[[#This Row],[Column11]]</f>
        <v>4</v>
      </c>
      <c r="I30">
        <f>Form_Responses1[[#This Row],[Column12]]</f>
        <v>4</v>
      </c>
      <c r="J30">
        <f>Form_Responses1[[#This Row],[Column13]]</f>
        <v>5</v>
      </c>
      <c r="K30">
        <f>Form_Responses1[[#This Row],[Column14]]</f>
        <v>4</v>
      </c>
      <c r="L30">
        <f>Form_Responses1[[#This Row],[Column15]]</f>
        <v>5</v>
      </c>
      <c r="M30">
        <f>Form_Responses1[[#This Row],[Column16]]</f>
        <v>4</v>
      </c>
      <c r="N30">
        <f>Form_Responses1[[#This Row],[Column17]]</f>
        <v>5</v>
      </c>
      <c r="O30">
        <f>Form_Responses1[[#This Row],[Column18]]</f>
        <v>4</v>
      </c>
      <c r="P30">
        <f>Form_Responses1[[#This Row],[Column19]]</f>
        <v>4</v>
      </c>
      <c r="Q30">
        <f>Form_Responses1[[#This Row],[Column20]]</f>
        <v>5</v>
      </c>
      <c r="R30">
        <f>Form_Responses1[[#This Row],[Column21]]</f>
        <v>5</v>
      </c>
      <c r="S30">
        <f>Form_Responses1[[#This Row],[Column22]]</f>
        <v>4</v>
      </c>
      <c r="T30">
        <f>Form_Responses1[[#This Row],[Column23]]</f>
        <v>4</v>
      </c>
      <c r="U30">
        <f>Form_Responses1[[#This Row],[Column24]]</f>
        <v>3</v>
      </c>
      <c r="V30">
        <f>Form_Responses1[[#This Row],[Column25]]</f>
        <v>4</v>
      </c>
      <c r="W30">
        <f>Form_Responses1[[#This Row],[Column26]]</f>
        <v>3</v>
      </c>
      <c r="X30">
        <f>Form_Responses1[[#This Row],[Column27]]</f>
        <v>4</v>
      </c>
      <c r="Y30">
        <f>Form_Responses1[[#This Row],[Column28]]</f>
        <v>4</v>
      </c>
      <c r="Z30">
        <f t="shared" si="0"/>
        <v>83</v>
      </c>
      <c r="AA30">
        <f>AVERAGE('Karakteristik yang Dominan'!E31,'Kepemimpinan dalam Rumah Sakit'!E31,'Pengelolaan Pegawai'!E31,'Perekat Rumah Sakit'!E31,'Strategi yang Ditekankan'!E31,'Kriteria dari Kesuksesan'!E31)</f>
        <v>21.666666666666668</v>
      </c>
      <c r="AB30">
        <f>AVERAGE('Karakteristik yang Dominan'!F31,'Kepemimpinan dalam Rumah Sakit'!F31,'Pengelolaan Pegawai'!F31,'Perekat Rumah Sakit'!F31,'Strategi yang Ditekankan'!F31,'Kriteria dari Kesuksesan'!F31)</f>
        <v>23.333333333333332</v>
      </c>
      <c r="AC30">
        <f>AVERAGE('Karakteristik yang Dominan'!G31,'Kepemimpinan dalam Rumah Sakit'!G31,'Pengelolaan Pegawai'!G31,'Perekat Rumah Sakit'!G31,'Strategi yang Ditekankan'!G31,'Kriteria dari Kesuksesan'!G31)</f>
        <v>28.333333333333332</v>
      </c>
      <c r="AD30">
        <f>AVERAGE('Karakteristik yang Dominan'!H31,'Kepemimpinan dalam Rumah Sakit'!H31,'Pengelolaan Pegawai'!H31,'Perekat Rumah Sakit'!H31,'Strategi yang Ditekankan'!H31,'Kriteria dari Kesuksesan'!H31)</f>
        <v>26.666666666666668</v>
      </c>
      <c r="AE30" s="49">
        <v>4.49</v>
      </c>
    </row>
    <row r="31" spans="1:31">
      <c r="A31" t="str">
        <f>Sosiometri!A31</f>
        <v>Perempuan</v>
      </c>
      <c r="B31" t="str">
        <f>Sosiometri!B31</f>
        <v>31-40 tahun</v>
      </c>
      <c r="C31" t="str">
        <f>Sosiometri!C31</f>
        <v>SMA/SMK/SPK</v>
      </c>
      <c r="D31" t="str">
        <f>Sosiometri!D31</f>
        <v>&gt; 5 tahun</v>
      </c>
      <c r="E31" t="str">
        <f>Sosiometri!E31</f>
        <v>Staf Pelaksana</v>
      </c>
      <c r="F31">
        <f>Form_Responses1[[#This Row],[Column9]]</f>
        <v>4</v>
      </c>
      <c r="G31">
        <f>Form_Responses1[[#This Row],[Column10]]</f>
        <v>3</v>
      </c>
      <c r="H31">
        <f>Form_Responses1[[#This Row],[Column11]]</f>
        <v>3</v>
      </c>
      <c r="I31">
        <f>Form_Responses1[[#This Row],[Column12]]</f>
        <v>4</v>
      </c>
      <c r="J31">
        <f>Form_Responses1[[#This Row],[Column13]]</f>
        <v>4</v>
      </c>
      <c r="K31">
        <f>Form_Responses1[[#This Row],[Column14]]</f>
        <v>4</v>
      </c>
      <c r="L31">
        <f>Form_Responses1[[#This Row],[Column15]]</f>
        <v>4</v>
      </c>
      <c r="M31">
        <f>Form_Responses1[[#This Row],[Column16]]</f>
        <v>4</v>
      </c>
      <c r="N31">
        <f>Form_Responses1[[#This Row],[Column17]]</f>
        <v>4</v>
      </c>
      <c r="O31">
        <f>Form_Responses1[[#This Row],[Column18]]</f>
        <v>4</v>
      </c>
      <c r="P31">
        <f>Form_Responses1[[#This Row],[Column19]]</f>
        <v>4</v>
      </c>
      <c r="Q31">
        <f>Form_Responses1[[#This Row],[Column20]]</f>
        <v>4</v>
      </c>
      <c r="R31">
        <f>Form_Responses1[[#This Row],[Column21]]</f>
        <v>4</v>
      </c>
      <c r="S31">
        <f>Form_Responses1[[#This Row],[Column22]]</f>
        <v>4</v>
      </c>
      <c r="T31">
        <f>Form_Responses1[[#This Row],[Column23]]</f>
        <v>4</v>
      </c>
      <c r="U31">
        <f>Form_Responses1[[#This Row],[Column24]]</f>
        <v>4</v>
      </c>
      <c r="V31">
        <f>Form_Responses1[[#This Row],[Column25]]</f>
        <v>4</v>
      </c>
      <c r="W31">
        <f>Form_Responses1[[#This Row],[Column26]]</f>
        <v>3</v>
      </c>
      <c r="X31">
        <f>Form_Responses1[[#This Row],[Column27]]</f>
        <v>3</v>
      </c>
      <c r="Y31">
        <f>Form_Responses1[[#This Row],[Column28]]</f>
        <v>4</v>
      </c>
      <c r="Z31">
        <f t="shared" si="0"/>
        <v>76</v>
      </c>
      <c r="AA31">
        <f>AVERAGE('Karakteristik yang Dominan'!E32,'Kepemimpinan dalam Rumah Sakit'!E32,'Pengelolaan Pegawai'!E32,'Perekat Rumah Sakit'!E32,'Strategi yang Ditekankan'!E32,'Kriteria dari Kesuksesan'!E32)</f>
        <v>23.333333333333332</v>
      </c>
      <c r="AB31">
        <f>AVERAGE('Karakteristik yang Dominan'!F32,'Kepemimpinan dalam Rumah Sakit'!F32,'Pengelolaan Pegawai'!F32,'Perekat Rumah Sakit'!F32,'Strategi yang Ditekankan'!F32,'Kriteria dari Kesuksesan'!F32)</f>
        <v>23.333333333333332</v>
      </c>
      <c r="AC31">
        <f>AVERAGE('Karakteristik yang Dominan'!G32,'Kepemimpinan dalam Rumah Sakit'!G32,'Pengelolaan Pegawai'!G32,'Perekat Rumah Sakit'!G32,'Strategi yang Ditekankan'!G32,'Kriteria dari Kesuksesan'!G32)</f>
        <v>25</v>
      </c>
      <c r="AD31">
        <f>AVERAGE('Karakteristik yang Dominan'!H32,'Kepemimpinan dalam Rumah Sakit'!H32,'Pengelolaan Pegawai'!H32,'Perekat Rumah Sakit'!H32,'Strategi yang Ditekankan'!H32,'Kriteria dari Kesuksesan'!H32)</f>
        <v>28.333333333333332</v>
      </c>
      <c r="AE31" s="48">
        <v>4.55</v>
      </c>
    </row>
    <row r="32" spans="1:31">
      <c r="A32" t="str">
        <f>Sosiometri!A32</f>
        <v>Perempuan</v>
      </c>
      <c r="B32" t="str">
        <f>Sosiometri!B32</f>
        <v>31-40 tahun</v>
      </c>
      <c r="C32" t="str">
        <f>Sosiometri!C32</f>
        <v>D3</v>
      </c>
      <c r="D32" t="str">
        <f>Sosiometri!D32</f>
        <v>&gt; 5 tahun</v>
      </c>
      <c r="E32" t="str">
        <f>Sosiometri!E32</f>
        <v>Staf Pelaksana</v>
      </c>
      <c r="F32">
        <f>Form_Responses1[[#This Row],[Column9]]</f>
        <v>3</v>
      </c>
      <c r="G32">
        <f>Form_Responses1[[#This Row],[Column10]]</f>
        <v>3</v>
      </c>
      <c r="H32">
        <f>Form_Responses1[[#This Row],[Column11]]</f>
        <v>3</v>
      </c>
      <c r="I32">
        <f>Form_Responses1[[#This Row],[Column12]]</f>
        <v>3</v>
      </c>
      <c r="J32">
        <f>Form_Responses1[[#This Row],[Column13]]</f>
        <v>4</v>
      </c>
      <c r="K32">
        <f>Form_Responses1[[#This Row],[Column14]]</f>
        <v>4</v>
      </c>
      <c r="L32">
        <f>Form_Responses1[[#This Row],[Column15]]</f>
        <v>4</v>
      </c>
      <c r="M32">
        <f>Form_Responses1[[#This Row],[Column16]]</f>
        <v>4</v>
      </c>
      <c r="N32">
        <f>Form_Responses1[[#This Row],[Column17]]</f>
        <v>4</v>
      </c>
      <c r="O32">
        <f>Form_Responses1[[#This Row],[Column18]]</f>
        <v>4</v>
      </c>
      <c r="P32">
        <f>Form_Responses1[[#This Row],[Column19]]</f>
        <v>3</v>
      </c>
      <c r="Q32">
        <f>Form_Responses1[[#This Row],[Column20]]</f>
        <v>4</v>
      </c>
      <c r="R32">
        <f>Form_Responses1[[#This Row],[Column21]]</f>
        <v>3</v>
      </c>
      <c r="S32">
        <f>Form_Responses1[[#This Row],[Column22]]</f>
        <v>4</v>
      </c>
      <c r="T32">
        <f>Form_Responses1[[#This Row],[Column23]]</f>
        <v>4</v>
      </c>
      <c r="U32">
        <f>Form_Responses1[[#This Row],[Column24]]</f>
        <v>3</v>
      </c>
      <c r="V32">
        <f>Form_Responses1[[#This Row],[Column25]]</f>
        <v>5</v>
      </c>
      <c r="W32">
        <f>Form_Responses1[[#This Row],[Column26]]</f>
        <v>4</v>
      </c>
      <c r="X32">
        <f>Form_Responses1[[#This Row],[Column27]]</f>
        <v>3</v>
      </c>
      <c r="Y32">
        <f>Form_Responses1[[#This Row],[Column28]]</f>
        <v>3</v>
      </c>
      <c r="Z32">
        <f t="shared" si="0"/>
        <v>72</v>
      </c>
      <c r="AA32">
        <f>AVERAGE('Karakteristik yang Dominan'!E33,'Kepemimpinan dalam Rumah Sakit'!E33,'Pengelolaan Pegawai'!E33,'Perekat Rumah Sakit'!E33,'Strategi yang Ditekankan'!E33,'Kriteria dari Kesuksesan'!E33)</f>
        <v>20</v>
      </c>
      <c r="AB32">
        <f>AVERAGE('Karakteristik yang Dominan'!F33,'Kepemimpinan dalam Rumah Sakit'!F33,'Pengelolaan Pegawai'!F33,'Perekat Rumah Sakit'!F33,'Strategi yang Ditekankan'!F33,'Kriteria dari Kesuksesan'!F33)</f>
        <v>23.333333333333332</v>
      </c>
      <c r="AC32">
        <f>AVERAGE('Karakteristik yang Dominan'!G33,'Kepemimpinan dalam Rumah Sakit'!G33,'Pengelolaan Pegawai'!G33,'Perekat Rumah Sakit'!G33,'Strategi yang Ditekankan'!G33,'Kriteria dari Kesuksesan'!G33)</f>
        <v>26.666666666666668</v>
      </c>
      <c r="AD32">
        <f>AVERAGE('Karakteristik yang Dominan'!H33,'Kepemimpinan dalam Rumah Sakit'!H33,'Pengelolaan Pegawai'!H33,'Perekat Rumah Sakit'!H33,'Strategi yang Ditekankan'!H33,'Kriteria dari Kesuksesan'!H33)</f>
        <v>30</v>
      </c>
      <c r="AE32" s="49">
        <v>4.1500000000000004</v>
      </c>
    </row>
    <row r="33" spans="1:31">
      <c r="A33" t="str">
        <f>Sosiometri!A33</f>
        <v>Laki-Laki</v>
      </c>
      <c r="B33" t="str">
        <f>Sosiometri!B33</f>
        <v>21-30 tahun</v>
      </c>
      <c r="C33" t="str">
        <f>Sosiometri!C33</f>
        <v>SMA/SMK/SPK</v>
      </c>
      <c r="D33" t="str">
        <f>Sosiometri!D33</f>
        <v>&gt; 5 tahun</v>
      </c>
      <c r="E33" t="str">
        <f>Sosiometri!E33</f>
        <v>Koordinator</v>
      </c>
      <c r="F33">
        <f>Form_Responses1[[#This Row],[Column9]]</f>
        <v>3</v>
      </c>
      <c r="G33">
        <f>Form_Responses1[[#This Row],[Column10]]</f>
        <v>4</v>
      </c>
      <c r="H33">
        <f>Form_Responses1[[#This Row],[Column11]]</f>
        <v>3</v>
      </c>
      <c r="I33">
        <f>Form_Responses1[[#This Row],[Column12]]</f>
        <v>3</v>
      </c>
      <c r="J33">
        <f>Form_Responses1[[#This Row],[Column13]]</f>
        <v>4</v>
      </c>
      <c r="K33">
        <f>Form_Responses1[[#This Row],[Column14]]</f>
        <v>4</v>
      </c>
      <c r="L33">
        <f>Form_Responses1[[#This Row],[Column15]]</f>
        <v>4</v>
      </c>
      <c r="M33">
        <f>Form_Responses1[[#This Row],[Column16]]</f>
        <v>4</v>
      </c>
      <c r="N33">
        <f>Form_Responses1[[#This Row],[Column17]]</f>
        <v>4</v>
      </c>
      <c r="O33">
        <f>Form_Responses1[[#This Row],[Column18]]</f>
        <v>4</v>
      </c>
      <c r="P33">
        <f>Form_Responses1[[#This Row],[Column19]]</f>
        <v>3</v>
      </c>
      <c r="Q33">
        <f>Form_Responses1[[#This Row],[Column20]]</f>
        <v>4</v>
      </c>
      <c r="R33">
        <f>Form_Responses1[[#This Row],[Column21]]</f>
        <v>4</v>
      </c>
      <c r="S33">
        <f>Form_Responses1[[#This Row],[Column22]]</f>
        <v>4</v>
      </c>
      <c r="T33">
        <f>Form_Responses1[[#This Row],[Column23]]</f>
        <v>5</v>
      </c>
      <c r="U33">
        <f>Form_Responses1[[#This Row],[Column24]]</f>
        <v>3</v>
      </c>
      <c r="V33">
        <f>Form_Responses1[[#This Row],[Column25]]</f>
        <v>4</v>
      </c>
      <c r="W33">
        <f>Form_Responses1[[#This Row],[Column26]]</f>
        <v>3</v>
      </c>
      <c r="X33">
        <f>Form_Responses1[[#This Row],[Column27]]</f>
        <v>4</v>
      </c>
      <c r="Y33">
        <f>Form_Responses1[[#This Row],[Column28]]</f>
        <v>2</v>
      </c>
      <c r="Z33">
        <f t="shared" si="0"/>
        <v>73</v>
      </c>
      <c r="AA33">
        <f>AVERAGE('Karakteristik yang Dominan'!E34,'Kepemimpinan dalam Rumah Sakit'!E34,'Pengelolaan Pegawai'!E34,'Perekat Rumah Sakit'!E34,'Strategi yang Ditekankan'!E34,'Kriteria dari Kesuksesan'!E34)</f>
        <v>30</v>
      </c>
      <c r="AB33">
        <f>AVERAGE('Karakteristik yang Dominan'!F34,'Kepemimpinan dalam Rumah Sakit'!F34,'Pengelolaan Pegawai'!F34,'Perekat Rumah Sakit'!F34,'Strategi yang Ditekankan'!F34,'Kriteria dari Kesuksesan'!F34)</f>
        <v>28.333333333333332</v>
      </c>
      <c r="AC33">
        <f>AVERAGE('Karakteristik yang Dominan'!G34,'Kepemimpinan dalam Rumah Sakit'!G34,'Pengelolaan Pegawai'!G34,'Perekat Rumah Sakit'!G34,'Strategi yang Ditekankan'!G34,'Kriteria dari Kesuksesan'!G34)</f>
        <v>21.666666666666668</v>
      </c>
      <c r="AD33">
        <f>AVERAGE('Karakteristik yang Dominan'!H34,'Kepemimpinan dalam Rumah Sakit'!H34,'Pengelolaan Pegawai'!H34,'Perekat Rumah Sakit'!H34,'Strategi yang Ditekankan'!H34,'Kriteria dari Kesuksesan'!H34)</f>
        <v>20</v>
      </c>
      <c r="AE33" s="48">
        <v>4.1500000000000004</v>
      </c>
    </row>
    <row r="34" spans="1:31">
      <c r="A34" t="str">
        <f>Sosiometri!A34</f>
        <v>Perempuan</v>
      </c>
      <c r="B34" t="str">
        <f>Sosiometri!B34</f>
        <v>41-50 tahun</v>
      </c>
      <c r="C34" t="str">
        <f>Sosiometri!C34</f>
        <v>D3</v>
      </c>
      <c r="D34" t="str">
        <f>Sosiometri!D34</f>
        <v>&gt; 5 tahun</v>
      </c>
      <c r="E34" t="str">
        <f>Sosiometri!E34</f>
        <v>Staf Pelaksana</v>
      </c>
      <c r="F34">
        <f>Form_Responses1[[#This Row],[Column9]]</f>
        <v>4</v>
      </c>
      <c r="G34">
        <f>Form_Responses1[[#This Row],[Column10]]</f>
        <v>5</v>
      </c>
      <c r="H34">
        <f>Form_Responses1[[#This Row],[Column11]]</f>
        <v>4</v>
      </c>
      <c r="I34">
        <f>Form_Responses1[[#This Row],[Column12]]</f>
        <v>5</v>
      </c>
      <c r="J34">
        <f>Form_Responses1[[#This Row],[Column13]]</f>
        <v>5</v>
      </c>
      <c r="K34">
        <f>Form_Responses1[[#This Row],[Column14]]</f>
        <v>4</v>
      </c>
      <c r="L34">
        <f>Form_Responses1[[#This Row],[Column15]]</f>
        <v>4</v>
      </c>
      <c r="M34">
        <f>Form_Responses1[[#This Row],[Column16]]</f>
        <v>4</v>
      </c>
      <c r="N34">
        <f>Form_Responses1[[#This Row],[Column17]]</f>
        <v>5</v>
      </c>
      <c r="O34">
        <f>Form_Responses1[[#This Row],[Column18]]</f>
        <v>5</v>
      </c>
      <c r="P34">
        <f>Form_Responses1[[#This Row],[Column19]]</f>
        <v>5</v>
      </c>
      <c r="Q34">
        <f>Form_Responses1[[#This Row],[Column20]]</f>
        <v>5</v>
      </c>
      <c r="R34">
        <f>Form_Responses1[[#This Row],[Column21]]</f>
        <v>5</v>
      </c>
      <c r="S34">
        <f>Form_Responses1[[#This Row],[Column22]]</f>
        <v>4</v>
      </c>
      <c r="T34">
        <f>Form_Responses1[[#This Row],[Column23]]</f>
        <v>4</v>
      </c>
      <c r="U34">
        <f>Form_Responses1[[#This Row],[Column24]]</f>
        <v>5</v>
      </c>
      <c r="V34">
        <f>Form_Responses1[[#This Row],[Column25]]</f>
        <v>4</v>
      </c>
      <c r="W34">
        <f>Form_Responses1[[#This Row],[Column26]]</f>
        <v>4</v>
      </c>
      <c r="X34">
        <f>Form_Responses1[[#This Row],[Column27]]</f>
        <v>5</v>
      </c>
      <c r="Y34">
        <f>Form_Responses1[[#This Row],[Column28]]</f>
        <v>5</v>
      </c>
      <c r="Z34">
        <f t="shared" si="0"/>
        <v>91</v>
      </c>
      <c r="AA34">
        <f>AVERAGE('Karakteristik yang Dominan'!E35,'Kepemimpinan dalam Rumah Sakit'!E35,'Pengelolaan Pegawai'!E35,'Perekat Rumah Sakit'!E35,'Strategi yang Ditekankan'!E35,'Kriteria dari Kesuksesan'!E35)</f>
        <v>21.666666666666668</v>
      </c>
      <c r="AB34">
        <f>AVERAGE('Karakteristik yang Dominan'!F35,'Kepemimpinan dalam Rumah Sakit'!F35,'Pengelolaan Pegawai'!F35,'Perekat Rumah Sakit'!F35,'Strategi yang Ditekankan'!F35,'Kriteria dari Kesuksesan'!F35)</f>
        <v>20</v>
      </c>
      <c r="AC34">
        <f>AVERAGE('Karakteristik yang Dominan'!G35,'Kepemimpinan dalam Rumah Sakit'!G35,'Pengelolaan Pegawai'!G35,'Perekat Rumah Sakit'!G35,'Strategi yang Ditekankan'!G35,'Kriteria dari Kesuksesan'!G35)</f>
        <v>25</v>
      </c>
      <c r="AD34">
        <f>AVERAGE('Karakteristik yang Dominan'!H35,'Kepemimpinan dalam Rumah Sakit'!H35,'Pengelolaan Pegawai'!H35,'Perekat Rumah Sakit'!H35,'Strategi yang Ditekankan'!H35,'Kriteria dari Kesuksesan'!H35)</f>
        <v>33.333333333333336</v>
      </c>
      <c r="AE34" s="49">
        <v>4.8600000000000003</v>
      </c>
    </row>
    <row r="35" spans="1:31">
      <c r="A35" t="str">
        <f>Sosiometri!A35</f>
        <v>Laki-Laki</v>
      </c>
      <c r="B35" t="str">
        <f>Sosiometri!B35</f>
        <v>31-40 tahun</v>
      </c>
      <c r="C35" t="str">
        <f>Sosiometri!C35</f>
        <v>SMA/SMK/SPK</v>
      </c>
      <c r="D35" t="str">
        <f>Sosiometri!D35</f>
        <v>&gt; 5 tahun</v>
      </c>
      <c r="E35" t="str">
        <f>Sosiometri!E35</f>
        <v>Staf Pelaksana</v>
      </c>
      <c r="F35">
        <f>Form_Responses1[[#This Row],[Column9]]</f>
        <v>4</v>
      </c>
      <c r="G35">
        <f>Form_Responses1[[#This Row],[Column10]]</f>
        <v>4</v>
      </c>
      <c r="H35">
        <f>Form_Responses1[[#This Row],[Column11]]</f>
        <v>4</v>
      </c>
      <c r="I35">
        <f>Form_Responses1[[#This Row],[Column12]]</f>
        <v>4</v>
      </c>
      <c r="J35">
        <f>Form_Responses1[[#This Row],[Column13]]</f>
        <v>3</v>
      </c>
      <c r="K35">
        <f>Form_Responses1[[#This Row],[Column14]]</f>
        <v>3</v>
      </c>
      <c r="L35">
        <f>Form_Responses1[[#This Row],[Column15]]</f>
        <v>4</v>
      </c>
      <c r="M35">
        <f>Form_Responses1[[#This Row],[Column16]]</f>
        <v>4</v>
      </c>
      <c r="N35">
        <f>Form_Responses1[[#This Row],[Column17]]</f>
        <v>4</v>
      </c>
      <c r="O35">
        <f>Form_Responses1[[#This Row],[Column18]]</f>
        <v>3</v>
      </c>
      <c r="P35">
        <f>Form_Responses1[[#This Row],[Column19]]</f>
        <v>4</v>
      </c>
      <c r="Q35">
        <f>Form_Responses1[[#This Row],[Column20]]</f>
        <v>4</v>
      </c>
      <c r="R35">
        <f>Form_Responses1[[#This Row],[Column21]]</f>
        <v>3</v>
      </c>
      <c r="S35">
        <f>Form_Responses1[[#This Row],[Column22]]</f>
        <v>4</v>
      </c>
      <c r="T35">
        <f>Form_Responses1[[#This Row],[Column23]]</f>
        <v>4</v>
      </c>
      <c r="U35">
        <f>Form_Responses1[[#This Row],[Column24]]</f>
        <v>3</v>
      </c>
      <c r="V35">
        <f>Form_Responses1[[#This Row],[Column25]]</f>
        <v>3</v>
      </c>
      <c r="W35">
        <f>Form_Responses1[[#This Row],[Column26]]</f>
        <v>4</v>
      </c>
      <c r="X35">
        <f>Form_Responses1[[#This Row],[Column27]]</f>
        <v>4</v>
      </c>
      <c r="Y35">
        <f>Form_Responses1[[#This Row],[Column28]]</f>
        <v>3</v>
      </c>
      <c r="Z35">
        <f t="shared" si="0"/>
        <v>73</v>
      </c>
      <c r="AA35">
        <f>AVERAGE('Karakteristik yang Dominan'!E36,'Kepemimpinan dalam Rumah Sakit'!E36,'Pengelolaan Pegawai'!E36,'Perekat Rumah Sakit'!E36,'Strategi yang Ditekankan'!E36,'Kriteria dari Kesuksesan'!E36)</f>
        <v>18.333333333333332</v>
      </c>
      <c r="AB35">
        <f>AVERAGE('Karakteristik yang Dominan'!F36,'Kepemimpinan dalam Rumah Sakit'!F36,'Pengelolaan Pegawai'!F36,'Perekat Rumah Sakit'!F36,'Strategi yang Ditekankan'!F36,'Kriteria dari Kesuksesan'!F36)</f>
        <v>28.333333333333332</v>
      </c>
      <c r="AC35">
        <f>AVERAGE('Karakteristik yang Dominan'!G36,'Kepemimpinan dalam Rumah Sakit'!G36,'Pengelolaan Pegawai'!G36,'Perekat Rumah Sakit'!G36,'Strategi yang Ditekankan'!G36,'Kriteria dari Kesuksesan'!G36)</f>
        <v>25</v>
      </c>
      <c r="AD35">
        <f>AVERAGE('Karakteristik yang Dominan'!H36,'Kepemimpinan dalam Rumah Sakit'!H36,'Pengelolaan Pegawai'!H36,'Perekat Rumah Sakit'!H36,'Strategi yang Ditekankan'!H36,'Kriteria dari Kesuksesan'!H36)</f>
        <v>28.333333333333332</v>
      </c>
      <c r="AE35" s="48">
        <v>4.1500000000000004</v>
      </c>
    </row>
    <row r="36" spans="1:31">
      <c r="A36" t="str">
        <f>Sosiometri!A36</f>
        <v>Laki-Laki</v>
      </c>
      <c r="B36" t="str">
        <f>Sosiometri!B36</f>
        <v>21-30 tahun</v>
      </c>
      <c r="C36" t="str">
        <f>Sosiometri!C36</f>
        <v>D3</v>
      </c>
      <c r="D36" t="str">
        <f>Sosiometri!D36</f>
        <v>&lt;1 tahun</v>
      </c>
      <c r="E36" t="str">
        <f>Sosiometri!E36</f>
        <v>Staf Pelaksana</v>
      </c>
      <c r="F36">
        <f>Form_Responses1[[#This Row],[Column9]]</f>
        <v>2</v>
      </c>
      <c r="G36">
        <f>Form_Responses1[[#This Row],[Column10]]</f>
        <v>2</v>
      </c>
      <c r="H36">
        <f>Form_Responses1[[#This Row],[Column11]]</f>
        <v>2</v>
      </c>
      <c r="I36">
        <f>Form_Responses1[[#This Row],[Column12]]</f>
        <v>2</v>
      </c>
      <c r="J36">
        <f>Form_Responses1[[#This Row],[Column13]]</f>
        <v>2</v>
      </c>
      <c r="K36">
        <f>Form_Responses1[[#This Row],[Column14]]</f>
        <v>2</v>
      </c>
      <c r="L36">
        <f>Form_Responses1[[#This Row],[Column15]]</f>
        <v>1</v>
      </c>
      <c r="M36">
        <f>Form_Responses1[[#This Row],[Column16]]</f>
        <v>2</v>
      </c>
      <c r="N36">
        <f>Form_Responses1[[#This Row],[Column17]]</f>
        <v>2</v>
      </c>
      <c r="O36">
        <f>Form_Responses1[[#This Row],[Column18]]</f>
        <v>2</v>
      </c>
      <c r="P36">
        <f>Form_Responses1[[#This Row],[Column19]]</f>
        <v>1</v>
      </c>
      <c r="Q36">
        <f>Form_Responses1[[#This Row],[Column20]]</f>
        <v>2</v>
      </c>
      <c r="R36">
        <f>Form_Responses1[[#This Row],[Column21]]</f>
        <v>1</v>
      </c>
      <c r="S36">
        <f>Form_Responses1[[#This Row],[Column22]]</f>
        <v>1</v>
      </c>
      <c r="T36">
        <f>Form_Responses1[[#This Row],[Column23]]</f>
        <v>1</v>
      </c>
      <c r="U36">
        <f>Form_Responses1[[#This Row],[Column24]]</f>
        <v>2</v>
      </c>
      <c r="V36">
        <f>Form_Responses1[[#This Row],[Column25]]</f>
        <v>2</v>
      </c>
      <c r="W36">
        <f>Form_Responses1[[#This Row],[Column26]]</f>
        <v>1</v>
      </c>
      <c r="X36">
        <f>Form_Responses1[[#This Row],[Column27]]</f>
        <v>1</v>
      </c>
      <c r="Y36">
        <f>Form_Responses1[[#This Row],[Column28]]</f>
        <v>1</v>
      </c>
      <c r="Z36">
        <f t="shared" si="0"/>
        <v>32</v>
      </c>
      <c r="AA36">
        <f>AVERAGE('Karakteristik yang Dominan'!E37,'Kepemimpinan dalam Rumah Sakit'!E37,'Pengelolaan Pegawai'!E37,'Perekat Rumah Sakit'!E37,'Strategi yang Ditekankan'!E37,'Kriteria dari Kesuksesan'!E37)</f>
        <v>26.666666666666668</v>
      </c>
      <c r="AB36">
        <f>AVERAGE('Karakteristik yang Dominan'!F37,'Kepemimpinan dalam Rumah Sakit'!F37,'Pengelolaan Pegawai'!F37,'Perekat Rumah Sakit'!F37,'Strategi yang Ditekankan'!F37,'Kriteria dari Kesuksesan'!F37)</f>
        <v>20</v>
      </c>
      <c r="AC36">
        <f>AVERAGE('Karakteristik yang Dominan'!G37,'Kepemimpinan dalam Rumah Sakit'!G37,'Pengelolaan Pegawai'!G37,'Perekat Rumah Sakit'!G37,'Strategi yang Ditekankan'!G37,'Kriteria dari Kesuksesan'!G37)</f>
        <v>23.333333333333332</v>
      </c>
      <c r="AD36">
        <f>AVERAGE('Karakteristik yang Dominan'!H37,'Kepemimpinan dalam Rumah Sakit'!H37,'Pengelolaan Pegawai'!H37,'Perekat Rumah Sakit'!H37,'Strategi yang Ditekankan'!H37,'Kriteria dari Kesuksesan'!H37)</f>
        <v>30</v>
      </c>
      <c r="AE36" s="49">
        <v>3.74</v>
      </c>
    </row>
    <row r="37" spans="1:31">
      <c r="A37" t="str">
        <f>Sosiometri!A37</f>
        <v>Laki-Laki</v>
      </c>
      <c r="B37" t="str">
        <f>Sosiometri!B37</f>
        <v>21-30 tahun</v>
      </c>
      <c r="C37" t="str">
        <f>Sosiometri!C37</f>
        <v>SMA/SMK/SPK</v>
      </c>
      <c r="D37" t="str">
        <f>Sosiometri!D37</f>
        <v>&lt;1 tahun</v>
      </c>
      <c r="E37" t="str">
        <f>Sosiometri!E37</f>
        <v>Staf Pelaksana</v>
      </c>
      <c r="F37">
        <f>Form_Responses1[[#This Row],[Column9]]</f>
        <v>3</v>
      </c>
      <c r="G37">
        <f>Form_Responses1[[#This Row],[Column10]]</f>
        <v>3</v>
      </c>
      <c r="H37">
        <f>Form_Responses1[[#This Row],[Column11]]</f>
        <v>3</v>
      </c>
      <c r="I37">
        <f>Form_Responses1[[#This Row],[Column12]]</f>
        <v>3</v>
      </c>
      <c r="J37">
        <f>Form_Responses1[[#This Row],[Column13]]</f>
        <v>3</v>
      </c>
      <c r="K37">
        <f>Form_Responses1[[#This Row],[Column14]]</f>
        <v>3</v>
      </c>
      <c r="L37">
        <f>Form_Responses1[[#This Row],[Column15]]</f>
        <v>3</v>
      </c>
      <c r="M37">
        <f>Form_Responses1[[#This Row],[Column16]]</f>
        <v>3</v>
      </c>
      <c r="N37">
        <f>Form_Responses1[[#This Row],[Column17]]</f>
        <v>3</v>
      </c>
      <c r="O37">
        <f>Form_Responses1[[#This Row],[Column18]]</f>
        <v>3</v>
      </c>
      <c r="P37">
        <f>Form_Responses1[[#This Row],[Column19]]</f>
        <v>3</v>
      </c>
      <c r="Q37">
        <f>Form_Responses1[[#This Row],[Column20]]</f>
        <v>3</v>
      </c>
      <c r="R37">
        <f>Form_Responses1[[#This Row],[Column21]]</f>
        <v>3</v>
      </c>
      <c r="S37">
        <f>Form_Responses1[[#This Row],[Column22]]</f>
        <v>3</v>
      </c>
      <c r="T37">
        <f>Form_Responses1[[#This Row],[Column23]]</f>
        <v>3</v>
      </c>
      <c r="U37">
        <f>Form_Responses1[[#This Row],[Column24]]</f>
        <v>3</v>
      </c>
      <c r="V37">
        <f>Form_Responses1[[#This Row],[Column25]]</f>
        <v>3</v>
      </c>
      <c r="W37">
        <f>Form_Responses1[[#This Row],[Column26]]</f>
        <v>3</v>
      </c>
      <c r="X37">
        <f>Form_Responses1[[#This Row],[Column27]]</f>
        <v>3</v>
      </c>
      <c r="Y37">
        <f>Form_Responses1[[#This Row],[Column28]]</f>
        <v>3</v>
      </c>
      <c r="Z37">
        <f t="shared" si="0"/>
        <v>60</v>
      </c>
      <c r="AA37">
        <f>AVERAGE('Karakteristik yang Dominan'!E38,'Kepemimpinan dalam Rumah Sakit'!E38,'Pengelolaan Pegawai'!E38,'Perekat Rumah Sakit'!E38,'Strategi yang Ditekankan'!E38,'Kriteria dari Kesuksesan'!E38)</f>
        <v>25</v>
      </c>
      <c r="AB37">
        <f>AVERAGE('Karakteristik yang Dominan'!F38,'Kepemimpinan dalam Rumah Sakit'!F38,'Pengelolaan Pegawai'!F38,'Perekat Rumah Sakit'!F38,'Strategi yang Ditekankan'!F38,'Kriteria dari Kesuksesan'!F38)</f>
        <v>26.666666666666668</v>
      </c>
      <c r="AC37">
        <f>AVERAGE('Karakteristik yang Dominan'!G38,'Kepemimpinan dalam Rumah Sakit'!G38,'Pengelolaan Pegawai'!G38,'Perekat Rumah Sakit'!G38,'Strategi yang Ditekankan'!G38,'Kriteria dari Kesuksesan'!G38)</f>
        <v>23.333333333333332</v>
      </c>
      <c r="AD37">
        <f>AVERAGE('Karakteristik yang Dominan'!H38,'Kepemimpinan dalam Rumah Sakit'!H38,'Pengelolaan Pegawai'!H38,'Perekat Rumah Sakit'!H38,'Strategi yang Ditekankan'!H38,'Kriteria dari Kesuksesan'!H38)</f>
        <v>25</v>
      </c>
      <c r="AE37" s="48">
        <v>3.94</v>
      </c>
    </row>
    <row r="38" spans="1:31">
      <c r="A38" t="str">
        <f>Sosiometri!A38</f>
        <v>Laki-Laki</v>
      </c>
      <c r="B38" t="str">
        <f>Sosiometri!B38</f>
        <v>21-30 tahun</v>
      </c>
      <c r="C38" t="str">
        <f>Sosiometri!C38</f>
        <v>SMA/SMK/SPK</v>
      </c>
      <c r="D38" t="str">
        <f>Sosiometri!D38</f>
        <v>&gt; 5 tahun</v>
      </c>
      <c r="E38" t="str">
        <f>Sosiometri!E38</f>
        <v>Staf Pelaksana</v>
      </c>
      <c r="F38">
        <f>Form_Responses1[[#This Row],[Column9]]</f>
        <v>4</v>
      </c>
      <c r="G38">
        <f>Form_Responses1[[#This Row],[Column10]]</f>
        <v>4</v>
      </c>
      <c r="H38">
        <f>Form_Responses1[[#This Row],[Column11]]</f>
        <v>4</v>
      </c>
      <c r="I38">
        <f>Form_Responses1[[#This Row],[Column12]]</f>
        <v>4</v>
      </c>
      <c r="J38">
        <f>Form_Responses1[[#This Row],[Column13]]</f>
        <v>4</v>
      </c>
      <c r="K38">
        <f>Form_Responses1[[#This Row],[Column14]]</f>
        <v>4</v>
      </c>
      <c r="L38">
        <f>Form_Responses1[[#This Row],[Column15]]</f>
        <v>4</v>
      </c>
      <c r="M38">
        <f>Form_Responses1[[#This Row],[Column16]]</f>
        <v>4</v>
      </c>
      <c r="N38">
        <f>Form_Responses1[[#This Row],[Column17]]</f>
        <v>4</v>
      </c>
      <c r="O38">
        <f>Form_Responses1[[#This Row],[Column18]]</f>
        <v>4</v>
      </c>
      <c r="P38">
        <f>Form_Responses1[[#This Row],[Column19]]</f>
        <v>3</v>
      </c>
      <c r="Q38">
        <f>Form_Responses1[[#This Row],[Column20]]</f>
        <v>4</v>
      </c>
      <c r="R38">
        <f>Form_Responses1[[#This Row],[Column21]]</f>
        <v>3</v>
      </c>
      <c r="S38">
        <f>Form_Responses1[[#This Row],[Column22]]</f>
        <v>3</v>
      </c>
      <c r="T38">
        <f>Form_Responses1[[#This Row],[Column23]]</f>
        <v>3</v>
      </c>
      <c r="U38">
        <f>Form_Responses1[[#This Row],[Column24]]</f>
        <v>4</v>
      </c>
      <c r="V38">
        <f>Form_Responses1[[#This Row],[Column25]]</f>
        <v>4</v>
      </c>
      <c r="W38">
        <f>Form_Responses1[[#This Row],[Column26]]</f>
        <v>4</v>
      </c>
      <c r="X38">
        <f>Form_Responses1[[#This Row],[Column27]]</f>
        <v>4</v>
      </c>
      <c r="Y38">
        <f>Form_Responses1[[#This Row],[Column28]]</f>
        <v>4</v>
      </c>
      <c r="Z38">
        <f t="shared" si="0"/>
        <v>76</v>
      </c>
      <c r="AA38">
        <f>AVERAGE('Karakteristik yang Dominan'!E39,'Kepemimpinan dalam Rumah Sakit'!E39,'Pengelolaan Pegawai'!E39,'Perekat Rumah Sakit'!E39,'Strategi yang Ditekankan'!E39,'Kriteria dari Kesuksesan'!E39)</f>
        <v>25</v>
      </c>
      <c r="AB38">
        <f>AVERAGE('Karakteristik yang Dominan'!F39,'Kepemimpinan dalam Rumah Sakit'!F39,'Pengelolaan Pegawai'!F39,'Perekat Rumah Sakit'!F39,'Strategi yang Ditekankan'!F39,'Kriteria dari Kesuksesan'!F39)</f>
        <v>25</v>
      </c>
      <c r="AC38">
        <f>AVERAGE('Karakteristik yang Dominan'!G39,'Kepemimpinan dalam Rumah Sakit'!G39,'Pengelolaan Pegawai'!G39,'Perekat Rumah Sakit'!G39,'Strategi yang Ditekankan'!G39,'Kriteria dari Kesuksesan'!G39)</f>
        <v>25</v>
      </c>
      <c r="AD38">
        <f>AVERAGE('Karakteristik yang Dominan'!H39,'Kepemimpinan dalam Rumah Sakit'!H39,'Pengelolaan Pegawai'!H39,'Perekat Rumah Sakit'!H39,'Strategi yang Ditekankan'!H39,'Kriteria dari Kesuksesan'!H39)</f>
        <v>25</v>
      </c>
      <c r="AE38" s="49">
        <v>4.3499999999999996</v>
      </c>
    </row>
    <row r="39" spans="1:31">
      <c r="A39" t="str">
        <f>Sosiometri!A39</f>
        <v>Perempuan</v>
      </c>
      <c r="B39" t="str">
        <f>Sosiometri!B39</f>
        <v>21-30 tahun</v>
      </c>
      <c r="C39" t="str">
        <f>Sosiometri!C39</f>
        <v>D3</v>
      </c>
      <c r="D39" t="str">
        <f>Sosiometri!D39</f>
        <v>1-3 tahun</v>
      </c>
      <c r="E39" t="str">
        <f>Sosiometri!E39</f>
        <v>Staf Pelaksana</v>
      </c>
      <c r="F39">
        <f>Form_Responses1[[#This Row],[Column9]]</f>
        <v>4</v>
      </c>
      <c r="G39">
        <f>Form_Responses1[[#This Row],[Column10]]</f>
        <v>5</v>
      </c>
      <c r="H39">
        <f>Form_Responses1[[#This Row],[Column11]]</f>
        <v>4</v>
      </c>
      <c r="I39">
        <f>Form_Responses1[[#This Row],[Column12]]</f>
        <v>4</v>
      </c>
      <c r="J39">
        <f>Form_Responses1[[#This Row],[Column13]]</f>
        <v>5</v>
      </c>
      <c r="K39">
        <f>Form_Responses1[[#This Row],[Column14]]</f>
        <v>5</v>
      </c>
      <c r="L39">
        <f>Form_Responses1[[#This Row],[Column15]]</f>
        <v>5</v>
      </c>
      <c r="M39">
        <f>Form_Responses1[[#This Row],[Column16]]</f>
        <v>4</v>
      </c>
      <c r="N39">
        <f>Form_Responses1[[#This Row],[Column17]]</f>
        <v>4</v>
      </c>
      <c r="O39">
        <f>Form_Responses1[[#This Row],[Column18]]</f>
        <v>4</v>
      </c>
      <c r="P39">
        <f>Form_Responses1[[#This Row],[Column19]]</f>
        <v>5</v>
      </c>
      <c r="Q39">
        <f>Form_Responses1[[#This Row],[Column20]]</f>
        <v>4</v>
      </c>
      <c r="R39">
        <f>Form_Responses1[[#This Row],[Column21]]</f>
        <v>5</v>
      </c>
      <c r="S39">
        <f>Form_Responses1[[#This Row],[Column22]]</f>
        <v>4</v>
      </c>
      <c r="T39">
        <f>Form_Responses1[[#This Row],[Column23]]</f>
        <v>5</v>
      </c>
      <c r="U39">
        <f>Form_Responses1[[#This Row],[Column24]]</f>
        <v>5</v>
      </c>
      <c r="V39">
        <f>Form_Responses1[[#This Row],[Column25]]</f>
        <v>5</v>
      </c>
      <c r="W39">
        <f>Form_Responses1[[#This Row],[Column26]]</f>
        <v>5</v>
      </c>
      <c r="X39">
        <f>Form_Responses1[[#This Row],[Column27]]</f>
        <v>4</v>
      </c>
      <c r="Y39">
        <f>Form_Responses1[[#This Row],[Column28]]</f>
        <v>5</v>
      </c>
      <c r="Z39">
        <f t="shared" si="0"/>
        <v>91</v>
      </c>
      <c r="AA39">
        <f>AVERAGE('Karakteristik yang Dominan'!E40,'Kepemimpinan dalam Rumah Sakit'!E40,'Pengelolaan Pegawai'!E40,'Perekat Rumah Sakit'!E40,'Strategi yang Ditekankan'!E40,'Kriteria dari Kesuksesan'!E40)</f>
        <v>25</v>
      </c>
      <c r="AB39">
        <f>AVERAGE('Karakteristik yang Dominan'!F40,'Kepemimpinan dalam Rumah Sakit'!F40,'Pengelolaan Pegawai'!F40,'Perekat Rumah Sakit'!F40,'Strategi yang Ditekankan'!F40,'Kriteria dari Kesuksesan'!F40)</f>
        <v>25</v>
      </c>
      <c r="AC39">
        <f>AVERAGE('Karakteristik yang Dominan'!G40,'Kepemimpinan dalam Rumah Sakit'!G40,'Pengelolaan Pegawai'!G40,'Perekat Rumah Sakit'!G40,'Strategi yang Ditekankan'!G40,'Kriteria dari Kesuksesan'!G40)</f>
        <v>25</v>
      </c>
      <c r="AD39">
        <f>AVERAGE('Karakteristik yang Dominan'!H40,'Kepemimpinan dalam Rumah Sakit'!H40,'Pengelolaan Pegawai'!H40,'Perekat Rumah Sakit'!H40,'Strategi yang Ditekankan'!H40,'Kriteria dari Kesuksesan'!H40)</f>
        <v>25</v>
      </c>
      <c r="AE39" s="48">
        <v>4.8</v>
      </c>
    </row>
    <row r="40" spans="1:31">
      <c r="A40" t="str">
        <f>Sosiometri!A40</f>
        <v>Perempuan</v>
      </c>
      <c r="B40" t="str">
        <f>Sosiometri!B40</f>
        <v>21-30 tahun</v>
      </c>
      <c r="C40" t="str">
        <f>Sosiometri!C40</f>
        <v>S1</v>
      </c>
      <c r="D40" t="str">
        <f>Sosiometri!D40</f>
        <v>1-3 tahun</v>
      </c>
      <c r="E40" t="str">
        <f>Sosiometri!E40</f>
        <v>Staf Pelaksana</v>
      </c>
      <c r="F40">
        <f>Form_Responses1[[#This Row],[Column9]]</f>
        <v>4</v>
      </c>
      <c r="G40">
        <f>Form_Responses1[[#This Row],[Column10]]</f>
        <v>4</v>
      </c>
      <c r="H40">
        <f>Form_Responses1[[#This Row],[Column11]]</f>
        <v>5</v>
      </c>
      <c r="I40">
        <f>Form_Responses1[[#This Row],[Column12]]</f>
        <v>4</v>
      </c>
      <c r="J40">
        <f>Form_Responses1[[#This Row],[Column13]]</f>
        <v>5</v>
      </c>
      <c r="K40">
        <f>Form_Responses1[[#This Row],[Column14]]</f>
        <v>4</v>
      </c>
      <c r="L40">
        <f>Form_Responses1[[#This Row],[Column15]]</f>
        <v>5</v>
      </c>
      <c r="M40">
        <f>Form_Responses1[[#This Row],[Column16]]</f>
        <v>4</v>
      </c>
      <c r="N40">
        <f>Form_Responses1[[#This Row],[Column17]]</f>
        <v>4</v>
      </c>
      <c r="O40">
        <f>Form_Responses1[[#This Row],[Column18]]</f>
        <v>4</v>
      </c>
      <c r="P40">
        <f>Form_Responses1[[#This Row],[Column19]]</f>
        <v>4</v>
      </c>
      <c r="Q40">
        <f>Form_Responses1[[#This Row],[Column20]]</f>
        <v>4</v>
      </c>
      <c r="R40">
        <f>Form_Responses1[[#This Row],[Column21]]</f>
        <v>5</v>
      </c>
      <c r="S40">
        <f>Form_Responses1[[#This Row],[Column22]]</f>
        <v>5</v>
      </c>
      <c r="T40">
        <f>Form_Responses1[[#This Row],[Column23]]</f>
        <v>4</v>
      </c>
      <c r="U40">
        <f>Form_Responses1[[#This Row],[Column24]]</f>
        <v>4</v>
      </c>
      <c r="V40">
        <f>Form_Responses1[[#This Row],[Column25]]</f>
        <v>5</v>
      </c>
      <c r="W40">
        <f>Form_Responses1[[#This Row],[Column26]]</f>
        <v>5</v>
      </c>
      <c r="X40">
        <f>Form_Responses1[[#This Row],[Column27]]</f>
        <v>4</v>
      </c>
      <c r="Y40">
        <f>Form_Responses1[[#This Row],[Column28]]</f>
        <v>4</v>
      </c>
      <c r="Z40">
        <f t="shared" si="0"/>
        <v>87</v>
      </c>
      <c r="AA40">
        <f>AVERAGE('Karakteristik yang Dominan'!E41,'Kepemimpinan dalam Rumah Sakit'!E41,'Pengelolaan Pegawai'!E41,'Perekat Rumah Sakit'!E41,'Strategi yang Ditekankan'!E41,'Kriteria dari Kesuksesan'!E41)</f>
        <v>25</v>
      </c>
      <c r="AB40">
        <f>AVERAGE('Karakteristik yang Dominan'!F41,'Kepemimpinan dalam Rumah Sakit'!F41,'Pengelolaan Pegawai'!F41,'Perekat Rumah Sakit'!F41,'Strategi yang Ditekankan'!F41,'Kriteria dari Kesuksesan'!F41)</f>
        <v>25</v>
      </c>
      <c r="AC40">
        <f>AVERAGE('Karakteristik yang Dominan'!G41,'Kepemimpinan dalam Rumah Sakit'!G41,'Pengelolaan Pegawai'!G41,'Perekat Rumah Sakit'!G41,'Strategi yang Ditekankan'!G41,'Kriteria dari Kesuksesan'!G41)</f>
        <v>25</v>
      </c>
      <c r="AD40">
        <f>AVERAGE('Karakteristik yang Dominan'!H41,'Kepemimpinan dalam Rumah Sakit'!H41,'Pengelolaan Pegawai'!H41,'Perekat Rumah Sakit'!H41,'Strategi yang Ditekankan'!H41,'Kriteria dari Kesuksesan'!H41)</f>
        <v>25</v>
      </c>
      <c r="AE40" s="49">
        <v>4.8</v>
      </c>
    </row>
    <row r="41" spans="1:31">
      <c r="A41" t="str">
        <f>Sosiometri!A41</f>
        <v>Perempuan</v>
      </c>
      <c r="B41" t="str">
        <f>Sosiometri!B41</f>
        <v>31-40 tahun</v>
      </c>
      <c r="C41" t="str">
        <f>Sosiometri!C41</f>
        <v>S1</v>
      </c>
      <c r="D41" t="str">
        <f>Sosiometri!D41</f>
        <v>&gt;3-5 tahun</v>
      </c>
      <c r="E41" t="str">
        <f>Sosiometri!E41</f>
        <v>Level 3</v>
      </c>
      <c r="F41">
        <f>Form_Responses1[[#This Row],[Column9]]</f>
        <v>5</v>
      </c>
      <c r="G41">
        <f>Form_Responses1[[#This Row],[Column10]]</f>
        <v>5</v>
      </c>
      <c r="H41">
        <f>Form_Responses1[[#This Row],[Column11]]</f>
        <v>5</v>
      </c>
      <c r="I41">
        <f>Form_Responses1[[#This Row],[Column12]]</f>
        <v>5</v>
      </c>
      <c r="J41">
        <f>Form_Responses1[[#This Row],[Column13]]</f>
        <v>5</v>
      </c>
      <c r="K41">
        <f>Form_Responses1[[#This Row],[Column14]]</f>
        <v>5</v>
      </c>
      <c r="L41">
        <f>Form_Responses1[[#This Row],[Column15]]</f>
        <v>5</v>
      </c>
      <c r="M41">
        <f>Form_Responses1[[#This Row],[Column16]]</f>
        <v>5</v>
      </c>
      <c r="N41">
        <f>Form_Responses1[[#This Row],[Column17]]</f>
        <v>5</v>
      </c>
      <c r="O41">
        <f>Form_Responses1[[#This Row],[Column18]]</f>
        <v>5</v>
      </c>
      <c r="P41">
        <f>Form_Responses1[[#This Row],[Column19]]</f>
        <v>5</v>
      </c>
      <c r="Q41">
        <f>Form_Responses1[[#This Row],[Column20]]</f>
        <v>5</v>
      </c>
      <c r="R41">
        <f>Form_Responses1[[#This Row],[Column21]]</f>
        <v>5</v>
      </c>
      <c r="S41">
        <f>Form_Responses1[[#This Row],[Column22]]</f>
        <v>5</v>
      </c>
      <c r="T41">
        <f>Form_Responses1[[#This Row],[Column23]]</f>
        <v>5</v>
      </c>
      <c r="U41">
        <f>Form_Responses1[[#This Row],[Column24]]</f>
        <v>5</v>
      </c>
      <c r="V41">
        <f>Form_Responses1[[#This Row],[Column25]]</f>
        <v>5</v>
      </c>
      <c r="W41">
        <f>Form_Responses1[[#This Row],[Column26]]</f>
        <v>5</v>
      </c>
      <c r="X41">
        <f>Form_Responses1[[#This Row],[Column27]]</f>
        <v>5</v>
      </c>
      <c r="Y41">
        <f>Form_Responses1[[#This Row],[Column28]]</f>
        <v>5</v>
      </c>
      <c r="Z41">
        <f t="shared" si="0"/>
        <v>100</v>
      </c>
      <c r="AA41">
        <f>AVERAGE('Karakteristik yang Dominan'!E42,'Kepemimpinan dalam Rumah Sakit'!E42,'Pengelolaan Pegawai'!E42,'Perekat Rumah Sakit'!E42,'Strategi yang Ditekankan'!E42,'Kriteria dari Kesuksesan'!E42)</f>
        <v>40</v>
      </c>
      <c r="AB41">
        <f>AVERAGE('Karakteristik yang Dominan'!F42,'Kepemimpinan dalam Rumah Sakit'!F42,'Pengelolaan Pegawai'!F42,'Perekat Rumah Sakit'!F42,'Strategi yang Ditekankan'!F42,'Kriteria dari Kesuksesan'!F42)</f>
        <v>30</v>
      </c>
      <c r="AC41">
        <f>AVERAGE('Karakteristik yang Dominan'!G42,'Kepemimpinan dalam Rumah Sakit'!G42,'Pengelolaan Pegawai'!G42,'Perekat Rumah Sakit'!G42,'Strategi yang Ditekankan'!G42,'Kriteria dari Kesuksesan'!G42)</f>
        <v>20</v>
      </c>
      <c r="AD41">
        <f>AVERAGE('Karakteristik yang Dominan'!H42,'Kepemimpinan dalam Rumah Sakit'!H42,'Pengelolaan Pegawai'!H42,'Perekat Rumah Sakit'!H42,'Strategi yang Ditekankan'!H42,'Kriteria dari Kesuksesan'!H42)</f>
        <v>10</v>
      </c>
      <c r="AE41" s="48">
        <v>4.95</v>
      </c>
    </row>
    <row r="42" spans="1:31">
      <c r="A42" t="str">
        <f>Sosiometri!A42</f>
        <v>Perempuan</v>
      </c>
      <c r="B42" t="str">
        <f>Sosiometri!B42</f>
        <v>21-30 tahun</v>
      </c>
      <c r="C42" t="str">
        <f>Sosiometri!C42</f>
        <v>S1</v>
      </c>
      <c r="D42" t="str">
        <f>Sosiometri!D42</f>
        <v>&lt;1 tahun</v>
      </c>
      <c r="E42" t="str">
        <f>Sosiometri!E42</f>
        <v>Staf Pelaksana</v>
      </c>
      <c r="F42">
        <f>Form_Responses1[[#This Row],[Column9]]</f>
        <v>4</v>
      </c>
      <c r="G42">
        <f>Form_Responses1[[#This Row],[Column10]]</f>
        <v>2</v>
      </c>
      <c r="H42">
        <f>Form_Responses1[[#This Row],[Column11]]</f>
        <v>2</v>
      </c>
      <c r="I42">
        <f>Form_Responses1[[#This Row],[Column12]]</f>
        <v>3</v>
      </c>
      <c r="J42">
        <f>Form_Responses1[[#This Row],[Column13]]</f>
        <v>2</v>
      </c>
      <c r="K42">
        <f>Form_Responses1[[#This Row],[Column14]]</f>
        <v>4</v>
      </c>
      <c r="L42">
        <f>Form_Responses1[[#This Row],[Column15]]</f>
        <v>3</v>
      </c>
      <c r="M42">
        <f>Form_Responses1[[#This Row],[Column16]]</f>
        <v>4</v>
      </c>
      <c r="N42">
        <f>Form_Responses1[[#This Row],[Column17]]</f>
        <v>3</v>
      </c>
      <c r="O42">
        <f>Form_Responses1[[#This Row],[Column18]]</f>
        <v>2</v>
      </c>
      <c r="P42">
        <f>Form_Responses1[[#This Row],[Column19]]</f>
        <v>4</v>
      </c>
      <c r="Q42">
        <f>Form_Responses1[[#This Row],[Column20]]</f>
        <v>4</v>
      </c>
      <c r="R42">
        <f>Form_Responses1[[#This Row],[Column21]]</f>
        <v>3</v>
      </c>
      <c r="S42">
        <f>Form_Responses1[[#This Row],[Column22]]</f>
        <v>4</v>
      </c>
      <c r="T42">
        <f>Form_Responses1[[#This Row],[Column23]]</f>
        <v>2</v>
      </c>
      <c r="U42">
        <f>Form_Responses1[[#This Row],[Column24]]</f>
        <v>3</v>
      </c>
      <c r="V42">
        <f>Form_Responses1[[#This Row],[Column25]]</f>
        <v>4</v>
      </c>
      <c r="W42">
        <f>Form_Responses1[[#This Row],[Column26]]</f>
        <v>3</v>
      </c>
      <c r="X42">
        <f>Form_Responses1[[#This Row],[Column27]]</f>
        <v>2</v>
      </c>
      <c r="Y42">
        <f>Form_Responses1[[#This Row],[Column28]]</f>
        <v>3</v>
      </c>
      <c r="Z42">
        <f t="shared" si="0"/>
        <v>61</v>
      </c>
      <c r="AA42">
        <f>AVERAGE('Karakteristik yang Dominan'!E43,'Kepemimpinan dalam Rumah Sakit'!E43,'Pengelolaan Pegawai'!E43,'Perekat Rumah Sakit'!E43,'Strategi yang Ditekankan'!E43,'Kriteria dari Kesuksesan'!E43)</f>
        <v>23.333333333333332</v>
      </c>
      <c r="AB42">
        <f>AVERAGE('Karakteristik yang Dominan'!F43,'Kepemimpinan dalam Rumah Sakit'!F43,'Pengelolaan Pegawai'!F43,'Perekat Rumah Sakit'!F43,'Strategi yang Ditekankan'!F43,'Kriteria dari Kesuksesan'!F43)</f>
        <v>23.333333333333332</v>
      </c>
      <c r="AC42">
        <f>AVERAGE('Karakteristik yang Dominan'!G43,'Kepemimpinan dalam Rumah Sakit'!G43,'Pengelolaan Pegawai'!G43,'Perekat Rumah Sakit'!G43,'Strategi yang Ditekankan'!G43,'Kriteria dari Kesuksesan'!G43)</f>
        <v>23.333333333333332</v>
      </c>
      <c r="AD42">
        <f>AVERAGE('Karakteristik yang Dominan'!H43,'Kepemimpinan dalam Rumah Sakit'!H43,'Pengelolaan Pegawai'!H43,'Perekat Rumah Sakit'!H43,'Strategi yang Ditekankan'!H43,'Kriteria dari Kesuksesan'!H43)</f>
        <v>30</v>
      </c>
      <c r="AE42" s="49">
        <v>4.05</v>
      </c>
    </row>
    <row r="43" spans="1:31">
      <c r="A43" t="str">
        <f>Sosiometri!A43</f>
        <v>Perempuan</v>
      </c>
      <c r="B43" t="str">
        <f>Sosiometri!B43</f>
        <v>31-40 tahun</v>
      </c>
      <c r="C43" t="str">
        <f>Sosiometri!C43</f>
        <v>D3</v>
      </c>
      <c r="D43" t="str">
        <f>Sosiometri!D43</f>
        <v>&gt;3-5 tahun</v>
      </c>
      <c r="E43" t="str">
        <f>Sosiometri!E43</f>
        <v>Staf Pelaksana</v>
      </c>
      <c r="F43">
        <f>Form_Responses1[[#This Row],[Column9]]</f>
        <v>4</v>
      </c>
      <c r="G43">
        <f>Form_Responses1[[#This Row],[Column10]]</f>
        <v>4</v>
      </c>
      <c r="H43">
        <f>Form_Responses1[[#This Row],[Column11]]</f>
        <v>3</v>
      </c>
      <c r="I43">
        <f>Form_Responses1[[#This Row],[Column12]]</f>
        <v>4</v>
      </c>
      <c r="J43">
        <f>Form_Responses1[[#This Row],[Column13]]</f>
        <v>4</v>
      </c>
      <c r="K43">
        <f>Form_Responses1[[#This Row],[Column14]]</f>
        <v>3</v>
      </c>
      <c r="L43">
        <f>Form_Responses1[[#This Row],[Column15]]</f>
        <v>4</v>
      </c>
      <c r="M43">
        <f>Form_Responses1[[#This Row],[Column16]]</f>
        <v>4</v>
      </c>
      <c r="N43">
        <f>Form_Responses1[[#This Row],[Column17]]</f>
        <v>4</v>
      </c>
      <c r="O43">
        <f>Form_Responses1[[#This Row],[Column18]]</f>
        <v>4</v>
      </c>
      <c r="P43">
        <f>Form_Responses1[[#This Row],[Column19]]</f>
        <v>3</v>
      </c>
      <c r="Q43">
        <f>Form_Responses1[[#This Row],[Column20]]</f>
        <v>3</v>
      </c>
      <c r="R43">
        <f>Form_Responses1[[#This Row],[Column21]]</f>
        <v>3</v>
      </c>
      <c r="S43">
        <f>Form_Responses1[[#This Row],[Column22]]</f>
        <v>3</v>
      </c>
      <c r="T43">
        <f>Form_Responses1[[#This Row],[Column23]]</f>
        <v>4</v>
      </c>
      <c r="U43">
        <f>Form_Responses1[[#This Row],[Column24]]</f>
        <v>4</v>
      </c>
      <c r="V43">
        <f>Form_Responses1[[#This Row],[Column25]]</f>
        <v>4</v>
      </c>
      <c r="W43">
        <f>Form_Responses1[[#This Row],[Column26]]</f>
        <v>4</v>
      </c>
      <c r="X43">
        <f>Form_Responses1[[#This Row],[Column27]]</f>
        <v>3</v>
      </c>
      <c r="Y43">
        <f>Form_Responses1[[#This Row],[Column28]]</f>
        <v>4</v>
      </c>
      <c r="Z43">
        <f t="shared" si="0"/>
        <v>73</v>
      </c>
      <c r="AA43">
        <f>AVERAGE('Karakteristik yang Dominan'!E44,'Kepemimpinan dalam Rumah Sakit'!E44,'Pengelolaan Pegawai'!E44,'Perekat Rumah Sakit'!E44,'Strategi yang Ditekankan'!E44,'Kriteria dari Kesuksesan'!E44)</f>
        <v>43.333333333333336</v>
      </c>
      <c r="AB43">
        <f>AVERAGE('Karakteristik yang Dominan'!F44,'Kepemimpinan dalam Rumah Sakit'!F44,'Pengelolaan Pegawai'!F44,'Perekat Rumah Sakit'!F44,'Strategi yang Ditekankan'!F44,'Kriteria dari Kesuksesan'!F44)</f>
        <v>23.333333333333332</v>
      </c>
      <c r="AC43">
        <f>AVERAGE('Karakteristik yang Dominan'!G44,'Kepemimpinan dalam Rumah Sakit'!G44,'Pengelolaan Pegawai'!G44,'Perekat Rumah Sakit'!G44,'Strategi yang Ditekankan'!G44,'Kriteria dari Kesuksesan'!G44)</f>
        <v>16.666666666666668</v>
      </c>
      <c r="AD43">
        <f>AVERAGE('Karakteristik yang Dominan'!H44,'Kepemimpinan dalam Rumah Sakit'!H44,'Pengelolaan Pegawai'!H44,'Perekat Rumah Sakit'!H44,'Strategi yang Ditekankan'!H44,'Kriteria dari Kesuksesan'!H44)</f>
        <v>16.666666666666668</v>
      </c>
      <c r="AE43" s="48">
        <v>4.1500000000000004</v>
      </c>
    </row>
    <row r="44" spans="1:31">
      <c r="A44" t="str">
        <f>Sosiometri!A44</f>
        <v>Perempuan</v>
      </c>
      <c r="B44" t="str">
        <f>Sosiometri!B44</f>
        <v>41-50 tahun</v>
      </c>
      <c r="C44" t="str">
        <f>Sosiometri!C44</f>
        <v>SMA/SMK/SPK</v>
      </c>
      <c r="D44" t="str">
        <f>Sosiometri!D44</f>
        <v>&gt; 5 tahun</v>
      </c>
      <c r="E44" t="str">
        <f>Sosiometri!E44</f>
        <v>Staf Pelaksana</v>
      </c>
      <c r="F44">
        <f>Form_Responses1[[#This Row],[Column9]]</f>
        <v>5</v>
      </c>
      <c r="G44">
        <f>Form_Responses1[[#This Row],[Column10]]</f>
        <v>4</v>
      </c>
      <c r="H44">
        <f>Form_Responses1[[#This Row],[Column11]]</f>
        <v>5</v>
      </c>
      <c r="I44">
        <f>Form_Responses1[[#This Row],[Column12]]</f>
        <v>5</v>
      </c>
      <c r="J44">
        <f>Form_Responses1[[#This Row],[Column13]]</f>
        <v>5</v>
      </c>
      <c r="K44">
        <f>Form_Responses1[[#This Row],[Column14]]</f>
        <v>4</v>
      </c>
      <c r="L44">
        <f>Form_Responses1[[#This Row],[Column15]]</f>
        <v>5</v>
      </c>
      <c r="M44">
        <f>Form_Responses1[[#This Row],[Column16]]</f>
        <v>5</v>
      </c>
      <c r="N44">
        <f>Form_Responses1[[#This Row],[Column17]]</f>
        <v>4</v>
      </c>
      <c r="O44">
        <f>Form_Responses1[[#This Row],[Column18]]</f>
        <v>4</v>
      </c>
      <c r="P44">
        <f>Form_Responses1[[#This Row],[Column19]]</f>
        <v>4</v>
      </c>
      <c r="Q44">
        <f>Form_Responses1[[#This Row],[Column20]]</f>
        <v>5</v>
      </c>
      <c r="R44">
        <f>Form_Responses1[[#This Row],[Column21]]</f>
        <v>4</v>
      </c>
      <c r="S44">
        <f>Form_Responses1[[#This Row],[Column22]]</f>
        <v>4</v>
      </c>
      <c r="T44">
        <f>Form_Responses1[[#This Row],[Column23]]</f>
        <v>5</v>
      </c>
      <c r="U44">
        <f>Form_Responses1[[#This Row],[Column24]]</f>
        <v>5</v>
      </c>
      <c r="V44">
        <f>Form_Responses1[[#This Row],[Column25]]</f>
        <v>4</v>
      </c>
      <c r="W44">
        <f>Form_Responses1[[#This Row],[Column26]]</f>
        <v>5</v>
      </c>
      <c r="X44">
        <f>Form_Responses1[[#This Row],[Column27]]</f>
        <v>4</v>
      </c>
      <c r="Y44">
        <f>Form_Responses1[[#This Row],[Column28]]</f>
        <v>5</v>
      </c>
      <c r="Z44">
        <f t="shared" si="0"/>
        <v>91</v>
      </c>
      <c r="AA44">
        <f>AVERAGE('Karakteristik yang Dominan'!E45,'Kepemimpinan dalam Rumah Sakit'!E45,'Pengelolaan Pegawai'!E45,'Perekat Rumah Sakit'!E45,'Strategi yang Ditekankan'!E45,'Kriteria dari Kesuksesan'!E45)</f>
        <v>20.833333333333332</v>
      </c>
      <c r="AB44">
        <f>AVERAGE('Karakteristik yang Dominan'!F45,'Kepemimpinan dalam Rumah Sakit'!F45,'Pengelolaan Pegawai'!F45,'Perekat Rumah Sakit'!F45,'Strategi yang Ditekankan'!F45,'Kriteria dari Kesuksesan'!F45)</f>
        <v>20.833333333333332</v>
      </c>
      <c r="AC44">
        <f>AVERAGE('Karakteristik yang Dominan'!G45,'Kepemimpinan dalam Rumah Sakit'!G45,'Pengelolaan Pegawai'!G45,'Perekat Rumah Sakit'!G45,'Strategi yang Ditekankan'!G45,'Kriteria dari Kesuksesan'!G45)</f>
        <v>29.166666666666668</v>
      </c>
      <c r="AD44">
        <f>AVERAGE('Karakteristik yang Dominan'!H45,'Kepemimpinan dalam Rumah Sakit'!H45,'Pengelolaan Pegawai'!H45,'Perekat Rumah Sakit'!H45,'Strategi yang Ditekankan'!H45,'Kriteria dari Kesuksesan'!H45)</f>
        <v>29.166666666666668</v>
      </c>
      <c r="AE44" s="49">
        <v>4.8600000000000003</v>
      </c>
    </row>
    <row r="45" spans="1:31">
      <c r="A45" t="str">
        <f>Sosiometri!A45</f>
        <v>Laki-Laki</v>
      </c>
      <c r="B45" t="str">
        <f>Sosiometri!B45</f>
        <v>31-40 tahun</v>
      </c>
      <c r="C45" t="str">
        <f>Sosiometri!C45</f>
        <v>D3</v>
      </c>
      <c r="D45" t="str">
        <f>Sosiometri!D45</f>
        <v>&gt; 5 tahun</v>
      </c>
      <c r="E45" t="str">
        <f>Sosiometri!E45</f>
        <v>Koordinator</v>
      </c>
      <c r="F45">
        <f>Form_Responses1[[#This Row],[Column9]]</f>
        <v>5</v>
      </c>
      <c r="G45">
        <f>Form_Responses1[[#This Row],[Column10]]</f>
        <v>4</v>
      </c>
      <c r="H45">
        <f>Form_Responses1[[#This Row],[Column11]]</f>
        <v>4</v>
      </c>
      <c r="I45">
        <f>Form_Responses1[[#This Row],[Column12]]</f>
        <v>4</v>
      </c>
      <c r="J45">
        <f>Form_Responses1[[#This Row],[Column13]]</f>
        <v>4</v>
      </c>
      <c r="K45">
        <f>Form_Responses1[[#This Row],[Column14]]</f>
        <v>4</v>
      </c>
      <c r="L45">
        <f>Form_Responses1[[#This Row],[Column15]]</f>
        <v>4</v>
      </c>
      <c r="M45">
        <f>Form_Responses1[[#This Row],[Column16]]</f>
        <v>5</v>
      </c>
      <c r="N45">
        <f>Form_Responses1[[#This Row],[Column17]]</f>
        <v>4</v>
      </c>
      <c r="O45">
        <f>Form_Responses1[[#This Row],[Column18]]</f>
        <v>4</v>
      </c>
      <c r="P45">
        <f>Form_Responses1[[#This Row],[Column19]]</f>
        <v>5</v>
      </c>
      <c r="Q45">
        <f>Form_Responses1[[#This Row],[Column20]]</f>
        <v>5</v>
      </c>
      <c r="R45">
        <f>Form_Responses1[[#This Row],[Column21]]</f>
        <v>5</v>
      </c>
      <c r="S45">
        <f>Form_Responses1[[#This Row],[Column22]]</f>
        <v>4</v>
      </c>
      <c r="T45">
        <f>Form_Responses1[[#This Row],[Column23]]</f>
        <v>5</v>
      </c>
      <c r="U45">
        <f>Form_Responses1[[#This Row],[Column24]]</f>
        <v>5</v>
      </c>
      <c r="V45">
        <f>Form_Responses1[[#This Row],[Column25]]</f>
        <v>5</v>
      </c>
      <c r="W45">
        <f>Form_Responses1[[#This Row],[Column26]]</f>
        <v>5</v>
      </c>
      <c r="X45">
        <f>Form_Responses1[[#This Row],[Column27]]</f>
        <v>5</v>
      </c>
      <c r="Y45">
        <f>Form_Responses1[[#This Row],[Column28]]</f>
        <v>5</v>
      </c>
      <c r="Z45">
        <f t="shared" si="0"/>
        <v>91</v>
      </c>
      <c r="AA45">
        <f>AVERAGE('Karakteristik yang Dominan'!E46,'Kepemimpinan dalam Rumah Sakit'!E46,'Pengelolaan Pegawai'!E46,'Perekat Rumah Sakit'!E46,'Strategi yang Ditekankan'!E46,'Kriteria dari Kesuksesan'!E46)</f>
        <v>26.666666666666668</v>
      </c>
      <c r="AB45">
        <f>AVERAGE('Karakteristik yang Dominan'!F46,'Kepemimpinan dalam Rumah Sakit'!F46,'Pengelolaan Pegawai'!F46,'Perekat Rumah Sakit'!F46,'Strategi yang Ditekankan'!F46,'Kriteria dari Kesuksesan'!F46)</f>
        <v>23.333333333333332</v>
      </c>
      <c r="AC45">
        <f>AVERAGE('Karakteristik yang Dominan'!G46,'Kepemimpinan dalam Rumah Sakit'!G46,'Pengelolaan Pegawai'!G46,'Perekat Rumah Sakit'!G46,'Strategi yang Ditekankan'!G46,'Kriteria dari Kesuksesan'!G46)</f>
        <v>23.333333333333332</v>
      </c>
      <c r="AD45">
        <f>AVERAGE('Karakteristik yang Dominan'!H46,'Kepemimpinan dalam Rumah Sakit'!H46,'Pengelolaan Pegawai'!H46,'Perekat Rumah Sakit'!H46,'Strategi yang Ditekankan'!H46,'Kriteria dari Kesuksesan'!H46)</f>
        <v>26.666666666666668</v>
      </c>
      <c r="AE45" s="48">
        <v>4.2300000000000004</v>
      </c>
    </row>
    <row r="46" spans="1:31">
      <c r="A46" t="str">
        <f>Sosiometri!A46</f>
        <v>Laki-Laki</v>
      </c>
      <c r="B46" t="str">
        <f>Sosiometri!B46</f>
        <v>21-30 tahun</v>
      </c>
      <c r="C46" t="str">
        <f>Sosiometri!C46</f>
        <v>SMA/SMK/SPK</v>
      </c>
      <c r="D46" t="str">
        <f>Sosiometri!D46</f>
        <v>1-3 tahun</v>
      </c>
      <c r="E46" t="str">
        <f>Sosiometri!E46</f>
        <v>Staf Pelaksana</v>
      </c>
      <c r="F46">
        <f>Form_Responses1[[#This Row],[Column9]]</f>
        <v>5</v>
      </c>
      <c r="G46">
        <f>Form_Responses1[[#This Row],[Column10]]</f>
        <v>3</v>
      </c>
      <c r="H46">
        <f>Form_Responses1[[#This Row],[Column11]]</f>
        <v>3</v>
      </c>
      <c r="I46">
        <f>Form_Responses1[[#This Row],[Column12]]</f>
        <v>3</v>
      </c>
      <c r="J46">
        <f>Form_Responses1[[#This Row],[Column13]]</f>
        <v>4</v>
      </c>
      <c r="K46">
        <f>Form_Responses1[[#This Row],[Column14]]</f>
        <v>3</v>
      </c>
      <c r="L46">
        <f>Form_Responses1[[#This Row],[Column15]]</f>
        <v>3</v>
      </c>
      <c r="M46">
        <f>Form_Responses1[[#This Row],[Column16]]</f>
        <v>2</v>
      </c>
      <c r="N46">
        <f>Form_Responses1[[#This Row],[Column17]]</f>
        <v>4</v>
      </c>
      <c r="O46">
        <f>Form_Responses1[[#This Row],[Column18]]</f>
        <v>3</v>
      </c>
      <c r="P46">
        <f>Form_Responses1[[#This Row],[Column19]]</f>
        <v>3</v>
      </c>
      <c r="Q46">
        <f>Form_Responses1[[#This Row],[Column20]]</f>
        <v>4</v>
      </c>
      <c r="R46">
        <f>Form_Responses1[[#This Row],[Column21]]</f>
        <v>3</v>
      </c>
      <c r="S46">
        <f>Form_Responses1[[#This Row],[Column22]]</f>
        <v>3</v>
      </c>
      <c r="T46">
        <f>Form_Responses1[[#This Row],[Column23]]</f>
        <v>3</v>
      </c>
      <c r="U46">
        <f>Form_Responses1[[#This Row],[Column24]]</f>
        <v>2</v>
      </c>
      <c r="V46">
        <f>Form_Responses1[[#This Row],[Column25]]</f>
        <v>3</v>
      </c>
      <c r="W46">
        <f>Form_Responses1[[#This Row],[Column26]]</f>
        <v>4</v>
      </c>
      <c r="X46">
        <f>Form_Responses1[[#This Row],[Column27]]</f>
        <v>4</v>
      </c>
      <c r="Y46">
        <f>Form_Responses1[[#This Row],[Column28]]</f>
        <v>3</v>
      </c>
      <c r="Z46">
        <f t="shared" si="0"/>
        <v>65</v>
      </c>
      <c r="AA46">
        <f>AVERAGE('Karakteristik yang Dominan'!E47,'Kepemimpinan dalam Rumah Sakit'!E47,'Pengelolaan Pegawai'!E47,'Perekat Rumah Sakit'!E47,'Strategi yang Ditekankan'!E47,'Kriteria dari Kesuksesan'!E47)</f>
        <v>22.5</v>
      </c>
      <c r="AB46">
        <f>AVERAGE('Karakteristik yang Dominan'!F47,'Kepemimpinan dalam Rumah Sakit'!F47,'Pengelolaan Pegawai'!F47,'Perekat Rumah Sakit'!F47,'Strategi yang Ditekankan'!F47,'Kriteria dari Kesuksesan'!F47)</f>
        <v>24.166666666666668</v>
      </c>
      <c r="AC46">
        <f>AVERAGE('Karakteristik yang Dominan'!G47,'Kepemimpinan dalam Rumah Sakit'!G47,'Pengelolaan Pegawai'!G47,'Perekat Rumah Sakit'!G47,'Strategi yang Ditekankan'!G47,'Kriteria dari Kesuksesan'!G47)</f>
        <v>25</v>
      </c>
      <c r="AD46">
        <f>AVERAGE('Karakteristik yang Dominan'!H47,'Kepemimpinan dalam Rumah Sakit'!H47,'Pengelolaan Pegawai'!H47,'Perekat Rumah Sakit'!H47,'Strategi yang Ditekankan'!H47,'Kriteria dari Kesuksesan'!H47)</f>
        <v>28.333333333333332</v>
      </c>
      <c r="AE46" s="49">
        <v>4.1500000000000004</v>
      </c>
    </row>
    <row r="47" spans="1:31">
      <c r="A47" t="str">
        <f>Sosiometri!A47</f>
        <v>Perempuan</v>
      </c>
      <c r="B47" t="str">
        <f>Sosiometri!B47</f>
        <v>21-30 tahun</v>
      </c>
      <c r="C47" t="str">
        <f>Sosiometri!C47</f>
        <v>SMA/SMK/SPK</v>
      </c>
      <c r="D47" t="str">
        <f>Sosiometri!D47</f>
        <v>&gt; 5 tahun</v>
      </c>
      <c r="E47" t="str">
        <f>Sosiometri!E47</f>
        <v>Staf Pelaksana</v>
      </c>
      <c r="F47">
        <f>Form_Responses1[[#This Row],[Column9]]</f>
        <v>5</v>
      </c>
      <c r="G47">
        <f>Form_Responses1[[#This Row],[Column10]]</f>
        <v>4</v>
      </c>
      <c r="H47">
        <f>Form_Responses1[[#This Row],[Column11]]</f>
        <v>5</v>
      </c>
      <c r="I47">
        <f>Form_Responses1[[#This Row],[Column12]]</f>
        <v>5</v>
      </c>
      <c r="J47">
        <f>Form_Responses1[[#This Row],[Column13]]</f>
        <v>5</v>
      </c>
      <c r="K47">
        <f>Form_Responses1[[#This Row],[Column14]]</f>
        <v>4</v>
      </c>
      <c r="L47">
        <f>Form_Responses1[[#This Row],[Column15]]</f>
        <v>5</v>
      </c>
      <c r="M47">
        <f>Form_Responses1[[#This Row],[Column16]]</f>
        <v>4</v>
      </c>
      <c r="N47">
        <f>Form_Responses1[[#This Row],[Column17]]</f>
        <v>4</v>
      </c>
      <c r="O47">
        <f>Form_Responses1[[#This Row],[Column18]]</f>
        <v>5</v>
      </c>
      <c r="P47">
        <f>Form_Responses1[[#This Row],[Column19]]</f>
        <v>5</v>
      </c>
      <c r="Q47">
        <f>Form_Responses1[[#This Row],[Column20]]</f>
        <v>5</v>
      </c>
      <c r="R47">
        <f>Form_Responses1[[#This Row],[Column21]]</f>
        <v>5</v>
      </c>
      <c r="S47">
        <f>Form_Responses1[[#This Row],[Column22]]</f>
        <v>5</v>
      </c>
      <c r="T47">
        <f>Form_Responses1[[#This Row],[Column23]]</f>
        <v>4</v>
      </c>
      <c r="U47">
        <f>Form_Responses1[[#This Row],[Column24]]</f>
        <v>5</v>
      </c>
      <c r="V47">
        <f>Form_Responses1[[#This Row],[Column25]]</f>
        <v>4</v>
      </c>
      <c r="W47">
        <f>Form_Responses1[[#This Row],[Column26]]</f>
        <v>5</v>
      </c>
      <c r="X47">
        <f>Form_Responses1[[#This Row],[Column27]]</f>
        <v>4</v>
      </c>
      <c r="Y47">
        <f>Form_Responses1[[#This Row],[Column28]]</f>
        <v>4</v>
      </c>
      <c r="Z47">
        <f t="shared" si="0"/>
        <v>92</v>
      </c>
      <c r="AA47">
        <f>AVERAGE('Karakteristik yang Dominan'!E48,'Kepemimpinan dalam Rumah Sakit'!E48,'Pengelolaan Pegawai'!E48,'Perekat Rumah Sakit'!E48,'Strategi yang Ditekankan'!E48,'Kriteria dari Kesuksesan'!E48)</f>
        <v>30</v>
      </c>
      <c r="AB47">
        <f>AVERAGE('Karakteristik yang Dominan'!F48,'Kepemimpinan dalam Rumah Sakit'!F48,'Pengelolaan Pegawai'!F48,'Perekat Rumah Sakit'!F48,'Strategi yang Ditekankan'!F48,'Kriteria dari Kesuksesan'!F48)</f>
        <v>31.666666666666668</v>
      </c>
      <c r="AC47">
        <f>AVERAGE('Karakteristik yang Dominan'!G48,'Kepemimpinan dalam Rumah Sakit'!G48,'Pengelolaan Pegawai'!G48,'Perekat Rumah Sakit'!G48,'Strategi yang Ditekankan'!G48,'Kriteria dari Kesuksesan'!G48)</f>
        <v>28.333333333333332</v>
      </c>
      <c r="AD47">
        <f>AVERAGE('Karakteristik yang Dominan'!H48,'Kepemimpinan dalam Rumah Sakit'!H48,'Pengelolaan Pegawai'!H48,'Perekat Rumah Sakit'!H48,'Strategi yang Ditekankan'!H48,'Kriteria dari Kesuksesan'!H48)</f>
        <v>10</v>
      </c>
      <c r="AE47" s="48">
        <v>4.8600000000000003</v>
      </c>
    </row>
    <row r="48" spans="1:31">
      <c r="A48" t="str">
        <f>Sosiometri!A48</f>
        <v>Perempuan</v>
      </c>
      <c r="B48" t="str">
        <f>Sosiometri!B48</f>
        <v>41-50 tahun</v>
      </c>
      <c r="C48" t="str">
        <f>Sosiometri!C48</f>
        <v>SMA/SMK/SPK</v>
      </c>
      <c r="D48" t="str">
        <f>Sosiometri!D48</f>
        <v>&gt; 5 tahun</v>
      </c>
      <c r="E48" t="str">
        <f>Sosiometri!E48</f>
        <v>Staf Pelaksana</v>
      </c>
      <c r="F48">
        <f>Form_Responses1[[#This Row],[Column9]]</f>
        <v>4</v>
      </c>
      <c r="G48">
        <f>Form_Responses1[[#This Row],[Column10]]</f>
        <v>3</v>
      </c>
      <c r="H48">
        <f>Form_Responses1[[#This Row],[Column11]]</f>
        <v>3</v>
      </c>
      <c r="I48">
        <f>Form_Responses1[[#This Row],[Column12]]</f>
        <v>3</v>
      </c>
      <c r="J48">
        <f>Form_Responses1[[#This Row],[Column13]]</f>
        <v>4</v>
      </c>
      <c r="K48">
        <f>Form_Responses1[[#This Row],[Column14]]</f>
        <v>3</v>
      </c>
      <c r="L48">
        <f>Form_Responses1[[#This Row],[Column15]]</f>
        <v>3</v>
      </c>
      <c r="M48">
        <f>Form_Responses1[[#This Row],[Column16]]</f>
        <v>3</v>
      </c>
      <c r="N48">
        <f>Form_Responses1[[#This Row],[Column17]]</f>
        <v>4</v>
      </c>
      <c r="O48">
        <f>Form_Responses1[[#This Row],[Column18]]</f>
        <v>3</v>
      </c>
      <c r="P48">
        <f>Form_Responses1[[#This Row],[Column19]]</f>
        <v>3</v>
      </c>
      <c r="Q48">
        <f>Form_Responses1[[#This Row],[Column20]]</f>
        <v>4</v>
      </c>
      <c r="R48">
        <f>Form_Responses1[[#This Row],[Column21]]</f>
        <v>4</v>
      </c>
      <c r="S48">
        <f>Form_Responses1[[#This Row],[Column22]]</f>
        <v>4</v>
      </c>
      <c r="T48">
        <f>Form_Responses1[[#This Row],[Column23]]</f>
        <v>4</v>
      </c>
      <c r="U48">
        <f>Form_Responses1[[#This Row],[Column24]]</f>
        <v>3</v>
      </c>
      <c r="V48">
        <f>Form_Responses1[[#This Row],[Column25]]</f>
        <v>4</v>
      </c>
      <c r="W48">
        <f>Form_Responses1[[#This Row],[Column26]]</f>
        <v>4</v>
      </c>
      <c r="X48">
        <f>Form_Responses1[[#This Row],[Column27]]</f>
        <v>3</v>
      </c>
      <c r="Y48">
        <f>Form_Responses1[[#This Row],[Column28]]</f>
        <v>3</v>
      </c>
      <c r="Z48">
        <f t="shared" si="0"/>
        <v>69</v>
      </c>
      <c r="AA48">
        <f>AVERAGE('Karakteristik yang Dominan'!E49,'Kepemimpinan dalam Rumah Sakit'!E49,'Pengelolaan Pegawai'!E49,'Perekat Rumah Sakit'!E49,'Strategi yang Ditekankan'!E49,'Kriteria dari Kesuksesan'!E49)</f>
        <v>23.333333333333332</v>
      </c>
      <c r="AB48">
        <f>AVERAGE('Karakteristik yang Dominan'!F49,'Kepemimpinan dalam Rumah Sakit'!F49,'Pengelolaan Pegawai'!F49,'Perekat Rumah Sakit'!F49,'Strategi yang Ditekankan'!F49,'Kriteria dari Kesuksesan'!F49)</f>
        <v>26.666666666666668</v>
      </c>
      <c r="AC48">
        <f>AVERAGE('Karakteristik yang Dominan'!G49,'Kepemimpinan dalam Rumah Sakit'!G49,'Pengelolaan Pegawai'!G49,'Perekat Rumah Sakit'!G49,'Strategi yang Ditekankan'!G49,'Kriteria dari Kesuksesan'!G49)</f>
        <v>25</v>
      </c>
      <c r="AD48">
        <f>AVERAGE('Karakteristik yang Dominan'!H49,'Kepemimpinan dalam Rumah Sakit'!H49,'Pengelolaan Pegawai'!H49,'Perekat Rumah Sakit'!H49,'Strategi yang Ditekankan'!H49,'Kriteria dari Kesuksesan'!H49)</f>
        <v>25</v>
      </c>
      <c r="AE48" s="49">
        <v>4.26</v>
      </c>
    </row>
    <row r="49" spans="1:31">
      <c r="A49" t="str">
        <f>Sosiometri!A49</f>
        <v>Perempuan</v>
      </c>
      <c r="B49" t="str">
        <f>Sosiometri!B49</f>
        <v>21-30 tahun</v>
      </c>
      <c r="C49" t="str">
        <f>Sosiometri!C49</f>
        <v>D3</v>
      </c>
      <c r="D49" t="str">
        <f>Sosiometri!D49</f>
        <v>&gt;3-5 tahun</v>
      </c>
      <c r="E49" t="str">
        <f>Sosiometri!E49</f>
        <v>Koordinator</v>
      </c>
      <c r="F49">
        <f>Form_Responses1[[#This Row],[Column9]]</f>
        <v>4</v>
      </c>
      <c r="G49">
        <f>Form_Responses1[[#This Row],[Column10]]</f>
        <v>4</v>
      </c>
      <c r="H49">
        <f>Form_Responses1[[#This Row],[Column11]]</f>
        <v>3</v>
      </c>
      <c r="I49">
        <f>Form_Responses1[[#This Row],[Column12]]</f>
        <v>4</v>
      </c>
      <c r="J49">
        <f>Form_Responses1[[#This Row],[Column13]]</f>
        <v>4</v>
      </c>
      <c r="K49">
        <f>Form_Responses1[[#This Row],[Column14]]</f>
        <v>4</v>
      </c>
      <c r="L49">
        <f>Form_Responses1[[#This Row],[Column15]]</f>
        <v>4</v>
      </c>
      <c r="M49">
        <f>Form_Responses1[[#This Row],[Column16]]</f>
        <v>4</v>
      </c>
      <c r="N49">
        <f>Form_Responses1[[#This Row],[Column17]]</f>
        <v>4</v>
      </c>
      <c r="O49">
        <f>Form_Responses1[[#This Row],[Column18]]</f>
        <v>4</v>
      </c>
      <c r="P49">
        <f>Form_Responses1[[#This Row],[Column19]]</f>
        <v>4</v>
      </c>
      <c r="Q49">
        <f>Form_Responses1[[#This Row],[Column20]]</f>
        <v>3</v>
      </c>
      <c r="R49">
        <f>Form_Responses1[[#This Row],[Column21]]</f>
        <v>3</v>
      </c>
      <c r="S49">
        <f>Form_Responses1[[#This Row],[Column22]]</f>
        <v>4</v>
      </c>
      <c r="T49">
        <f>Form_Responses1[[#This Row],[Column23]]</f>
        <v>3</v>
      </c>
      <c r="U49">
        <f>Form_Responses1[[#This Row],[Column24]]</f>
        <v>3</v>
      </c>
      <c r="V49">
        <f>Form_Responses1[[#This Row],[Column25]]</f>
        <v>4</v>
      </c>
      <c r="W49">
        <f>Form_Responses1[[#This Row],[Column26]]</f>
        <v>4</v>
      </c>
      <c r="X49">
        <f>Form_Responses1[[#This Row],[Column27]]</f>
        <v>3</v>
      </c>
      <c r="Y49">
        <f>Form_Responses1[[#This Row],[Column28]]</f>
        <v>3</v>
      </c>
      <c r="Z49">
        <f t="shared" si="0"/>
        <v>73</v>
      </c>
      <c r="AA49">
        <f>AVERAGE('Karakteristik yang Dominan'!E50,'Kepemimpinan dalam Rumah Sakit'!E50,'Pengelolaan Pegawai'!E50,'Perekat Rumah Sakit'!E50,'Strategi yang Ditekankan'!E50,'Kriteria dari Kesuksesan'!E50)</f>
        <v>25</v>
      </c>
      <c r="AB49">
        <f>AVERAGE('Karakteristik yang Dominan'!F50,'Kepemimpinan dalam Rumah Sakit'!F50,'Pengelolaan Pegawai'!F50,'Perekat Rumah Sakit'!F50,'Strategi yang Ditekankan'!F50,'Kriteria dari Kesuksesan'!F50)</f>
        <v>25.833333333333332</v>
      </c>
      <c r="AC49">
        <f>AVERAGE('Karakteristik yang Dominan'!G50,'Kepemimpinan dalam Rumah Sakit'!G50,'Pengelolaan Pegawai'!G50,'Perekat Rumah Sakit'!G50,'Strategi yang Ditekankan'!G50,'Kriteria dari Kesuksesan'!G50)</f>
        <v>21.666666666666668</v>
      </c>
      <c r="AD49">
        <f>AVERAGE('Karakteristik yang Dominan'!H50,'Kepemimpinan dalam Rumah Sakit'!H50,'Pengelolaan Pegawai'!H50,'Perekat Rumah Sakit'!H50,'Strategi yang Ditekankan'!H50,'Kriteria dari Kesuksesan'!H50)</f>
        <v>27.5</v>
      </c>
      <c r="AE49" s="48">
        <v>4.3499999999999996</v>
      </c>
    </row>
    <row r="50" spans="1:31">
      <c r="A50" t="str">
        <f>Sosiometri!A50</f>
        <v>Laki-Laki</v>
      </c>
      <c r="B50" t="str">
        <f>Sosiometri!B50</f>
        <v>21-30 tahun</v>
      </c>
      <c r="C50" t="str">
        <f>Sosiometri!C50</f>
        <v>S1</v>
      </c>
      <c r="D50" t="str">
        <f>Sosiometri!D50</f>
        <v>&gt;3-5 tahun</v>
      </c>
      <c r="E50" t="str">
        <f>Sosiometri!E50</f>
        <v>Staf Pelaksana</v>
      </c>
      <c r="F50">
        <f>Form_Responses1[[#This Row],[Column9]]</f>
        <v>4</v>
      </c>
      <c r="G50">
        <f>Form_Responses1[[#This Row],[Column10]]</f>
        <v>5</v>
      </c>
      <c r="H50">
        <f>Form_Responses1[[#This Row],[Column11]]</f>
        <v>4</v>
      </c>
      <c r="I50">
        <f>Form_Responses1[[#This Row],[Column12]]</f>
        <v>4</v>
      </c>
      <c r="J50">
        <f>Form_Responses1[[#This Row],[Column13]]</f>
        <v>4</v>
      </c>
      <c r="K50">
        <f>Form_Responses1[[#This Row],[Column14]]</f>
        <v>4</v>
      </c>
      <c r="L50">
        <f>Form_Responses1[[#This Row],[Column15]]</f>
        <v>4</v>
      </c>
      <c r="M50">
        <f>Form_Responses1[[#This Row],[Column16]]</f>
        <v>4</v>
      </c>
      <c r="N50">
        <f>Form_Responses1[[#This Row],[Column17]]</f>
        <v>4</v>
      </c>
      <c r="O50">
        <f>Form_Responses1[[#This Row],[Column18]]</f>
        <v>4</v>
      </c>
      <c r="P50">
        <f>Form_Responses1[[#This Row],[Column19]]</f>
        <v>3</v>
      </c>
      <c r="Q50">
        <f>Form_Responses1[[#This Row],[Column20]]</f>
        <v>4</v>
      </c>
      <c r="R50">
        <f>Form_Responses1[[#This Row],[Column21]]</f>
        <v>3</v>
      </c>
      <c r="S50">
        <f>Form_Responses1[[#This Row],[Column22]]</f>
        <v>4</v>
      </c>
      <c r="T50">
        <f>Form_Responses1[[#This Row],[Column23]]</f>
        <v>4</v>
      </c>
      <c r="U50">
        <f>Form_Responses1[[#This Row],[Column24]]</f>
        <v>3</v>
      </c>
      <c r="V50">
        <f>Form_Responses1[[#This Row],[Column25]]</f>
        <v>4</v>
      </c>
      <c r="W50">
        <f>Form_Responses1[[#This Row],[Column26]]</f>
        <v>3</v>
      </c>
      <c r="X50">
        <f>Form_Responses1[[#This Row],[Column27]]</f>
        <v>4</v>
      </c>
      <c r="Y50">
        <f>Form_Responses1[[#This Row],[Column28]]</f>
        <v>4</v>
      </c>
      <c r="Z50">
        <f t="shared" si="0"/>
        <v>77</v>
      </c>
      <c r="AA50">
        <f>AVERAGE('Karakteristik yang Dominan'!E51,'Kepemimpinan dalam Rumah Sakit'!E51,'Pengelolaan Pegawai'!E51,'Perekat Rumah Sakit'!E51,'Strategi yang Ditekankan'!E51,'Kriteria dari Kesuksesan'!E51)</f>
        <v>31.666666666666668</v>
      </c>
      <c r="AB50">
        <f>AVERAGE('Karakteristik yang Dominan'!F51,'Kepemimpinan dalam Rumah Sakit'!F51,'Pengelolaan Pegawai'!F51,'Perekat Rumah Sakit'!F51,'Strategi yang Ditekankan'!F51,'Kriteria dari Kesuksesan'!F51)</f>
        <v>26.666666666666668</v>
      </c>
      <c r="AC50">
        <f>AVERAGE('Karakteristik yang Dominan'!G51,'Kepemimpinan dalam Rumah Sakit'!G51,'Pengelolaan Pegawai'!G51,'Perekat Rumah Sakit'!G51,'Strategi yang Ditekankan'!G51,'Kriteria dari Kesuksesan'!G51)</f>
        <v>21.666666666666668</v>
      </c>
      <c r="AD50">
        <f>AVERAGE('Karakteristik yang Dominan'!H51,'Kepemimpinan dalam Rumah Sakit'!H51,'Pengelolaan Pegawai'!H51,'Perekat Rumah Sakit'!H51,'Strategi yang Ditekankan'!H51,'Kriteria dari Kesuksesan'!H51)</f>
        <v>20</v>
      </c>
      <c r="AE50" s="49">
        <v>4.55</v>
      </c>
    </row>
    <row r="51" spans="1:31">
      <c r="A51" t="str">
        <f>Sosiometri!A51</f>
        <v>Perempuan</v>
      </c>
      <c r="B51" t="str">
        <f>Sosiometri!B51</f>
        <v>41-50 tahun</v>
      </c>
      <c r="C51" t="str">
        <f>Sosiometri!C51</f>
        <v>D3</v>
      </c>
      <c r="D51" t="str">
        <f>Sosiometri!D51</f>
        <v>&gt; 5 tahun</v>
      </c>
      <c r="E51" t="str">
        <f>Sosiometri!E51</f>
        <v>Staf Pelaksana</v>
      </c>
      <c r="F51">
        <f>Form_Responses1[[#This Row],[Column9]]</f>
        <v>4</v>
      </c>
      <c r="G51">
        <f>Form_Responses1[[#This Row],[Column10]]</f>
        <v>4</v>
      </c>
      <c r="H51">
        <f>Form_Responses1[[#This Row],[Column11]]</f>
        <v>4</v>
      </c>
      <c r="I51">
        <f>Form_Responses1[[#This Row],[Column12]]</f>
        <v>4</v>
      </c>
      <c r="J51">
        <f>Form_Responses1[[#This Row],[Column13]]</f>
        <v>4</v>
      </c>
      <c r="K51">
        <f>Form_Responses1[[#This Row],[Column14]]</f>
        <v>4</v>
      </c>
      <c r="L51">
        <f>Form_Responses1[[#This Row],[Column15]]</f>
        <v>4</v>
      </c>
      <c r="M51">
        <f>Form_Responses1[[#This Row],[Column16]]</f>
        <v>4</v>
      </c>
      <c r="N51">
        <f>Form_Responses1[[#This Row],[Column17]]</f>
        <v>4</v>
      </c>
      <c r="O51">
        <f>Form_Responses1[[#This Row],[Column18]]</f>
        <v>4</v>
      </c>
      <c r="P51">
        <f>Form_Responses1[[#This Row],[Column19]]</f>
        <v>4</v>
      </c>
      <c r="Q51">
        <f>Form_Responses1[[#This Row],[Column20]]</f>
        <v>4</v>
      </c>
      <c r="R51">
        <f>Form_Responses1[[#This Row],[Column21]]</f>
        <v>4</v>
      </c>
      <c r="S51">
        <f>Form_Responses1[[#This Row],[Column22]]</f>
        <v>4</v>
      </c>
      <c r="T51">
        <f>Form_Responses1[[#This Row],[Column23]]</f>
        <v>4</v>
      </c>
      <c r="U51">
        <f>Form_Responses1[[#This Row],[Column24]]</f>
        <v>4</v>
      </c>
      <c r="V51">
        <f>Form_Responses1[[#This Row],[Column25]]</f>
        <v>3</v>
      </c>
      <c r="W51">
        <f>Form_Responses1[[#This Row],[Column26]]</f>
        <v>4</v>
      </c>
      <c r="X51">
        <f>Form_Responses1[[#This Row],[Column27]]</f>
        <v>3</v>
      </c>
      <c r="Y51">
        <f>Form_Responses1[[#This Row],[Column28]]</f>
        <v>4</v>
      </c>
      <c r="Z51">
        <f t="shared" si="0"/>
        <v>78</v>
      </c>
      <c r="AA51">
        <f>AVERAGE('Karakteristik yang Dominan'!E52,'Kepemimpinan dalam Rumah Sakit'!E52,'Pengelolaan Pegawai'!E52,'Perekat Rumah Sakit'!E52,'Strategi yang Ditekankan'!E52,'Kriteria dari Kesuksesan'!E52)</f>
        <v>30</v>
      </c>
      <c r="AB51">
        <f>AVERAGE('Karakteristik yang Dominan'!F52,'Kepemimpinan dalam Rumah Sakit'!F52,'Pengelolaan Pegawai'!F52,'Perekat Rumah Sakit'!F52,'Strategi yang Ditekankan'!F52,'Kriteria dari Kesuksesan'!F52)</f>
        <v>33.333333333333336</v>
      </c>
      <c r="AC51">
        <f>AVERAGE('Karakteristik yang Dominan'!G52,'Kepemimpinan dalam Rumah Sakit'!G52,'Pengelolaan Pegawai'!G52,'Perekat Rumah Sakit'!G52,'Strategi yang Ditekankan'!G52,'Kriteria dari Kesuksesan'!G52)</f>
        <v>13.333333333333334</v>
      </c>
      <c r="AD51">
        <f>AVERAGE('Karakteristik yang Dominan'!H52,'Kepemimpinan dalam Rumah Sakit'!H52,'Pengelolaan Pegawai'!H52,'Perekat Rumah Sakit'!H52,'Strategi yang Ditekankan'!H52,'Kriteria dari Kesuksesan'!H52)</f>
        <v>23.333333333333332</v>
      </c>
      <c r="AE51" s="48">
        <v>4.32</v>
      </c>
    </row>
    <row r="52" spans="1:31">
      <c r="A52" t="str">
        <f>Sosiometri!A52</f>
        <v>Laki-Laki</v>
      </c>
      <c r="B52" t="str">
        <f>Sosiometri!B52</f>
        <v>21-30 tahun</v>
      </c>
      <c r="C52" t="str">
        <f>Sosiometri!C52</f>
        <v>S1</v>
      </c>
      <c r="D52" t="str">
        <f>Sosiometri!D52</f>
        <v>&gt;3-5 tahun</v>
      </c>
      <c r="E52" t="str">
        <f>Sosiometri!E52</f>
        <v>Staf Pelaksana</v>
      </c>
      <c r="F52">
        <f>Form_Responses1[[#This Row],[Column9]]</f>
        <v>4</v>
      </c>
      <c r="G52">
        <f>Form_Responses1[[#This Row],[Column10]]</f>
        <v>3</v>
      </c>
      <c r="H52">
        <f>Form_Responses1[[#This Row],[Column11]]</f>
        <v>4</v>
      </c>
      <c r="I52">
        <f>Form_Responses1[[#This Row],[Column12]]</f>
        <v>4</v>
      </c>
      <c r="J52">
        <f>Form_Responses1[[#This Row],[Column13]]</f>
        <v>4</v>
      </c>
      <c r="K52">
        <f>Form_Responses1[[#This Row],[Column14]]</f>
        <v>3</v>
      </c>
      <c r="L52">
        <f>Form_Responses1[[#This Row],[Column15]]</f>
        <v>4</v>
      </c>
      <c r="M52">
        <f>Form_Responses1[[#This Row],[Column16]]</f>
        <v>3</v>
      </c>
      <c r="N52">
        <f>Form_Responses1[[#This Row],[Column17]]</f>
        <v>4</v>
      </c>
      <c r="O52">
        <f>Form_Responses1[[#This Row],[Column18]]</f>
        <v>3</v>
      </c>
      <c r="P52">
        <f>Form_Responses1[[#This Row],[Column19]]</f>
        <v>3</v>
      </c>
      <c r="Q52">
        <f>Form_Responses1[[#This Row],[Column20]]</f>
        <v>3</v>
      </c>
      <c r="R52">
        <f>Form_Responses1[[#This Row],[Column21]]</f>
        <v>3</v>
      </c>
      <c r="S52">
        <f>Form_Responses1[[#This Row],[Column22]]</f>
        <v>4</v>
      </c>
      <c r="T52">
        <f>Form_Responses1[[#This Row],[Column23]]</f>
        <v>3</v>
      </c>
      <c r="U52">
        <f>Form_Responses1[[#This Row],[Column24]]</f>
        <v>3</v>
      </c>
      <c r="V52">
        <f>Form_Responses1[[#This Row],[Column25]]</f>
        <v>4</v>
      </c>
      <c r="W52">
        <f>Form_Responses1[[#This Row],[Column26]]</f>
        <v>3</v>
      </c>
      <c r="X52">
        <f>Form_Responses1[[#This Row],[Column27]]</f>
        <v>4</v>
      </c>
      <c r="Y52">
        <f>Form_Responses1[[#This Row],[Column28]]</f>
        <v>4</v>
      </c>
      <c r="Z52">
        <f t="shared" si="0"/>
        <v>70</v>
      </c>
      <c r="AA52">
        <f>AVERAGE('Karakteristik yang Dominan'!E53,'Kepemimpinan dalam Rumah Sakit'!E53,'Pengelolaan Pegawai'!E53,'Perekat Rumah Sakit'!E53,'Strategi yang Ditekankan'!E53,'Kriteria dari Kesuksesan'!E53)</f>
        <v>25</v>
      </c>
      <c r="AB52">
        <f>AVERAGE('Karakteristik yang Dominan'!F53,'Kepemimpinan dalam Rumah Sakit'!F53,'Pengelolaan Pegawai'!F53,'Perekat Rumah Sakit'!F53,'Strategi yang Ditekankan'!F53,'Kriteria dari Kesuksesan'!F53)</f>
        <v>21.666666666666668</v>
      </c>
      <c r="AC52">
        <f>AVERAGE('Karakteristik yang Dominan'!G53,'Kepemimpinan dalam Rumah Sakit'!G53,'Pengelolaan Pegawai'!G53,'Perekat Rumah Sakit'!G53,'Strategi yang Ditekankan'!G53,'Kriteria dari Kesuksesan'!G53)</f>
        <v>21.666666666666668</v>
      </c>
      <c r="AD52">
        <f>AVERAGE('Karakteristik yang Dominan'!H53,'Kepemimpinan dalam Rumah Sakit'!H53,'Pengelolaan Pegawai'!H53,'Perekat Rumah Sakit'!H53,'Strategi yang Ditekankan'!H53,'Kriteria dari Kesuksesan'!H53)</f>
        <v>31.666666666666668</v>
      </c>
      <c r="AE52" s="49">
        <v>4.55</v>
      </c>
    </row>
    <row r="53" spans="1:31">
      <c r="A53" t="str">
        <f>Sosiometri!A53</f>
        <v>Perempuan</v>
      </c>
      <c r="B53" t="str">
        <f>Sosiometri!B53</f>
        <v>21-30 tahun</v>
      </c>
      <c r="C53" t="str">
        <f>Sosiometri!C53</f>
        <v>SMA/SMK/SPK</v>
      </c>
      <c r="D53" t="str">
        <f>Sosiometri!D53</f>
        <v>&lt;1 tahun</v>
      </c>
      <c r="E53" t="str">
        <f>Sosiometri!E53</f>
        <v>Staf Pelaksana</v>
      </c>
      <c r="F53">
        <f>Form_Responses1[[#This Row],[Column9]]</f>
        <v>3</v>
      </c>
      <c r="G53">
        <f>Form_Responses1[[#This Row],[Column10]]</f>
        <v>3</v>
      </c>
      <c r="H53">
        <f>Form_Responses1[[#This Row],[Column11]]</f>
        <v>4</v>
      </c>
      <c r="I53">
        <f>Form_Responses1[[#This Row],[Column12]]</f>
        <v>4</v>
      </c>
      <c r="J53">
        <f>Form_Responses1[[#This Row],[Column13]]</f>
        <v>4</v>
      </c>
      <c r="K53">
        <f>Form_Responses1[[#This Row],[Column14]]</f>
        <v>4</v>
      </c>
      <c r="L53">
        <f>Form_Responses1[[#This Row],[Column15]]</f>
        <v>4</v>
      </c>
      <c r="M53">
        <f>Form_Responses1[[#This Row],[Column16]]</f>
        <v>4</v>
      </c>
      <c r="N53">
        <f>Form_Responses1[[#This Row],[Column17]]</f>
        <v>3</v>
      </c>
      <c r="O53">
        <f>Form_Responses1[[#This Row],[Column18]]</f>
        <v>3</v>
      </c>
      <c r="P53">
        <f>Form_Responses1[[#This Row],[Column19]]</f>
        <v>4</v>
      </c>
      <c r="Q53">
        <f>Form_Responses1[[#This Row],[Column20]]</f>
        <v>3</v>
      </c>
      <c r="R53">
        <f>Form_Responses1[[#This Row],[Column21]]</f>
        <v>4</v>
      </c>
      <c r="S53">
        <f>Form_Responses1[[#This Row],[Column22]]</f>
        <v>4</v>
      </c>
      <c r="T53">
        <f>Form_Responses1[[#This Row],[Column23]]</f>
        <v>3</v>
      </c>
      <c r="U53">
        <f>Form_Responses1[[#This Row],[Column24]]</f>
        <v>4</v>
      </c>
      <c r="V53">
        <f>Form_Responses1[[#This Row],[Column25]]</f>
        <v>3</v>
      </c>
      <c r="W53">
        <f>Form_Responses1[[#This Row],[Column26]]</f>
        <v>4</v>
      </c>
      <c r="X53">
        <f>Form_Responses1[[#This Row],[Column27]]</f>
        <v>4</v>
      </c>
      <c r="Y53">
        <f>Form_Responses1[[#This Row],[Column28]]</f>
        <v>3</v>
      </c>
      <c r="Z53">
        <f t="shared" si="0"/>
        <v>72</v>
      </c>
      <c r="AA53">
        <f>AVERAGE('Karakteristik yang Dominan'!E54,'Kepemimpinan dalam Rumah Sakit'!E54,'Pengelolaan Pegawai'!E54,'Perekat Rumah Sakit'!E54,'Strategi yang Ditekankan'!E54,'Kriteria dari Kesuksesan'!E54)</f>
        <v>21.666666666666668</v>
      </c>
      <c r="AB53">
        <f>AVERAGE('Karakteristik yang Dominan'!F54,'Kepemimpinan dalam Rumah Sakit'!F54,'Pengelolaan Pegawai'!F54,'Perekat Rumah Sakit'!F54,'Strategi yang Ditekankan'!F54,'Kriteria dari Kesuksesan'!F54)</f>
        <v>28.333333333333332</v>
      </c>
      <c r="AC53">
        <f>AVERAGE('Karakteristik yang Dominan'!G54,'Kepemimpinan dalam Rumah Sakit'!G54,'Pengelolaan Pegawai'!G54,'Perekat Rumah Sakit'!G54,'Strategi yang Ditekankan'!G54,'Kriteria dari Kesuksesan'!G54)</f>
        <v>21.666666666666668</v>
      </c>
      <c r="AD53">
        <f>AVERAGE('Karakteristik yang Dominan'!H54,'Kepemimpinan dalam Rumah Sakit'!H54,'Pengelolaan Pegawai'!H54,'Perekat Rumah Sakit'!H54,'Strategi yang Ditekankan'!H54,'Kriteria dari Kesuksesan'!H54)</f>
        <v>28.333333333333332</v>
      </c>
      <c r="AE53" s="48">
        <v>4.1500000000000004</v>
      </c>
    </row>
    <row r="54" spans="1:31">
      <c r="A54" t="str">
        <f>Sosiometri!A54</f>
        <v>Perempuan</v>
      </c>
      <c r="B54" t="str">
        <f>Sosiometri!B54</f>
        <v>21-30 tahun</v>
      </c>
      <c r="C54" t="str">
        <f>Sosiometri!C54</f>
        <v>S1</v>
      </c>
      <c r="D54" t="str">
        <f>Sosiometri!D54</f>
        <v>1-3 tahun</v>
      </c>
      <c r="E54" t="str">
        <f>Sosiometri!E54</f>
        <v>Staf Pelaksana</v>
      </c>
      <c r="F54">
        <f>Form_Responses1[[#This Row],[Column9]]</f>
        <v>4</v>
      </c>
      <c r="G54">
        <f>Form_Responses1[[#This Row],[Column10]]</f>
        <v>5</v>
      </c>
      <c r="H54">
        <f>Form_Responses1[[#This Row],[Column11]]</f>
        <v>4</v>
      </c>
      <c r="I54">
        <f>Form_Responses1[[#This Row],[Column12]]</f>
        <v>4</v>
      </c>
      <c r="J54">
        <f>Form_Responses1[[#This Row],[Column13]]</f>
        <v>5</v>
      </c>
      <c r="K54">
        <f>Form_Responses1[[#This Row],[Column14]]</f>
        <v>5</v>
      </c>
      <c r="L54">
        <f>Form_Responses1[[#This Row],[Column15]]</f>
        <v>4</v>
      </c>
      <c r="M54">
        <f>Form_Responses1[[#This Row],[Column16]]</f>
        <v>4</v>
      </c>
      <c r="N54">
        <f>Form_Responses1[[#This Row],[Column17]]</f>
        <v>4</v>
      </c>
      <c r="O54">
        <f>Form_Responses1[[#This Row],[Column18]]</f>
        <v>5</v>
      </c>
      <c r="P54">
        <f>Form_Responses1[[#This Row],[Column19]]</f>
        <v>4</v>
      </c>
      <c r="Q54">
        <f>Form_Responses1[[#This Row],[Column20]]</f>
        <v>5</v>
      </c>
      <c r="R54">
        <f>Form_Responses1[[#This Row],[Column21]]</f>
        <v>4</v>
      </c>
      <c r="S54">
        <f>Form_Responses1[[#This Row],[Column22]]</f>
        <v>4</v>
      </c>
      <c r="T54">
        <f>Form_Responses1[[#This Row],[Column23]]</f>
        <v>5</v>
      </c>
      <c r="U54">
        <f>Form_Responses1[[#This Row],[Column24]]</f>
        <v>4</v>
      </c>
      <c r="V54">
        <f>Form_Responses1[[#This Row],[Column25]]</f>
        <v>4</v>
      </c>
      <c r="W54">
        <f>Form_Responses1[[#This Row],[Column26]]</f>
        <v>4</v>
      </c>
      <c r="X54">
        <f>Form_Responses1[[#This Row],[Column27]]</f>
        <v>4</v>
      </c>
      <c r="Y54">
        <f>Form_Responses1[[#This Row],[Column28]]</f>
        <v>4</v>
      </c>
      <c r="Z54">
        <f t="shared" si="0"/>
        <v>86</v>
      </c>
      <c r="AA54">
        <f>AVERAGE('Karakteristik yang Dominan'!E55,'Kepemimpinan dalam Rumah Sakit'!E55,'Pengelolaan Pegawai'!E55,'Perekat Rumah Sakit'!E55,'Strategi yang Ditekankan'!E55,'Kriteria dari Kesuksesan'!E55)</f>
        <v>25</v>
      </c>
      <c r="AB54">
        <f>AVERAGE('Karakteristik yang Dominan'!F55,'Kepemimpinan dalam Rumah Sakit'!F55,'Pengelolaan Pegawai'!F55,'Perekat Rumah Sakit'!F55,'Strategi yang Ditekankan'!F55,'Kriteria dari Kesuksesan'!F55)</f>
        <v>25</v>
      </c>
      <c r="AC54">
        <f>AVERAGE('Karakteristik yang Dominan'!G55,'Kepemimpinan dalam Rumah Sakit'!G55,'Pengelolaan Pegawai'!G55,'Perekat Rumah Sakit'!G55,'Strategi yang Ditekankan'!G55,'Kriteria dari Kesuksesan'!G55)</f>
        <v>25</v>
      </c>
      <c r="AD54">
        <f>AVERAGE('Karakteristik yang Dominan'!H55,'Kepemimpinan dalam Rumah Sakit'!H55,'Pengelolaan Pegawai'!H55,'Perekat Rumah Sakit'!H55,'Strategi yang Ditekankan'!H55,'Kriteria dari Kesuksesan'!H55)</f>
        <v>25</v>
      </c>
      <c r="AE54" s="49">
        <v>4.8</v>
      </c>
    </row>
    <row r="55" spans="1:31">
      <c r="A55" t="str">
        <f>Sosiometri!A55</f>
        <v>Perempuan</v>
      </c>
      <c r="B55" t="str">
        <f>Sosiometri!B55</f>
        <v>21-30 tahun</v>
      </c>
      <c r="C55" t="str">
        <f>Sosiometri!C55</f>
        <v>S1</v>
      </c>
      <c r="D55" t="str">
        <f>Sosiometri!D55</f>
        <v>1-3 tahun</v>
      </c>
      <c r="E55" t="str">
        <f>Sosiometri!E55</f>
        <v>Staf Pelaksana</v>
      </c>
      <c r="F55">
        <f>Form_Responses1[[#This Row],[Column9]]</f>
        <v>1</v>
      </c>
      <c r="G55">
        <f>Form_Responses1[[#This Row],[Column10]]</f>
        <v>1</v>
      </c>
      <c r="H55">
        <f>Form_Responses1[[#This Row],[Column11]]</f>
        <v>1</v>
      </c>
      <c r="I55">
        <f>Form_Responses1[[#This Row],[Column12]]</f>
        <v>1</v>
      </c>
      <c r="J55">
        <f>Form_Responses1[[#This Row],[Column13]]</f>
        <v>2</v>
      </c>
      <c r="K55">
        <f>Form_Responses1[[#This Row],[Column14]]</f>
        <v>2</v>
      </c>
      <c r="L55">
        <f>Form_Responses1[[#This Row],[Column15]]</f>
        <v>2</v>
      </c>
      <c r="M55">
        <f>Form_Responses1[[#This Row],[Column16]]</f>
        <v>1</v>
      </c>
      <c r="N55">
        <f>Form_Responses1[[#This Row],[Column17]]</f>
        <v>2</v>
      </c>
      <c r="O55">
        <f>Form_Responses1[[#This Row],[Column18]]</f>
        <v>1</v>
      </c>
      <c r="P55">
        <f>Form_Responses1[[#This Row],[Column19]]</f>
        <v>1</v>
      </c>
      <c r="Q55">
        <f>Form_Responses1[[#This Row],[Column20]]</f>
        <v>2</v>
      </c>
      <c r="R55">
        <f>Form_Responses1[[#This Row],[Column21]]</f>
        <v>1</v>
      </c>
      <c r="S55">
        <f>Form_Responses1[[#This Row],[Column22]]</f>
        <v>1</v>
      </c>
      <c r="T55">
        <f>Form_Responses1[[#This Row],[Column23]]</f>
        <v>1</v>
      </c>
      <c r="U55">
        <f>Form_Responses1[[#This Row],[Column24]]</f>
        <v>1</v>
      </c>
      <c r="V55">
        <f>Form_Responses1[[#This Row],[Column25]]</f>
        <v>2</v>
      </c>
      <c r="W55">
        <f>Form_Responses1[[#This Row],[Column26]]</f>
        <v>2</v>
      </c>
      <c r="X55">
        <f>Form_Responses1[[#This Row],[Column27]]</f>
        <v>1</v>
      </c>
      <c r="Y55">
        <f>Form_Responses1[[#This Row],[Column28]]</f>
        <v>2</v>
      </c>
      <c r="Z55">
        <f t="shared" si="0"/>
        <v>28</v>
      </c>
      <c r="AA55">
        <f>AVERAGE('Karakteristik yang Dominan'!E56,'Kepemimpinan dalam Rumah Sakit'!E56,'Pengelolaan Pegawai'!E56,'Perekat Rumah Sakit'!E56,'Strategi yang Ditekankan'!E56,'Kriteria dari Kesuksesan'!E56)</f>
        <v>25</v>
      </c>
      <c r="AB55">
        <f>AVERAGE('Karakteristik yang Dominan'!F56,'Kepemimpinan dalam Rumah Sakit'!F56,'Pengelolaan Pegawai'!F56,'Perekat Rumah Sakit'!F56,'Strategi yang Ditekankan'!F56,'Kriteria dari Kesuksesan'!F56)</f>
        <v>25</v>
      </c>
      <c r="AC55">
        <f>AVERAGE('Karakteristik yang Dominan'!G56,'Kepemimpinan dalam Rumah Sakit'!G56,'Pengelolaan Pegawai'!G56,'Perekat Rumah Sakit'!G56,'Strategi yang Ditekankan'!G56,'Kriteria dari Kesuksesan'!G56)</f>
        <v>25</v>
      </c>
      <c r="AD55">
        <f>AVERAGE('Karakteristik yang Dominan'!H56,'Kepemimpinan dalam Rumah Sakit'!H56,'Pengelolaan Pegawai'!H56,'Perekat Rumah Sakit'!H56,'Strategi yang Ditekankan'!H56,'Kriteria dari Kesuksesan'!H56)</f>
        <v>25</v>
      </c>
      <c r="AE55" s="48">
        <v>3.64</v>
      </c>
    </row>
    <row r="56" spans="1:31">
      <c r="A56" t="str">
        <f>Sosiometri!A56</f>
        <v>Laki-Laki</v>
      </c>
      <c r="B56" t="str">
        <f>Sosiometri!B56</f>
        <v>31-40 tahun</v>
      </c>
      <c r="C56" t="str">
        <f>Sosiometri!C56</f>
        <v>S1</v>
      </c>
      <c r="D56" t="str">
        <f>Sosiometri!D56</f>
        <v>&gt;3-5 tahun</v>
      </c>
      <c r="E56" t="str">
        <f>Sosiometri!E56</f>
        <v>Staf Pelaksana</v>
      </c>
      <c r="F56">
        <f>Form_Responses1[[#This Row],[Column9]]</f>
        <v>4</v>
      </c>
      <c r="G56">
        <f>Form_Responses1[[#This Row],[Column10]]</f>
        <v>3</v>
      </c>
      <c r="H56">
        <f>Form_Responses1[[#This Row],[Column11]]</f>
        <v>3</v>
      </c>
      <c r="I56">
        <f>Form_Responses1[[#This Row],[Column12]]</f>
        <v>3</v>
      </c>
      <c r="J56">
        <f>Form_Responses1[[#This Row],[Column13]]</f>
        <v>3</v>
      </c>
      <c r="K56">
        <f>Form_Responses1[[#This Row],[Column14]]</f>
        <v>4</v>
      </c>
      <c r="L56">
        <f>Form_Responses1[[#This Row],[Column15]]</f>
        <v>3</v>
      </c>
      <c r="M56">
        <f>Form_Responses1[[#This Row],[Column16]]</f>
        <v>3</v>
      </c>
      <c r="N56">
        <f>Form_Responses1[[#This Row],[Column17]]</f>
        <v>4</v>
      </c>
      <c r="O56">
        <f>Form_Responses1[[#This Row],[Column18]]</f>
        <v>3</v>
      </c>
      <c r="P56">
        <f>Form_Responses1[[#This Row],[Column19]]</f>
        <v>4</v>
      </c>
      <c r="Q56">
        <f>Form_Responses1[[#This Row],[Column20]]</f>
        <v>3</v>
      </c>
      <c r="R56">
        <f>Form_Responses1[[#This Row],[Column21]]</f>
        <v>3</v>
      </c>
      <c r="S56">
        <f>Form_Responses1[[#This Row],[Column22]]</f>
        <v>3</v>
      </c>
      <c r="T56">
        <f>Form_Responses1[[#This Row],[Column23]]</f>
        <v>4</v>
      </c>
      <c r="U56">
        <f>Form_Responses1[[#This Row],[Column24]]</f>
        <v>4</v>
      </c>
      <c r="V56">
        <f>Form_Responses1[[#This Row],[Column25]]</f>
        <v>3</v>
      </c>
      <c r="W56">
        <f>Form_Responses1[[#This Row],[Column26]]</f>
        <v>4</v>
      </c>
      <c r="X56">
        <f>Form_Responses1[[#This Row],[Column27]]</f>
        <v>3</v>
      </c>
      <c r="Y56">
        <f>Form_Responses1[[#This Row],[Column28]]</f>
        <v>4</v>
      </c>
      <c r="Z56">
        <f t="shared" si="0"/>
        <v>68</v>
      </c>
      <c r="AA56">
        <f>AVERAGE('Karakteristik yang Dominan'!E57,'Kepemimpinan dalam Rumah Sakit'!E57,'Pengelolaan Pegawai'!E57,'Perekat Rumah Sakit'!E57,'Strategi yang Ditekankan'!E57,'Kriteria dari Kesuksesan'!E57)</f>
        <v>24.166666666666668</v>
      </c>
      <c r="AB56">
        <f>AVERAGE('Karakteristik yang Dominan'!F57,'Kepemimpinan dalam Rumah Sakit'!F57,'Pengelolaan Pegawai'!F57,'Perekat Rumah Sakit'!F57,'Strategi yang Ditekankan'!F57,'Kriteria dari Kesuksesan'!F57)</f>
        <v>25.833333333333332</v>
      </c>
      <c r="AC56">
        <f>AVERAGE('Karakteristik yang Dominan'!G57,'Kepemimpinan dalam Rumah Sakit'!G57,'Pengelolaan Pegawai'!G57,'Perekat Rumah Sakit'!G57,'Strategi yang Ditekankan'!G57,'Kriteria dari Kesuksesan'!G57)</f>
        <v>24.166666666666668</v>
      </c>
      <c r="AD56">
        <f>AVERAGE('Karakteristik yang Dominan'!H57,'Kepemimpinan dalam Rumah Sakit'!H57,'Pengelolaan Pegawai'!H57,'Perekat Rumah Sakit'!H57,'Strategi yang Ditekankan'!H57,'Kriteria dari Kesuksesan'!H57)</f>
        <v>25.833333333333332</v>
      </c>
      <c r="AE56" s="49">
        <v>4.1500000000000004</v>
      </c>
    </row>
    <row r="57" spans="1:31">
      <c r="A57" t="str">
        <f>Sosiometri!A57</f>
        <v>Perempuan</v>
      </c>
      <c r="B57" t="str">
        <f>Sosiometri!B57</f>
        <v>21-30 tahun</v>
      </c>
      <c r="C57" t="str">
        <f>Sosiometri!C57</f>
        <v>S1</v>
      </c>
      <c r="D57" t="str">
        <f>Sosiometri!D57</f>
        <v>1-3 tahun</v>
      </c>
      <c r="E57" t="str">
        <f>Sosiometri!E57</f>
        <v>Staf Pelaksana</v>
      </c>
      <c r="F57">
        <f>Form_Responses1[[#This Row],[Column9]]</f>
        <v>4</v>
      </c>
      <c r="G57">
        <f>Form_Responses1[[#This Row],[Column10]]</f>
        <v>4</v>
      </c>
      <c r="H57">
        <f>Form_Responses1[[#This Row],[Column11]]</f>
        <v>3</v>
      </c>
      <c r="I57">
        <f>Form_Responses1[[#This Row],[Column12]]</f>
        <v>4</v>
      </c>
      <c r="J57">
        <f>Form_Responses1[[#This Row],[Column13]]</f>
        <v>4</v>
      </c>
      <c r="K57">
        <f>Form_Responses1[[#This Row],[Column14]]</f>
        <v>4</v>
      </c>
      <c r="L57">
        <f>Form_Responses1[[#This Row],[Column15]]</f>
        <v>4</v>
      </c>
      <c r="M57">
        <f>Form_Responses1[[#This Row],[Column16]]</f>
        <v>4</v>
      </c>
      <c r="N57">
        <f>Form_Responses1[[#This Row],[Column17]]</f>
        <v>4</v>
      </c>
      <c r="O57">
        <f>Form_Responses1[[#This Row],[Column18]]</f>
        <v>4</v>
      </c>
      <c r="P57">
        <f>Form_Responses1[[#This Row],[Column19]]</f>
        <v>4</v>
      </c>
      <c r="Q57">
        <f>Form_Responses1[[#This Row],[Column20]]</f>
        <v>3</v>
      </c>
      <c r="R57">
        <f>Form_Responses1[[#This Row],[Column21]]</f>
        <v>3</v>
      </c>
      <c r="S57">
        <f>Form_Responses1[[#This Row],[Column22]]</f>
        <v>4</v>
      </c>
      <c r="T57">
        <f>Form_Responses1[[#This Row],[Column23]]</f>
        <v>3</v>
      </c>
      <c r="U57">
        <f>Form_Responses1[[#This Row],[Column24]]</f>
        <v>3</v>
      </c>
      <c r="V57">
        <f>Form_Responses1[[#This Row],[Column25]]</f>
        <v>4</v>
      </c>
      <c r="W57">
        <f>Form_Responses1[[#This Row],[Column26]]</f>
        <v>4</v>
      </c>
      <c r="X57">
        <f>Form_Responses1[[#This Row],[Column27]]</f>
        <v>3</v>
      </c>
      <c r="Y57">
        <f>Form_Responses1[[#This Row],[Column28]]</f>
        <v>3</v>
      </c>
      <c r="Z57">
        <f t="shared" si="0"/>
        <v>73</v>
      </c>
      <c r="AA57">
        <f>AVERAGE('Karakteristik yang Dominan'!E58,'Kepemimpinan dalam Rumah Sakit'!E58,'Pengelolaan Pegawai'!E58,'Perekat Rumah Sakit'!E58,'Strategi yang Ditekankan'!E58,'Kriteria dari Kesuksesan'!E58)</f>
        <v>35</v>
      </c>
      <c r="AB57">
        <f>AVERAGE('Karakteristik yang Dominan'!F58,'Kepemimpinan dalam Rumah Sakit'!F58,'Pengelolaan Pegawai'!F58,'Perekat Rumah Sakit'!F58,'Strategi yang Ditekankan'!F58,'Kriteria dari Kesuksesan'!F58)</f>
        <v>23.333333333333332</v>
      </c>
      <c r="AC57">
        <f>AVERAGE('Karakteristik yang Dominan'!G58,'Kepemimpinan dalam Rumah Sakit'!G58,'Pengelolaan Pegawai'!G58,'Perekat Rumah Sakit'!G58,'Strategi yang Ditekankan'!G58,'Kriteria dari Kesuksesan'!G58)</f>
        <v>13.333333333333334</v>
      </c>
      <c r="AD57">
        <f>AVERAGE('Karakteristik yang Dominan'!H58,'Kepemimpinan dalam Rumah Sakit'!H58,'Pengelolaan Pegawai'!H58,'Perekat Rumah Sakit'!H58,'Strategi yang Ditekankan'!H58,'Kriteria dari Kesuksesan'!H58)</f>
        <v>28.333333333333332</v>
      </c>
      <c r="AE57" s="48">
        <v>4.43</v>
      </c>
    </row>
    <row r="58" spans="1:31">
      <c r="A58" t="str">
        <f>Sosiometri!A58</f>
        <v>Laki-Laki</v>
      </c>
      <c r="B58" t="str">
        <f>Sosiometri!B58</f>
        <v>31-40 tahun</v>
      </c>
      <c r="C58" t="str">
        <f>Sosiometri!C58</f>
        <v>S1</v>
      </c>
      <c r="D58" t="str">
        <f>Sosiometri!D58</f>
        <v>1-3 tahun</v>
      </c>
      <c r="E58" t="str">
        <f>Sosiometri!E58</f>
        <v>Staf Pelaksana</v>
      </c>
      <c r="F58">
        <f>Form_Responses1[[#This Row],[Column9]]</f>
        <v>4</v>
      </c>
      <c r="G58">
        <f>Form_Responses1[[#This Row],[Column10]]</f>
        <v>4</v>
      </c>
      <c r="H58">
        <f>Form_Responses1[[#This Row],[Column11]]</f>
        <v>4</v>
      </c>
      <c r="I58">
        <f>Form_Responses1[[#This Row],[Column12]]</f>
        <v>5</v>
      </c>
      <c r="J58">
        <f>Form_Responses1[[#This Row],[Column13]]</f>
        <v>4</v>
      </c>
      <c r="K58">
        <f>Form_Responses1[[#This Row],[Column14]]</f>
        <v>5</v>
      </c>
      <c r="L58">
        <f>Form_Responses1[[#This Row],[Column15]]</f>
        <v>4</v>
      </c>
      <c r="M58">
        <f>Form_Responses1[[#This Row],[Column16]]</f>
        <v>4</v>
      </c>
      <c r="N58">
        <f>Form_Responses1[[#This Row],[Column17]]</f>
        <v>4</v>
      </c>
      <c r="O58">
        <f>Form_Responses1[[#This Row],[Column18]]</f>
        <v>4</v>
      </c>
      <c r="P58">
        <f>Form_Responses1[[#This Row],[Column19]]</f>
        <v>4</v>
      </c>
      <c r="Q58">
        <f>Form_Responses1[[#This Row],[Column20]]</f>
        <v>4</v>
      </c>
      <c r="R58">
        <f>Form_Responses1[[#This Row],[Column21]]</f>
        <v>4</v>
      </c>
      <c r="S58">
        <f>Form_Responses1[[#This Row],[Column22]]</f>
        <v>4</v>
      </c>
      <c r="T58">
        <f>Form_Responses1[[#This Row],[Column23]]</f>
        <v>4</v>
      </c>
      <c r="U58">
        <f>Form_Responses1[[#This Row],[Column24]]</f>
        <v>4</v>
      </c>
      <c r="V58">
        <f>Form_Responses1[[#This Row],[Column25]]</f>
        <v>4</v>
      </c>
      <c r="W58">
        <f>Form_Responses1[[#This Row],[Column26]]</f>
        <v>4</v>
      </c>
      <c r="X58">
        <f>Form_Responses1[[#This Row],[Column27]]</f>
        <v>4</v>
      </c>
      <c r="Y58">
        <f>Form_Responses1[[#This Row],[Column28]]</f>
        <v>4</v>
      </c>
      <c r="Z58">
        <f t="shared" si="0"/>
        <v>82</v>
      </c>
      <c r="AA58">
        <f>AVERAGE('Karakteristik yang Dominan'!E59,'Kepemimpinan dalam Rumah Sakit'!E59,'Pengelolaan Pegawai'!E59,'Perekat Rumah Sakit'!E59,'Strategi yang Ditekankan'!E59,'Kriteria dari Kesuksesan'!E59)</f>
        <v>25</v>
      </c>
      <c r="AB58">
        <f>AVERAGE('Karakteristik yang Dominan'!F59,'Kepemimpinan dalam Rumah Sakit'!F59,'Pengelolaan Pegawai'!F59,'Perekat Rumah Sakit'!F59,'Strategi yang Ditekankan'!F59,'Kriteria dari Kesuksesan'!F59)</f>
        <v>25</v>
      </c>
      <c r="AC58">
        <f>AVERAGE('Karakteristik yang Dominan'!G59,'Kepemimpinan dalam Rumah Sakit'!G59,'Pengelolaan Pegawai'!G59,'Perekat Rumah Sakit'!G59,'Strategi yang Ditekankan'!G59,'Kriteria dari Kesuksesan'!G59)</f>
        <v>25</v>
      </c>
      <c r="AD58">
        <f>AVERAGE('Karakteristik yang Dominan'!H59,'Kepemimpinan dalam Rumah Sakit'!H59,'Pengelolaan Pegawai'!H59,'Perekat Rumah Sakit'!H59,'Strategi yang Ditekankan'!H59,'Kriteria dari Kesuksesan'!H59)</f>
        <v>25</v>
      </c>
      <c r="AE58" s="49">
        <v>4.6500000000000004</v>
      </c>
    </row>
    <row r="59" spans="1:31">
      <c r="A59" t="str">
        <f>Sosiometri!A59</f>
        <v>Perempuan</v>
      </c>
      <c r="B59" t="str">
        <f>Sosiometri!B59</f>
        <v>21-30 tahun</v>
      </c>
      <c r="C59" t="str">
        <f>Sosiometri!C59</f>
        <v>D3</v>
      </c>
      <c r="D59" t="str">
        <f>Sosiometri!D59</f>
        <v>&gt; 5 tahun</v>
      </c>
      <c r="E59" t="str">
        <f>Sosiometri!E59</f>
        <v>Staf Pelaksana</v>
      </c>
      <c r="F59">
        <f>Form_Responses1[[#This Row],[Column9]]</f>
        <v>4</v>
      </c>
      <c r="G59">
        <f>Form_Responses1[[#This Row],[Column10]]</f>
        <v>5</v>
      </c>
      <c r="H59">
        <f>Form_Responses1[[#This Row],[Column11]]</f>
        <v>4</v>
      </c>
      <c r="I59">
        <f>Form_Responses1[[#This Row],[Column12]]</f>
        <v>5</v>
      </c>
      <c r="J59">
        <f>Form_Responses1[[#This Row],[Column13]]</f>
        <v>4</v>
      </c>
      <c r="K59">
        <f>Form_Responses1[[#This Row],[Column14]]</f>
        <v>4</v>
      </c>
      <c r="L59">
        <f>Form_Responses1[[#This Row],[Column15]]</f>
        <v>5</v>
      </c>
      <c r="M59">
        <f>Form_Responses1[[#This Row],[Column16]]</f>
        <v>4</v>
      </c>
      <c r="N59">
        <f>Form_Responses1[[#This Row],[Column17]]</f>
        <v>5</v>
      </c>
      <c r="O59">
        <f>Form_Responses1[[#This Row],[Column18]]</f>
        <v>4</v>
      </c>
      <c r="P59">
        <f>Form_Responses1[[#This Row],[Column19]]</f>
        <v>5</v>
      </c>
      <c r="Q59">
        <f>Form_Responses1[[#This Row],[Column20]]</f>
        <v>5</v>
      </c>
      <c r="R59">
        <f>Form_Responses1[[#This Row],[Column21]]</f>
        <v>4</v>
      </c>
      <c r="S59">
        <f>Form_Responses1[[#This Row],[Column22]]</f>
        <v>4</v>
      </c>
      <c r="T59">
        <f>Form_Responses1[[#This Row],[Column23]]</f>
        <v>4</v>
      </c>
      <c r="U59">
        <f>Form_Responses1[[#This Row],[Column24]]</f>
        <v>4</v>
      </c>
      <c r="V59">
        <f>Form_Responses1[[#This Row],[Column25]]</f>
        <v>4</v>
      </c>
      <c r="W59">
        <f>Form_Responses1[[#This Row],[Column26]]</f>
        <v>5</v>
      </c>
      <c r="X59">
        <f>Form_Responses1[[#This Row],[Column27]]</f>
        <v>5</v>
      </c>
      <c r="Y59">
        <f>Form_Responses1[[#This Row],[Column28]]</f>
        <v>4</v>
      </c>
      <c r="Z59">
        <f t="shared" si="0"/>
        <v>88</v>
      </c>
      <c r="AA59">
        <f>AVERAGE('Karakteristik yang Dominan'!E60,'Kepemimpinan dalam Rumah Sakit'!E60,'Pengelolaan Pegawai'!E60,'Perekat Rumah Sakit'!E60,'Strategi yang Ditekankan'!E60,'Kriteria dari Kesuksesan'!E60)</f>
        <v>24.166666666666668</v>
      </c>
      <c r="AB59">
        <f>AVERAGE('Karakteristik yang Dominan'!F60,'Kepemimpinan dalam Rumah Sakit'!F60,'Pengelolaan Pegawai'!F60,'Perekat Rumah Sakit'!F60,'Strategi yang Ditekankan'!F60,'Kriteria dari Kesuksesan'!F60)</f>
        <v>24.166666666666668</v>
      </c>
      <c r="AC59">
        <f>AVERAGE('Karakteristik yang Dominan'!G60,'Kepemimpinan dalam Rumah Sakit'!G60,'Pengelolaan Pegawai'!G60,'Perekat Rumah Sakit'!G60,'Strategi yang Ditekankan'!G60,'Kriteria dari Kesuksesan'!G60)</f>
        <v>24.166666666666668</v>
      </c>
      <c r="AD59">
        <f>AVERAGE('Karakteristik yang Dominan'!H60,'Kepemimpinan dalam Rumah Sakit'!H60,'Pengelolaan Pegawai'!H60,'Perekat Rumah Sakit'!H60,'Strategi yang Ditekankan'!H60,'Kriteria dari Kesuksesan'!H60)</f>
        <v>27.5</v>
      </c>
      <c r="AE59" s="48">
        <v>4.8</v>
      </c>
    </row>
    <row r="60" spans="1:31">
      <c r="A60" t="str">
        <f>Sosiometri!A60</f>
        <v>Laki-Laki</v>
      </c>
      <c r="B60" t="str">
        <f>Sosiometri!B60</f>
        <v>21-30 tahun</v>
      </c>
      <c r="C60" t="str">
        <f>Sosiometri!C60</f>
        <v>S1</v>
      </c>
      <c r="D60" t="str">
        <f>Sosiometri!D60</f>
        <v>1-3 tahun</v>
      </c>
      <c r="E60" t="str">
        <f>Sosiometri!E60</f>
        <v>Staf Pelaksana</v>
      </c>
      <c r="F60">
        <f>Form_Responses1[[#This Row],[Column9]]</f>
        <v>3</v>
      </c>
      <c r="G60">
        <f>Form_Responses1[[#This Row],[Column10]]</f>
        <v>3</v>
      </c>
      <c r="H60">
        <f>Form_Responses1[[#This Row],[Column11]]</f>
        <v>4</v>
      </c>
      <c r="I60">
        <f>Form_Responses1[[#This Row],[Column12]]</f>
        <v>3</v>
      </c>
      <c r="J60">
        <f>Form_Responses1[[#This Row],[Column13]]</f>
        <v>4</v>
      </c>
      <c r="K60">
        <f>Form_Responses1[[#This Row],[Column14]]</f>
        <v>4</v>
      </c>
      <c r="L60">
        <f>Form_Responses1[[#This Row],[Column15]]</f>
        <v>4</v>
      </c>
      <c r="M60">
        <f>Form_Responses1[[#This Row],[Column16]]</f>
        <v>4</v>
      </c>
      <c r="N60">
        <f>Form_Responses1[[#This Row],[Column17]]</f>
        <v>5</v>
      </c>
      <c r="O60">
        <f>Form_Responses1[[#This Row],[Column18]]</f>
        <v>4</v>
      </c>
      <c r="P60">
        <f>Form_Responses1[[#This Row],[Column19]]</f>
        <v>5</v>
      </c>
      <c r="Q60">
        <f>Form_Responses1[[#This Row],[Column20]]</f>
        <v>4</v>
      </c>
      <c r="R60">
        <f>Form_Responses1[[#This Row],[Column21]]</f>
        <v>4</v>
      </c>
      <c r="S60">
        <f>Form_Responses1[[#This Row],[Column22]]</f>
        <v>4</v>
      </c>
      <c r="T60">
        <f>Form_Responses1[[#This Row],[Column23]]</f>
        <v>3</v>
      </c>
      <c r="U60">
        <f>Form_Responses1[[#This Row],[Column24]]</f>
        <v>4</v>
      </c>
      <c r="V60">
        <f>Form_Responses1[[#This Row],[Column25]]</f>
        <v>4</v>
      </c>
      <c r="W60">
        <f>Form_Responses1[[#This Row],[Column26]]</f>
        <v>4</v>
      </c>
      <c r="X60">
        <f>Form_Responses1[[#This Row],[Column27]]</f>
        <v>4</v>
      </c>
      <c r="Y60">
        <f>Form_Responses1[[#This Row],[Column28]]</f>
        <v>3</v>
      </c>
      <c r="Z60">
        <f t="shared" si="0"/>
        <v>77</v>
      </c>
      <c r="AA60">
        <f>AVERAGE('Karakteristik yang Dominan'!E61,'Kepemimpinan dalam Rumah Sakit'!E61,'Pengelolaan Pegawai'!E61,'Perekat Rumah Sakit'!E61,'Strategi yang Ditekankan'!E61,'Kriteria dari Kesuksesan'!E61)</f>
        <v>23.333333333333332</v>
      </c>
      <c r="AB60">
        <f>AVERAGE('Karakteristik yang Dominan'!F61,'Kepemimpinan dalam Rumah Sakit'!F61,'Pengelolaan Pegawai'!F61,'Perekat Rumah Sakit'!F61,'Strategi yang Ditekankan'!F61,'Kriteria dari Kesuksesan'!F61)</f>
        <v>16.666666666666668</v>
      </c>
      <c r="AC60">
        <f>AVERAGE('Karakteristik yang Dominan'!G61,'Kepemimpinan dalam Rumah Sakit'!G61,'Pengelolaan Pegawai'!G61,'Perekat Rumah Sakit'!G61,'Strategi yang Ditekankan'!G61,'Kriteria dari Kesuksesan'!G61)</f>
        <v>26.666666666666668</v>
      </c>
      <c r="AD60">
        <f>AVERAGE('Karakteristik yang Dominan'!H61,'Kepemimpinan dalam Rumah Sakit'!H61,'Pengelolaan Pegawai'!H61,'Perekat Rumah Sakit'!H61,'Strategi yang Ditekankan'!H61,'Kriteria dari Kesuksesan'!H61)</f>
        <v>33.333333333333336</v>
      </c>
      <c r="AE60" s="49">
        <v>4.29</v>
      </c>
    </row>
    <row r="61" spans="1:31">
      <c r="A61" t="str">
        <f>Sosiometri!A61</f>
        <v>Perempuan</v>
      </c>
      <c r="B61" t="str">
        <f>Sosiometri!B61</f>
        <v>21-30 tahun</v>
      </c>
      <c r="C61" t="str">
        <f>Sosiometri!C61</f>
        <v>S1</v>
      </c>
      <c r="D61" t="str">
        <f>Sosiometri!D61</f>
        <v>&lt;1 tahun</v>
      </c>
      <c r="E61" t="str">
        <f>Sosiometri!E61</f>
        <v>Staf Pelaksana</v>
      </c>
      <c r="F61">
        <f>Form_Responses1[[#This Row],[Column9]]</f>
        <v>3</v>
      </c>
      <c r="G61">
        <f>Form_Responses1[[#This Row],[Column10]]</f>
        <v>3</v>
      </c>
      <c r="H61">
        <f>Form_Responses1[[#This Row],[Column11]]</f>
        <v>3</v>
      </c>
      <c r="I61">
        <f>Form_Responses1[[#This Row],[Column12]]</f>
        <v>3</v>
      </c>
      <c r="J61">
        <f>Form_Responses1[[#This Row],[Column13]]</f>
        <v>3</v>
      </c>
      <c r="K61">
        <f>Form_Responses1[[#This Row],[Column14]]</f>
        <v>3</v>
      </c>
      <c r="L61">
        <f>Form_Responses1[[#This Row],[Column15]]</f>
        <v>2</v>
      </c>
      <c r="M61">
        <f>Form_Responses1[[#This Row],[Column16]]</f>
        <v>2</v>
      </c>
      <c r="N61">
        <f>Form_Responses1[[#This Row],[Column17]]</f>
        <v>3</v>
      </c>
      <c r="O61">
        <f>Form_Responses1[[#This Row],[Column18]]</f>
        <v>2</v>
      </c>
      <c r="P61">
        <f>Form_Responses1[[#This Row],[Column19]]</f>
        <v>2</v>
      </c>
      <c r="Q61">
        <f>Form_Responses1[[#This Row],[Column20]]</f>
        <v>3</v>
      </c>
      <c r="R61">
        <f>Form_Responses1[[#This Row],[Column21]]</f>
        <v>3</v>
      </c>
      <c r="S61">
        <f>Form_Responses1[[#This Row],[Column22]]</f>
        <v>3</v>
      </c>
      <c r="T61">
        <f>Form_Responses1[[#This Row],[Column23]]</f>
        <v>3</v>
      </c>
      <c r="U61">
        <f>Form_Responses1[[#This Row],[Column24]]</f>
        <v>3</v>
      </c>
      <c r="V61">
        <f>Form_Responses1[[#This Row],[Column25]]</f>
        <v>2</v>
      </c>
      <c r="W61">
        <f>Form_Responses1[[#This Row],[Column26]]</f>
        <v>3</v>
      </c>
      <c r="X61">
        <f>Form_Responses1[[#This Row],[Column27]]</f>
        <v>2</v>
      </c>
      <c r="Y61">
        <f>Form_Responses1[[#This Row],[Column28]]</f>
        <v>3</v>
      </c>
      <c r="Z61">
        <f t="shared" si="0"/>
        <v>54</v>
      </c>
      <c r="AA61">
        <f>AVERAGE('Karakteristik yang Dominan'!E62,'Kepemimpinan dalam Rumah Sakit'!E62,'Pengelolaan Pegawai'!E62,'Perekat Rumah Sakit'!E62,'Strategi yang Ditekankan'!E62,'Kriteria dari Kesuksesan'!E62)</f>
        <v>40.833333333333336</v>
      </c>
      <c r="AB61">
        <f>AVERAGE('Karakteristik yang Dominan'!F62,'Kepemimpinan dalam Rumah Sakit'!F62,'Pengelolaan Pegawai'!F62,'Perekat Rumah Sakit'!F62,'Strategi yang Ditekankan'!F62,'Kriteria dari Kesuksesan'!F62)</f>
        <v>15</v>
      </c>
      <c r="AC61">
        <f>AVERAGE('Karakteristik yang Dominan'!G62,'Kepemimpinan dalam Rumah Sakit'!G62,'Pengelolaan Pegawai'!G62,'Perekat Rumah Sakit'!G62,'Strategi yang Ditekankan'!G62,'Kriteria dari Kesuksesan'!G62)</f>
        <v>23.333333333333332</v>
      </c>
      <c r="AD61">
        <f>AVERAGE('Karakteristik yang Dominan'!H62,'Kepemimpinan dalam Rumah Sakit'!H62,'Pengelolaan Pegawai'!H62,'Perekat Rumah Sakit'!H62,'Strategi yang Ditekankan'!H62,'Kriteria dari Kesuksesan'!H62)</f>
        <v>20.833333333333332</v>
      </c>
      <c r="AE61" s="48">
        <v>4.54</v>
      </c>
    </row>
    <row r="62" spans="1:31">
      <c r="A62" t="str">
        <f>Sosiometri!A62</f>
        <v>Perempuan</v>
      </c>
      <c r="B62" t="str">
        <f>Sosiometri!B62</f>
        <v>21-30 tahun</v>
      </c>
      <c r="C62" t="str">
        <f>Sosiometri!C62</f>
        <v>S1</v>
      </c>
      <c r="D62" t="str">
        <f>Sosiometri!D62</f>
        <v>&gt;3-5 tahun</v>
      </c>
      <c r="E62" t="str">
        <f>Sosiometri!E62</f>
        <v>Staf Pelaksana</v>
      </c>
      <c r="F62">
        <f>Form_Responses1[[#This Row],[Column9]]</f>
        <v>5</v>
      </c>
      <c r="G62">
        <f>Form_Responses1[[#This Row],[Column10]]</f>
        <v>5</v>
      </c>
      <c r="H62">
        <f>Form_Responses1[[#This Row],[Column11]]</f>
        <v>5</v>
      </c>
      <c r="I62">
        <f>Form_Responses1[[#This Row],[Column12]]</f>
        <v>5</v>
      </c>
      <c r="J62">
        <f>Form_Responses1[[#This Row],[Column13]]</f>
        <v>5</v>
      </c>
      <c r="K62">
        <f>Form_Responses1[[#This Row],[Column14]]</f>
        <v>5</v>
      </c>
      <c r="L62">
        <f>Form_Responses1[[#This Row],[Column15]]</f>
        <v>5</v>
      </c>
      <c r="M62">
        <f>Form_Responses1[[#This Row],[Column16]]</f>
        <v>5</v>
      </c>
      <c r="N62">
        <f>Form_Responses1[[#This Row],[Column17]]</f>
        <v>5</v>
      </c>
      <c r="O62">
        <f>Form_Responses1[[#This Row],[Column18]]</f>
        <v>5</v>
      </c>
      <c r="P62">
        <f>Form_Responses1[[#This Row],[Column19]]</f>
        <v>5</v>
      </c>
      <c r="Q62">
        <f>Form_Responses1[[#This Row],[Column20]]</f>
        <v>5</v>
      </c>
      <c r="R62">
        <f>Form_Responses1[[#This Row],[Column21]]</f>
        <v>5</v>
      </c>
      <c r="S62">
        <f>Form_Responses1[[#This Row],[Column22]]</f>
        <v>5</v>
      </c>
      <c r="T62">
        <f>Form_Responses1[[#This Row],[Column23]]</f>
        <v>5</v>
      </c>
      <c r="U62">
        <f>Form_Responses1[[#This Row],[Column24]]</f>
        <v>5</v>
      </c>
      <c r="V62">
        <f>Form_Responses1[[#This Row],[Column25]]</f>
        <v>5</v>
      </c>
      <c r="W62">
        <f>Form_Responses1[[#This Row],[Column26]]</f>
        <v>5</v>
      </c>
      <c r="X62">
        <f>Form_Responses1[[#This Row],[Column27]]</f>
        <v>5</v>
      </c>
      <c r="Y62">
        <f>Form_Responses1[[#This Row],[Column28]]</f>
        <v>5</v>
      </c>
      <c r="Z62">
        <f t="shared" si="0"/>
        <v>100</v>
      </c>
      <c r="AA62">
        <f>AVERAGE('Karakteristik yang Dominan'!E63,'Kepemimpinan dalam Rumah Sakit'!E63,'Pengelolaan Pegawai'!E63,'Perekat Rumah Sakit'!E63,'Strategi yang Ditekankan'!E63,'Kriteria dari Kesuksesan'!E63)</f>
        <v>18.333333333333332</v>
      </c>
      <c r="AB62">
        <f>AVERAGE('Karakteristik yang Dominan'!F63,'Kepemimpinan dalam Rumah Sakit'!F63,'Pengelolaan Pegawai'!F63,'Perekat Rumah Sakit'!F63,'Strategi yang Ditekankan'!F63,'Kriteria dari Kesuksesan'!F63)</f>
        <v>21.666666666666668</v>
      </c>
      <c r="AC62">
        <f>AVERAGE('Karakteristik yang Dominan'!G63,'Kepemimpinan dalam Rumah Sakit'!G63,'Pengelolaan Pegawai'!G63,'Perekat Rumah Sakit'!G63,'Strategi yang Ditekankan'!G63,'Kriteria dari Kesuksesan'!G63)</f>
        <v>33.333333333333336</v>
      </c>
      <c r="AD62">
        <f>AVERAGE('Karakteristik yang Dominan'!H63,'Kepemimpinan dalam Rumah Sakit'!H63,'Pengelolaan Pegawai'!H63,'Perekat Rumah Sakit'!H63,'Strategi yang Ditekankan'!H63,'Kriteria dari Kesuksesan'!H63)</f>
        <v>26.666666666666668</v>
      </c>
      <c r="AE62" s="49">
        <v>4.93</v>
      </c>
    </row>
    <row r="63" spans="1:31">
      <c r="A63" t="str">
        <f>Sosiometri!A63</f>
        <v>Laki-Laki</v>
      </c>
      <c r="B63" t="str">
        <f>Sosiometri!B63</f>
        <v>21-30 tahun</v>
      </c>
      <c r="C63" t="str">
        <f>Sosiometri!C63</f>
        <v>S1</v>
      </c>
      <c r="D63" t="str">
        <f>Sosiometri!D63</f>
        <v>&gt; 5 tahun</v>
      </c>
      <c r="E63" t="str">
        <f>Sosiometri!E63</f>
        <v>Staf Pelaksana</v>
      </c>
      <c r="F63">
        <f>Form_Responses1[[#This Row],[Column9]]</f>
        <v>3</v>
      </c>
      <c r="G63">
        <f>Form_Responses1[[#This Row],[Column10]]</f>
        <v>4</v>
      </c>
      <c r="H63">
        <f>Form_Responses1[[#This Row],[Column11]]</f>
        <v>3</v>
      </c>
      <c r="I63">
        <f>Form_Responses1[[#This Row],[Column12]]</f>
        <v>4</v>
      </c>
      <c r="J63">
        <f>Form_Responses1[[#This Row],[Column13]]</f>
        <v>4</v>
      </c>
      <c r="K63">
        <f>Form_Responses1[[#This Row],[Column14]]</f>
        <v>4</v>
      </c>
      <c r="L63">
        <f>Form_Responses1[[#This Row],[Column15]]</f>
        <v>4</v>
      </c>
      <c r="M63">
        <f>Form_Responses1[[#This Row],[Column16]]</f>
        <v>4</v>
      </c>
      <c r="N63">
        <f>Form_Responses1[[#This Row],[Column17]]</f>
        <v>4</v>
      </c>
      <c r="O63">
        <f>Form_Responses1[[#This Row],[Column18]]</f>
        <v>4</v>
      </c>
      <c r="P63">
        <f>Form_Responses1[[#This Row],[Column19]]</f>
        <v>4</v>
      </c>
      <c r="Q63">
        <f>Form_Responses1[[#This Row],[Column20]]</f>
        <v>4</v>
      </c>
      <c r="R63">
        <f>Form_Responses1[[#This Row],[Column21]]</f>
        <v>4</v>
      </c>
      <c r="S63">
        <f>Form_Responses1[[#This Row],[Column22]]</f>
        <v>4</v>
      </c>
      <c r="T63">
        <f>Form_Responses1[[#This Row],[Column23]]</f>
        <v>4</v>
      </c>
      <c r="U63">
        <f>Form_Responses1[[#This Row],[Column24]]</f>
        <v>3</v>
      </c>
      <c r="V63">
        <f>Form_Responses1[[#This Row],[Column25]]</f>
        <v>4</v>
      </c>
      <c r="W63">
        <f>Form_Responses1[[#This Row],[Column26]]</f>
        <v>3</v>
      </c>
      <c r="X63">
        <f>Form_Responses1[[#This Row],[Column27]]</f>
        <v>3</v>
      </c>
      <c r="Y63">
        <f>Form_Responses1[[#This Row],[Column28]]</f>
        <v>3</v>
      </c>
      <c r="Z63">
        <f t="shared" si="0"/>
        <v>74</v>
      </c>
      <c r="AA63">
        <f>AVERAGE('Karakteristik yang Dominan'!E64,'Kepemimpinan dalam Rumah Sakit'!E64,'Pengelolaan Pegawai'!E64,'Perekat Rumah Sakit'!E64,'Strategi yang Ditekankan'!E64,'Kriteria dari Kesuksesan'!E64)</f>
        <v>25</v>
      </c>
      <c r="AB63">
        <f>AVERAGE('Karakteristik yang Dominan'!F64,'Kepemimpinan dalam Rumah Sakit'!F64,'Pengelolaan Pegawai'!F64,'Perekat Rumah Sakit'!F64,'Strategi yang Ditekankan'!F64,'Kriteria dari Kesuksesan'!F64)</f>
        <v>21.666666666666668</v>
      </c>
      <c r="AC63">
        <f>AVERAGE('Karakteristik yang Dominan'!G64,'Kepemimpinan dalam Rumah Sakit'!G64,'Pengelolaan Pegawai'!G64,'Perekat Rumah Sakit'!G64,'Strategi yang Ditekankan'!G64,'Kriteria dari Kesuksesan'!G64)</f>
        <v>25</v>
      </c>
      <c r="AD63">
        <f>AVERAGE('Karakteristik yang Dominan'!H64,'Kepemimpinan dalam Rumah Sakit'!H64,'Pengelolaan Pegawai'!H64,'Perekat Rumah Sakit'!H64,'Strategi yang Ditekankan'!H64,'Kriteria dari Kesuksesan'!H64)</f>
        <v>28.333333333333332</v>
      </c>
      <c r="AE63" s="48">
        <v>4.46</v>
      </c>
    </row>
    <row r="64" spans="1:31">
      <c r="A64" t="str">
        <f>Sosiometri!A64</f>
        <v>Laki-Laki</v>
      </c>
      <c r="B64" t="str">
        <f>Sosiometri!B64</f>
        <v>41-50 tahun</v>
      </c>
      <c r="C64" t="str">
        <f>Sosiometri!C64</f>
        <v>S2</v>
      </c>
      <c r="D64" t="str">
        <f>Sosiometri!D64</f>
        <v>&gt; 5 tahun</v>
      </c>
      <c r="E64" t="str">
        <f>Sosiometri!E64</f>
        <v>Level 3</v>
      </c>
      <c r="F64">
        <f>Form_Responses1[[#This Row],[Column9]]</f>
        <v>5</v>
      </c>
      <c r="G64">
        <f>Form_Responses1[[#This Row],[Column10]]</f>
        <v>4</v>
      </c>
      <c r="H64">
        <f>Form_Responses1[[#This Row],[Column11]]</f>
        <v>4</v>
      </c>
      <c r="I64">
        <f>Form_Responses1[[#This Row],[Column12]]</f>
        <v>4</v>
      </c>
      <c r="J64">
        <f>Form_Responses1[[#This Row],[Column13]]</f>
        <v>5</v>
      </c>
      <c r="K64">
        <f>Form_Responses1[[#This Row],[Column14]]</f>
        <v>4</v>
      </c>
      <c r="L64">
        <f>Form_Responses1[[#This Row],[Column15]]</f>
        <v>5</v>
      </c>
      <c r="M64">
        <f>Form_Responses1[[#This Row],[Column16]]</f>
        <v>5</v>
      </c>
      <c r="N64">
        <f>Form_Responses1[[#This Row],[Column17]]</f>
        <v>4</v>
      </c>
      <c r="O64">
        <f>Form_Responses1[[#This Row],[Column18]]</f>
        <v>5</v>
      </c>
      <c r="P64">
        <f>Form_Responses1[[#This Row],[Column19]]</f>
        <v>4</v>
      </c>
      <c r="Q64">
        <f>Form_Responses1[[#This Row],[Column20]]</f>
        <v>5</v>
      </c>
      <c r="R64">
        <f>Form_Responses1[[#This Row],[Column21]]</f>
        <v>5</v>
      </c>
      <c r="S64">
        <f>Form_Responses1[[#This Row],[Column22]]</f>
        <v>5</v>
      </c>
      <c r="T64">
        <f>Form_Responses1[[#This Row],[Column23]]</f>
        <v>5</v>
      </c>
      <c r="U64">
        <f>Form_Responses1[[#This Row],[Column24]]</f>
        <v>5</v>
      </c>
      <c r="V64">
        <f>Form_Responses1[[#This Row],[Column25]]</f>
        <v>5</v>
      </c>
      <c r="W64">
        <f>Form_Responses1[[#This Row],[Column26]]</f>
        <v>5</v>
      </c>
      <c r="X64">
        <f>Form_Responses1[[#This Row],[Column27]]</f>
        <v>5</v>
      </c>
      <c r="Y64">
        <f>Form_Responses1[[#This Row],[Column28]]</f>
        <v>5</v>
      </c>
      <c r="Z64">
        <f t="shared" si="0"/>
        <v>94</v>
      </c>
      <c r="AA64">
        <f>AVERAGE('Karakteristik yang Dominan'!E65,'Kepemimpinan dalam Rumah Sakit'!E65,'Pengelolaan Pegawai'!E65,'Perekat Rumah Sakit'!E65,'Strategi yang Ditekankan'!E65,'Kriteria dari Kesuksesan'!E65)</f>
        <v>23.333333333333332</v>
      </c>
      <c r="AB64">
        <f>AVERAGE('Karakteristik yang Dominan'!F65,'Kepemimpinan dalam Rumah Sakit'!F65,'Pengelolaan Pegawai'!F65,'Perekat Rumah Sakit'!F65,'Strategi yang Ditekankan'!F65,'Kriteria dari Kesuksesan'!F65)</f>
        <v>21.666666666666668</v>
      </c>
      <c r="AC64">
        <f>AVERAGE('Karakteristik yang Dominan'!G65,'Kepemimpinan dalam Rumah Sakit'!G65,'Pengelolaan Pegawai'!G65,'Perekat Rumah Sakit'!G65,'Strategi yang Ditekankan'!G65,'Kriteria dari Kesuksesan'!G65)</f>
        <v>30</v>
      </c>
      <c r="AD64">
        <f>AVERAGE('Karakteristik yang Dominan'!H65,'Kepemimpinan dalam Rumah Sakit'!H65,'Pengelolaan Pegawai'!H65,'Perekat Rumah Sakit'!H65,'Strategi yang Ditekankan'!H65,'Kriteria dari Kesuksesan'!H65)</f>
        <v>25</v>
      </c>
      <c r="AE64" s="49">
        <v>4.8499999999999996</v>
      </c>
    </row>
    <row r="65" spans="1:31">
      <c r="A65" t="str">
        <f>Sosiometri!A65</f>
        <v>Perempuan</v>
      </c>
      <c r="B65" t="str">
        <f>Sosiometri!B65</f>
        <v>21-30 tahun</v>
      </c>
      <c r="C65" t="str">
        <f>Sosiometri!C65</f>
        <v>S1</v>
      </c>
      <c r="D65" t="str">
        <f>Sosiometri!D65</f>
        <v>&gt; 5 tahun</v>
      </c>
      <c r="E65" t="str">
        <f>Sosiometri!E65</f>
        <v>Staf Pelaksana</v>
      </c>
      <c r="F65">
        <f>Form_Responses1[[#This Row],[Column9]]</f>
        <v>3</v>
      </c>
      <c r="G65">
        <f>Form_Responses1[[#This Row],[Column10]]</f>
        <v>4</v>
      </c>
      <c r="H65">
        <f>Form_Responses1[[#This Row],[Column11]]</f>
        <v>3</v>
      </c>
      <c r="I65">
        <f>Form_Responses1[[#This Row],[Column12]]</f>
        <v>4</v>
      </c>
      <c r="J65">
        <f>Form_Responses1[[#This Row],[Column13]]</f>
        <v>4</v>
      </c>
      <c r="K65">
        <f>Form_Responses1[[#This Row],[Column14]]</f>
        <v>4</v>
      </c>
      <c r="L65">
        <f>Form_Responses1[[#This Row],[Column15]]</f>
        <v>4</v>
      </c>
      <c r="M65">
        <f>Form_Responses1[[#This Row],[Column16]]</f>
        <v>4</v>
      </c>
      <c r="N65">
        <f>Form_Responses1[[#This Row],[Column17]]</f>
        <v>4</v>
      </c>
      <c r="O65">
        <f>Form_Responses1[[#This Row],[Column18]]</f>
        <v>4</v>
      </c>
      <c r="P65">
        <f>Form_Responses1[[#This Row],[Column19]]</f>
        <v>4</v>
      </c>
      <c r="Q65">
        <f>Form_Responses1[[#This Row],[Column20]]</f>
        <v>4</v>
      </c>
      <c r="R65">
        <f>Form_Responses1[[#This Row],[Column21]]</f>
        <v>4</v>
      </c>
      <c r="S65">
        <f>Form_Responses1[[#This Row],[Column22]]</f>
        <v>4</v>
      </c>
      <c r="T65">
        <f>Form_Responses1[[#This Row],[Column23]]</f>
        <v>4</v>
      </c>
      <c r="U65">
        <f>Form_Responses1[[#This Row],[Column24]]</f>
        <v>3</v>
      </c>
      <c r="V65">
        <f>Form_Responses1[[#This Row],[Column25]]</f>
        <v>4</v>
      </c>
      <c r="W65">
        <f>Form_Responses1[[#This Row],[Column26]]</f>
        <v>3</v>
      </c>
      <c r="X65">
        <f>Form_Responses1[[#This Row],[Column27]]</f>
        <v>3</v>
      </c>
      <c r="Y65">
        <f>Form_Responses1[[#This Row],[Column28]]</f>
        <v>3</v>
      </c>
      <c r="Z65">
        <f t="shared" si="0"/>
        <v>74</v>
      </c>
      <c r="AA65">
        <f>AVERAGE('Karakteristik yang Dominan'!E66,'Kepemimpinan dalam Rumah Sakit'!E66,'Pengelolaan Pegawai'!E66,'Perekat Rumah Sakit'!E66,'Strategi yang Ditekankan'!E66,'Kriteria dari Kesuksesan'!E66)</f>
        <v>23.333333333333332</v>
      </c>
      <c r="AB65">
        <f>AVERAGE('Karakteristik yang Dominan'!F66,'Kepemimpinan dalam Rumah Sakit'!F66,'Pengelolaan Pegawai'!F66,'Perekat Rumah Sakit'!F66,'Strategi yang Ditekankan'!F66,'Kriteria dari Kesuksesan'!F66)</f>
        <v>23.333333333333332</v>
      </c>
      <c r="AC65">
        <f>AVERAGE('Karakteristik yang Dominan'!G66,'Kepemimpinan dalam Rumah Sakit'!G66,'Pengelolaan Pegawai'!G66,'Perekat Rumah Sakit'!G66,'Strategi yang Ditekankan'!G66,'Kriteria dari Kesuksesan'!G66)</f>
        <v>23.333333333333332</v>
      </c>
      <c r="AD65">
        <f>AVERAGE('Karakteristik yang Dominan'!H66,'Kepemimpinan dalam Rumah Sakit'!H66,'Pengelolaan Pegawai'!H66,'Perekat Rumah Sakit'!H66,'Strategi yang Ditekankan'!H66,'Kriteria dari Kesuksesan'!H66)</f>
        <v>30</v>
      </c>
      <c r="AE65" s="48">
        <v>4.3499999999999996</v>
      </c>
    </row>
    <row r="66" spans="1:31">
      <c r="A66" t="str">
        <f>Sosiometri!A66</f>
        <v>Perempuan</v>
      </c>
      <c r="B66" t="str">
        <f>Sosiometri!B66</f>
        <v>21-30 tahun</v>
      </c>
      <c r="C66" t="str">
        <f>Sosiometri!C66</f>
        <v>S1</v>
      </c>
      <c r="D66" t="str">
        <f>Sosiometri!D66</f>
        <v>&gt; 5 tahun</v>
      </c>
      <c r="E66" t="str">
        <f>Sosiometri!E66</f>
        <v>Staf Pelaksana</v>
      </c>
      <c r="F66">
        <f>Form_Responses1[[#This Row],[Column9]]</f>
        <v>4</v>
      </c>
      <c r="G66">
        <f>Form_Responses1[[#This Row],[Column10]]</f>
        <v>4</v>
      </c>
      <c r="H66">
        <f>Form_Responses1[[#This Row],[Column11]]</f>
        <v>3</v>
      </c>
      <c r="I66">
        <f>Form_Responses1[[#This Row],[Column12]]</f>
        <v>4</v>
      </c>
      <c r="J66">
        <f>Form_Responses1[[#This Row],[Column13]]</f>
        <v>4</v>
      </c>
      <c r="K66">
        <f>Form_Responses1[[#This Row],[Column14]]</f>
        <v>4</v>
      </c>
      <c r="L66">
        <f>Form_Responses1[[#This Row],[Column15]]</f>
        <v>3</v>
      </c>
      <c r="M66">
        <f>Form_Responses1[[#This Row],[Column16]]</f>
        <v>4</v>
      </c>
      <c r="N66">
        <f>Form_Responses1[[#This Row],[Column17]]</f>
        <v>3</v>
      </c>
      <c r="O66">
        <f>Form_Responses1[[#This Row],[Column18]]</f>
        <v>3</v>
      </c>
      <c r="P66">
        <f>Form_Responses1[[#This Row],[Column19]]</f>
        <v>4</v>
      </c>
      <c r="Q66">
        <f>Form_Responses1[[#This Row],[Column20]]</f>
        <v>3</v>
      </c>
      <c r="R66">
        <f>Form_Responses1[[#This Row],[Column21]]</f>
        <v>3</v>
      </c>
      <c r="S66">
        <f>Form_Responses1[[#This Row],[Column22]]</f>
        <v>4</v>
      </c>
      <c r="T66">
        <f>Form_Responses1[[#This Row],[Column23]]</f>
        <v>3</v>
      </c>
      <c r="U66">
        <f>Form_Responses1[[#This Row],[Column24]]</f>
        <v>3</v>
      </c>
      <c r="V66">
        <f>Form_Responses1[[#This Row],[Column25]]</f>
        <v>4</v>
      </c>
      <c r="W66">
        <f>Form_Responses1[[#This Row],[Column26]]</f>
        <v>4</v>
      </c>
      <c r="X66">
        <f>Form_Responses1[[#This Row],[Column27]]</f>
        <v>3</v>
      </c>
      <c r="Y66">
        <f>Form_Responses1[[#This Row],[Column28]]</f>
        <v>3</v>
      </c>
      <c r="Z66">
        <f t="shared" si="0"/>
        <v>70</v>
      </c>
      <c r="AA66">
        <f>AVERAGE('Karakteristik yang Dominan'!E67,'Kepemimpinan dalam Rumah Sakit'!E67,'Pengelolaan Pegawai'!E67,'Perekat Rumah Sakit'!E67,'Strategi yang Ditekankan'!E67,'Kriteria dari Kesuksesan'!E67)</f>
        <v>21.666666666666668</v>
      </c>
      <c r="AB66">
        <f>AVERAGE('Karakteristik yang Dominan'!F67,'Kepemimpinan dalam Rumah Sakit'!F67,'Pengelolaan Pegawai'!F67,'Perekat Rumah Sakit'!F67,'Strategi yang Ditekankan'!F67,'Kriteria dari Kesuksesan'!F67)</f>
        <v>20</v>
      </c>
      <c r="AC66">
        <f>AVERAGE('Karakteristik yang Dominan'!G67,'Kepemimpinan dalam Rumah Sakit'!G67,'Pengelolaan Pegawai'!G67,'Perekat Rumah Sakit'!G67,'Strategi yang Ditekankan'!G67,'Kriteria dari Kesuksesan'!G67)</f>
        <v>28.333333333333332</v>
      </c>
      <c r="AD66">
        <f>AVERAGE('Karakteristik yang Dominan'!H67,'Kepemimpinan dalam Rumah Sakit'!H67,'Pengelolaan Pegawai'!H67,'Perekat Rumah Sakit'!H67,'Strategi yang Ditekankan'!H67,'Kriteria dari Kesuksesan'!H67)</f>
        <v>30</v>
      </c>
      <c r="AE66" s="49">
        <v>4.49</v>
      </c>
    </row>
    <row r="67" spans="1:31">
      <c r="A67" t="str">
        <f>Sosiometri!A67</f>
        <v>Perempuan</v>
      </c>
      <c r="B67" t="str">
        <f>Sosiometri!B67</f>
        <v>51-60 tahun</v>
      </c>
      <c r="C67" t="str">
        <f>Sosiometri!C67</f>
        <v>S1</v>
      </c>
      <c r="D67" t="str">
        <f>Sosiometri!D67</f>
        <v>&gt; 5 tahun</v>
      </c>
      <c r="E67" t="str">
        <f>Sosiometri!E67</f>
        <v>Level 3</v>
      </c>
      <c r="F67">
        <f>Form_Responses1[[#This Row],[Column9]]</f>
        <v>5</v>
      </c>
      <c r="G67">
        <f>Form_Responses1[[#This Row],[Column10]]</f>
        <v>5</v>
      </c>
      <c r="H67">
        <f>Form_Responses1[[#This Row],[Column11]]</f>
        <v>5</v>
      </c>
      <c r="I67">
        <f>Form_Responses1[[#This Row],[Column12]]</f>
        <v>5</v>
      </c>
      <c r="J67">
        <f>Form_Responses1[[#This Row],[Column13]]</f>
        <v>5</v>
      </c>
      <c r="K67">
        <f>Form_Responses1[[#This Row],[Column14]]</f>
        <v>5</v>
      </c>
      <c r="L67">
        <f>Form_Responses1[[#This Row],[Column15]]</f>
        <v>5</v>
      </c>
      <c r="M67">
        <f>Form_Responses1[[#This Row],[Column16]]</f>
        <v>5</v>
      </c>
      <c r="N67">
        <f>Form_Responses1[[#This Row],[Column17]]</f>
        <v>5</v>
      </c>
      <c r="O67">
        <f>Form_Responses1[[#This Row],[Column18]]</f>
        <v>5</v>
      </c>
      <c r="P67">
        <f>Form_Responses1[[#This Row],[Column19]]</f>
        <v>5</v>
      </c>
      <c r="Q67">
        <f>Form_Responses1[[#This Row],[Column20]]</f>
        <v>5</v>
      </c>
      <c r="R67">
        <f>Form_Responses1[[#This Row],[Column21]]</f>
        <v>5</v>
      </c>
      <c r="S67">
        <f>Form_Responses1[[#This Row],[Column22]]</f>
        <v>5</v>
      </c>
      <c r="T67">
        <f>Form_Responses1[[#This Row],[Column23]]</f>
        <v>5</v>
      </c>
      <c r="U67">
        <f>Form_Responses1[[#This Row],[Column24]]</f>
        <v>5</v>
      </c>
      <c r="V67">
        <f>Form_Responses1[[#This Row],[Column25]]</f>
        <v>5</v>
      </c>
      <c r="W67">
        <f>Form_Responses1[[#This Row],[Column26]]</f>
        <v>5</v>
      </c>
      <c r="X67">
        <f>Form_Responses1[[#This Row],[Column27]]</f>
        <v>5</v>
      </c>
      <c r="Y67">
        <f>Form_Responses1[[#This Row],[Column28]]</f>
        <v>5</v>
      </c>
      <c r="Z67">
        <f t="shared" ref="Z67:Z130" si="1">SUM(F67:Y67)</f>
        <v>100</v>
      </c>
      <c r="AA67">
        <f>AVERAGE('Karakteristik yang Dominan'!E68,'Kepemimpinan dalam Rumah Sakit'!E68,'Pengelolaan Pegawai'!E68,'Perekat Rumah Sakit'!E68,'Strategi yang Ditekankan'!E68,'Kriteria dari Kesuksesan'!E68)</f>
        <v>28.333333333333332</v>
      </c>
      <c r="AB67">
        <f>AVERAGE('Karakteristik yang Dominan'!F68,'Kepemimpinan dalam Rumah Sakit'!F68,'Pengelolaan Pegawai'!F68,'Perekat Rumah Sakit'!F68,'Strategi yang Ditekankan'!F68,'Kriteria dari Kesuksesan'!F68)</f>
        <v>23.333333333333332</v>
      </c>
      <c r="AC67">
        <f>AVERAGE('Karakteristik yang Dominan'!G68,'Kepemimpinan dalam Rumah Sakit'!G68,'Pengelolaan Pegawai'!G68,'Perekat Rumah Sakit'!G68,'Strategi yang Ditekankan'!G68,'Kriteria dari Kesuksesan'!G68)</f>
        <v>20</v>
      </c>
      <c r="AD67">
        <f>AVERAGE('Karakteristik yang Dominan'!H68,'Kepemimpinan dalam Rumah Sakit'!H68,'Pengelolaan Pegawai'!H68,'Perekat Rumah Sakit'!H68,'Strategi yang Ditekankan'!H68,'Kriteria dari Kesuksesan'!H68)</f>
        <v>28.333333333333332</v>
      </c>
      <c r="AE67" s="48">
        <v>5.67</v>
      </c>
    </row>
    <row r="68" spans="1:31">
      <c r="A68" t="str">
        <f>Sosiometri!A68</f>
        <v>Perempuan</v>
      </c>
      <c r="B68" t="str">
        <f>Sosiometri!B68</f>
        <v>31-40 tahun</v>
      </c>
      <c r="C68" t="str">
        <f>Sosiometri!C68</f>
        <v>D3</v>
      </c>
      <c r="D68" t="str">
        <f>Sosiometri!D68</f>
        <v>&gt; 5 tahun</v>
      </c>
      <c r="E68" t="str">
        <f>Sosiometri!E68</f>
        <v>Staf Pelaksana</v>
      </c>
      <c r="F68">
        <f>Form_Responses1[[#This Row],[Column9]]</f>
        <v>5</v>
      </c>
      <c r="G68">
        <f>Form_Responses1[[#This Row],[Column10]]</f>
        <v>5</v>
      </c>
      <c r="H68">
        <f>Form_Responses1[[#This Row],[Column11]]</f>
        <v>5</v>
      </c>
      <c r="I68">
        <f>Form_Responses1[[#This Row],[Column12]]</f>
        <v>4</v>
      </c>
      <c r="J68">
        <f>Form_Responses1[[#This Row],[Column13]]</f>
        <v>5</v>
      </c>
      <c r="K68">
        <f>Form_Responses1[[#This Row],[Column14]]</f>
        <v>5</v>
      </c>
      <c r="L68">
        <f>Form_Responses1[[#This Row],[Column15]]</f>
        <v>5</v>
      </c>
      <c r="M68">
        <f>Form_Responses1[[#This Row],[Column16]]</f>
        <v>5</v>
      </c>
      <c r="N68">
        <f>Form_Responses1[[#This Row],[Column17]]</f>
        <v>4</v>
      </c>
      <c r="O68">
        <f>Form_Responses1[[#This Row],[Column18]]</f>
        <v>5</v>
      </c>
      <c r="P68">
        <f>Form_Responses1[[#This Row],[Column19]]</f>
        <v>5</v>
      </c>
      <c r="Q68">
        <f>Form_Responses1[[#This Row],[Column20]]</f>
        <v>4</v>
      </c>
      <c r="R68">
        <f>Form_Responses1[[#This Row],[Column21]]</f>
        <v>5</v>
      </c>
      <c r="S68">
        <f>Form_Responses1[[#This Row],[Column22]]</f>
        <v>4</v>
      </c>
      <c r="T68">
        <f>Form_Responses1[[#This Row],[Column23]]</f>
        <v>5</v>
      </c>
      <c r="U68">
        <f>Form_Responses1[[#This Row],[Column24]]</f>
        <v>5</v>
      </c>
      <c r="V68">
        <f>Form_Responses1[[#This Row],[Column25]]</f>
        <v>5</v>
      </c>
      <c r="W68">
        <f>Form_Responses1[[#This Row],[Column26]]</f>
        <v>5</v>
      </c>
      <c r="X68">
        <f>Form_Responses1[[#This Row],[Column27]]</f>
        <v>5</v>
      </c>
      <c r="Y68">
        <f>Form_Responses1[[#This Row],[Column28]]</f>
        <v>5</v>
      </c>
      <c r="Z68">
        <f t="shared" si="1"/>
        <v>96</v>
      </c>
      <c r="AA68">
        <f>AVERAGE('Karakteristik yang Dominan'!E69,'Kepemimpinan dalam Rumah Sakit'!E69,'Pengelolaan Pegawai'!E69,'Perekat Rumah Sakit'!E69,'Strategi yang Ditekankan'!E69,'Kriteria dari Kesuksesan'!E69)</f>
        <v>26.666666666666668</v>
      </c>
      <c r="AB68">
        <f>AVERAGE('Karakteristik yang Dominan'!F69,'Kepemimpinan dalam Rumah Sakit'!F69,'Pengelolaan Pegawai'!F69,'Perekat Rumah Sakit'!F69,'Strategi yang Ditekankan'!F69,'Kriteria dari Kesuksesan'!F69)</f>
        <v>25</v>
      </c>
      <c r="AC68">
        <f>AVERAGE('Karakteristik yang Dominan'!G69,'Kepemimpinan dalam Rumah Sakit'!G69,'Pengelolaan Pegawai'!G69,'Perekat Rumah Sakit'!G69,'Strategi yang Ditekankan'!G69,'Kriteria dari Kesuksesan'!G69)</f>
        <v>20</v>
      </c>
      <c r="AD68">
        <f>AVERAGE('Karakteristik yang Dominan'!H69,'Kepemimpinan dalam Rumah Sakit'!H69,'Pengelolaan Pegawai'!H69,'Perekat Rumah Sakit'!H69,'Strategi yang Ditekankan'!H69,'Kriteria dari Kesuksesan'!H69)</f>
        <v>28.333333333333332</v>
      </c>
      <c r="AE68" s="49">
        <v>4.25</v>
      </c>
    </row>
    <row r="69" spans="1:31">
      <c r="A69" t="str">
        <f>Sosiometri!A69</f>
        <v>Perempuan</v>
      </c>
      <c r="B69" t="str">
        <f>Sosiometri!B69</f>
        <v>21-30 tahun</v>
      </c>
      <c r="C69" t="str">
        <f>Sosiometri!C69</f>
        <v>S1</v>
      </c>
      <c r="D69" t="str">
        <f>Sosiometri!D69</f>
        <v>&lt;1 tahun</v>
      </c>
      <c r="E69" t="str">
        <f>Sosiometri!E69</f>
        <v>Staf Pelaksana</v>
      </c>
      <c r="F69">
        <f>Form_Responses1[[#This Row],[Column9]]</f>
        <v>3</v>
      </c>
      <c r="G69">
        <f>Form_Responses1[[#This Row],[Column10]]</f>
        <v>3</v>
      </c>
      <c r="H69">
        <f>Form_Responses1[[#This Row],[Column11]]</f>
        <v>3</v>
      </c>
      <c r="I69">
        <f>Form_Responses1[[#This Row],[Column12]]</f>
        <v>3</v>
      </c>
      <c r="J69">
        <f>Form_Responses1[[#This Row],[Column13]]</f>
        <v>3</v>
      </c>
      <c r="K69">
        <f>Form_Responses1[[#This Row],[Column14]]</f>
        <v>3</v>
      </c>
      <c r="L69">
        <f>Form_Responses1[[#This Row],[Column15]]</f>
        <v>3</v>
      </c>
      <c r="M69">
        <f>Form_Responses1[[#This Row],[Column16]]</f>
        <v>3</v>
      </c>
      <c r="N69">
        <f>Form_Responses1[[#This Row],[Column17]]</f>
        <v>3</v>
      </c>
      <c r="O69">
        <f>Form_Responses1[[#This Row],[Column18]]</f>
        <v>3</v>
      </c>
      <c r="P69">
        <f>Form_Responses1[[#This Row],[Column19]]</f>
        <v>3</v>
      </c>
      <c r="Q69">
        <f>Form_Responses1[[#This Row],[Column20]]</f>
        <v>3</v>
      </c>
      <c r="R69">
        <f>Form_Responses1[[#This Row],[Column21]]</f>
        <v>3</v>
      </c>
      <c r="S69">
        <f>Form_Responses1[[#This Row],[Column22]]</f>
        <v>3</v>
      </c>
      <c r="T69">
        <f>Form_Responses1[[#This Row],[Column23]]</f>
        <v>3</v>
      </c>
      <c r="U69">
        <f>Form_Responses1[[#This Row],[Column24]]</f>
        <v>3</v>
      </c>
      <c r="V69">
        <f>Form_Responses1[[#This Row],[Column25]]</f>
        <v>3</v>
      </c>
      <c r="W69">
        <f>Form_Responses1[[#This Row],[Column26]]</f>
        <v>3</v>
      </c>
      <c r="X69">
        <f>Form_Responses1[[#This Row],[Column27]]</f>
        <v>3</v>
      </c>
      <c r="Y69">
        <f>Form_Responses1[[#This Row],[Column28]]</f>
        <v>3</v>
      </c>
      <c r="Z69">
        <f t="shared" si="1"/>
        <v>60</v>
      </c>
      <c r="AA69">
        <f>AVERAGE('Karakteristik yang Dominan'!E70,'Kepemimpinan dalam Rumah Sakit'!E70,'Pengelolaan Pegawai'!E70,'Perekat Rumah Sakit'!E70,'Strategi yang Ditekankan'!E70,'Kriteria dari Kesuksesan'!E70)</f>
        <v>31.666666666666668</v>
      </c>
      <c r="AB69">
        <f>AVERAGE('Karakteristik yang Dominan'!F70,'Kepemimpinan dalam Rumah Sakit'!F70,'Pengelolaan Pegawai'!F70,'Perekat Rumah Sakit'!F70,'Strategi yang Ditekankan'!F70,'Kriteria dari Kesuksesan'!F70)</f>
        <v>28.333333333333332</v>
      </c>
      <c r="AC69">
        <f>AVERAGE('Karakteristik yang Dominan'!G70,'Kepemimpinan dalam Rumah Sakit'!G70,'Pengelolaan Pegawai'!G70,'Perekat Rumah Sakit'!G70,'Strategi yang Ditekankan'!G70,'Kriteria dari Kesuksesan'!G70)</f>
        <v>20</v>
      </c>
      <c r="AD69">
        <f>AVERAGE('Karakteristik yang Dominan'!H70,'Kepemimpinan dalam Rumah Sakit'!H70,'Pengelolaan Pegawai'!H70,'Perekat Rumah Sakit'!H70,'Strategi yang Ditekankan'!H70,'Kriteria dari Kesuksesan'!H70)</f>
        <v>20</v>
      </c>
      <c r="AE69" s="48">
        <v>3.91</v>
      </c>
    </row>
    <row r="70" spans="1:31">
      <c r="A70" t="str">
        <f>Sosiometri!A70</f>
        <v>Perempuan</v>
      </c>
      <c r="B70" t="str">
        <f>Sosiometri!B70</f>
        <v>21-30 tahun</v>
      </c>
      <c r="C70" t="str">
        <f>Sosiometri!C70</f>
        <v>S1</v>
      </c>
      <c r="D70" t="str">
        <f>Sosiometri!D70</f>
        <v>1-3 tahun</v>
      </c>
      <c r="E70" t="str">
        <f>Sosiometri!E70</f>
        <v>Staf Pelaksana</v>
      </c>
      <c r="F70">
        <f>Form_Responses1[[#This Row],[Column9]]</f>
        <v>3</v>
      </c>
      <c r="G70">
        <f>Form_Responses1[[#This Row],[Column10]]</f>
        <v>3</v>
      </c>
      <c r="H70">
        <f>Form_Responses1[[#This Row],[Column11]]</f>
        <v>3</v>
      </c>
      <c r="I70">
        <f>Form_Responses1[[#This Row],[Column12]]</f>
        <v>3</v>
      </c>
      <c r="J70">
        <f>Form_Responses1[[#This Row],[Column13]]</f>
        <v>3</v>
      </c>
      <c r="K70">
        <f>Form_Responses1[[#This Row],[Column14]]</f>
        <v>3</v>
      </c>
      <c r="L70">
        <f>Form_Responses1[[#This Row],[Column15]]</f>
        <v>3</v>
      </c>
      <c r="M70">
        <f>Form_Responses1[[#This Row],[Column16]]</f>
        <v>3</v>
      </c>
      <c r="N70">
        <f>Form_Responses1[[#This Row],[Column17]]</f>
        <v>3</v>
      </c>
      <c r="O70">
        <f>Form_Responses1[[#This Row],[Column18]]</f>
        <v>3</v>
      </c>
      <c r="P70">
        <f>Form_Responses1[[#This Row],[Column19]]</f>
        <v>3</v>
      </c>
      <c r="Q70">
        <f>Form_Responses1[[#This Row],[Column20]]</f>
        <v>3</v>
      </c>
      <c r="R70">
        <f>Form_Responses1[[#This Row],[Column21]]</f>
        <v>3</v>
      </c>
      <c r="S70">
        <f>Form_Responses1[[#This Row],[Column22]]</f>
        <v>3</v>
      </c>
      <c r="T70">
        <f>Form_Responses1[[#This Row],[Column23]]</f>
        <v>3</v>
      </c>
      <c r="U70">
        <f>Form_Responses1[[#This Row],[Column24]]</f>
        <v>3</v>
      </c>
      <c r="V70">
        <f>Form_Responses1[[#This Row],[Column25]]</f>
        <v>3</v>
      </c>
      <c r="W70">
        <f>Form_Responses1[[#This Row],[Column26]]</f>
        <v>3</v>
      </c>
      <c r="X70">
        <f>Form_Responses1[[#This Row],[Column27]]</f>
        <v>3</v>
      </c>
      <c r="Y70">
        <f>Form_Responses1[[#This Row],[Column28]]</f>
        <v>3</v>
      </c>
      <c r="Z70">
        <f t="shared" si="1"/>
        <v>60</v>
      </c>
      <c r="AA70">
        <f>AVERAGE('Karakteristik yang Dominan'!E71,'Kepemimpinan dalam Rumah Sakit'!E71,'Pengelolaan Pegawai'!E71,'Perekat Rumah Sakit'!E71,'Strategi yang Ditekankan'!E71,'Kriteria dari Kesuksesan'!E71)</f>
        <v>70</v>
      </c>
      <c r="AB70">
        <f>AVERAGE('Karakteristik yang Dominan'!F71,'Kepemimpinan dalam Rumah Sakit'!F71,'Pengelolaan Pegawai'!F71,'Perekat Rumah Sakit'!F71,'Strategi yang Ditekankan'!F71,'Kriteria dari Kesuksesan'!F71)</f>
        <v>10</v>
      </c>
      <c r="AC70">
        <f>AVERAGE('Karakteristik yang Dominan'!G71,'Kepemimpinan dalam Rumah Sakit'!G71,'Pengelolaan Pegawai'!G71,'Perekat Rumah Sakit'!G71,'Strategi yang Ditekankan'!G71,'Kriteria dari Kesuksesan'!G71)</f>
        <v>10</v>
      </c>
      <c r="AD70">
        <f>AVERAGE('Karakteristik yang Dominan'!H71,'Kepemimpinan dalam Rumah Sakit'!H71,'Pengelolaan Pegawai'!H71,'Perekat Rumah Sakit'!H71,'Strategi yang Ditekankan'!H71,'Kriteria dari Kesuksesan'!H71)</f>
        <v>10</v>
      </c>
      <c r="AE70" s="49">
        <v>3.94</v>
      </c>
    </row>
    <row r="71" spans="1:31">
      <c r="A71" t="str">
        <f>Sosiometri!A71</f>
        <v>Perempuan</v>
      </c>
      <c r="B71" t="str">
        <f>Sosiometri!B71</f>
        <v>31-40 tahun</v>
      </c>
      <c r="C71" t="str">
        <f>Sosiometri!C71</f>
        <v>D3</v>
      </c>
      <c r="D71" t="str">
        <f>Sosiometri!D71</f>
        <v>&lt;1 tahun</v>
      </c>
      <c r="E71" t="str">
        <f>Sosiometri!E71</f>
        <v>Staf Pelaksana</v>
      </c>
      <c r="F71">
        <f>Form_Responses1[[#This Row],[Column9]]</f>
        <v>2</v>
      </c>
      <c r="G71">
        <f>Form_Responses1[[#This Row],[Column10]]</f>
        <v>3</v>
      </c>
      <c r="H71">
        <f>Form_Responses1[[#This Row],[Column11]]</f>
        <v>2</v>
      </c>
      <c r="I71">
        <f>Form_Responses1[[#This Row],[Column12]]</f>
        <v>2</v>
      </c>
      <c r="J71">
        <f>Form_Responses1[[#This Row],[Column13]]</f>
        <v>4</v>
      </c>
      <c r="K71">
        <f>Form_Responses1[[#This Row],[Column14]]</f>
        <v>2</v>
      </c>
      <c r="L71">
        <f>Form_Responses1[[#This Row],[Column15]]</f>
        <v>3</v>
      </c>
      <c r="M71">
        <f>Form_Responses1[[#This Row],[Column16]]</f>
        <v>3</v>
      </c>
      <c r="N71">
        <f>Form_Responses1[[#This Row],[Column17]]</f>
        <v>4</v>
      </c>
      <c r="O71">
        <f>Form_Responses1[[#This Row],[Column18]]</f>
        <v>3</v>
      </c>
      <c r="P71">
        <f>Form_Responses1[[#This Row],[Column19]]</f>
        <v>4</v>
      </c>
      <c r="Q71">
        <f>Form_Responses1[[#This Row],[Column20]]</f>
        <v>2</v>
      </c>
      <c r="R71">
        <f>Form_Responses1[[#This Row],[Column21]]</f>
        <v>2</v>
      </c>
      <c r="S71">
        <f>Form_Responses1[[#This Row],[Column22]]</f>
        <v>4</v>
      </c>
      <c r="T71">
        <f>Form_Responses1[[#This Row],[Column23]]</f>
        <v>3</v>
      </c>
      <c r="U71">
        <f>Form_Responses1[[#This Row],[Column24]]</f>
        <v>4</v>
      </c>
      <c r="V71">
        <f>Form_Responses1[[#This Row],[Column25]]</f>
        <v>2</v>
      </c>
      <c r="W71">
        <f>Form_Responses1[[#This Row],[Column26]]</f>
        <v>3</v>
      </c>
      <c r="X71">
        <f>Form_Responses1[[#This Row],[Column27]]</f>
        <v>3</v>
      </c>
      <c r="Y71">
        <f>Form_Responses1[[#This Row],[Column28]]</f>
        <v>2</v>
      </c>
      <c r="Z71">
        <f t="shared" si="1"/>
        <v>57</v>
      </c>
      <c r="AA71">
        <f>AVERAGE('Karakteristik yang Dominan'!E72,'Kepemimpinan dalam Rumah Sakit'!E72,'Pengelolaan Pegawai'!E72,'Perekat Rumah Sakit'!E72,'Strategi yang Ditekankan'!E72,'Kriteria dari Kesuksesan'!E72)</f>
        <v>33.333333333333336</v>
      </c>
      <c r="AB71">
        <f>AVERAGE('Karakteristik yang Dominan'!F72,'Kepemimpinan dalam Rumah Sakit'!F72,'Pengelolaan Pegawai'!F72,'Perekat Rumah Sakit'!F72,'Strategi yang Ditekankan'!F72,'Kriteria dari Kesuksesan'!F72)</f>
        <v>21.666666666666668</v>
      </c>
      <c r="AC71">
        <f>AVERAGE('Karakteristik yang Dominan'!G72,'Kepemimpinan dalam Rumah Sakit'!G72,'Pengelolaan Pegawai'!G72,'Perekat Rumah Sakit'!G72,'Strategi yang Ditekankan'!G72,'Kriteria dari Kesuksesan'!G72)</f>
        <v>18.333333333333332</v>
      </c>
      <c r="AD71">
        <f>AVERAGE('Karakteristik yang Dominan'!H72,'Kepemimpinan dalam Rumah Sakit'!H72,'Pengelolaan Pegawai'!H72,'Perekat Rumah Sakit'!H72,'Strategi yang Ditekankan'!H72,'Kriteria dari Kesuksesan'!H72)</f>
        <v>26.666666666666668</v>
      </c>
      <c r="AE71" s="48">
        <v>4.1399999999999997</v>
      </c>
    </row>
    <row r="72" spans="1:31">
      <c r="A72" t="str">
        <f>Sosiometri!A72</f>
        <v>Perempuan</v>
      </c>
      <c r="B72" t="str">
        <f>Sosiometri!B72</f>
        <v>21-30 tahun</v>
      </c>
      <c r="C72" t="str">
        <f>Sosiometri!C72</f>
        <v>SMA/SMK/SPK</v>
      </c>
      <c r="D72" t="str">
        <f>Sosiometri!D72</f>
        <v>1-3 tahun</v>
      </c>
      <c r="E72" t="str">
        <f>Sosiometri!E72</f>
        <v>Staf Pelaksana</v>
      </c>
      <c r="F72">
        <f>Form_Responses1[[#This Row],[Column9]]</f>
        <v>3</v>
      </c>
      <c r="G72">
        <f>Form_Responses1[[#This Row],[Column10]]</f>
        <v>4</v>
      </c>
      <c r="H72">
        <f>Form_Responses1[[#This Row],[Column11]]</f>
        <v>3</v>
      </c>
      <c r="I72">
        <f>Form_Responses1[[#This Row],[Column12]]</f>
        <v>4</v>
      </c>
      <c r="J72">
        <f>Form_Responses1[[#This Row],[Column13]]</f>
        <v>4</v>
      </c>
      <c r="K72">
        <f>Form_Responses1[[#This Row],[Column14]]</f>
        <v>3</v>
      </c>
      <c r="L72">
        <f>Form_Responses1[[#This Row],[Column15]]</f>
        <v>4</v>
      </c>
      <c r="M72">
        <f>Form_Responses1[[#This Row],[Column16]]</f>
        <v>4</v>
      </c>
      <c r="N72">
        <f>Form_Responses1[[#This Row],[Column17]]</f>
        <v>3</v>
      </c>
      <c r="O72">
        <f>Form_Responses1[[#This Row],[Column18]]</f>
        <v>4</v>
      </c>
      <c r="P72">
        <f>Form_Responses1[[#This Row],[Column19]]</f>
        <v>3</v>
      </c>
      <c r="Q72">
        <f>Form_Responses1[[#This Row],[Column20]]</f>
        <v>3</v>
      </c>
      <c r="R72">
        <f>Form_Responses1[[#This Row],[Column21]]</f>
        <v>4</v>
      </c>
      <c r="S72">
        <f>Form_Responses1[[#This Row],[Column22]]</f>
        <v>4</v>
      </c>
      <c r="T72">
        <f>Form_Responses1[[#This Row],[Column23]]</f>
        <v>4</v>
      </c>
      <c r="U72">
        <f>Form_Responses1[[#This Row],[Column24]]</f>
        <v>3</v>
      </c>
      <c r="V72">
        <f>Form_Responses1[[#This Row],[Column25]]</f>
        <v>3</v>
      </c>
      <c r="W72">
        <f>Form_Responses1[[#This Row],[Column26]]</f>
        <v>3</v>
      </c>
      <c r="X72">
        <f>Form_Responses1[[#This Row],[Column27]]</f>
        <v>3</v>
      </c>
      <c r="Y72">
        <f>Form_Responses1[[#This Row],[Column28]]</f>
        <v>4</v>
      </c>
      <c r="Z72">
        <f t="shared" si="1"/>
        <v>70</v>
      </c>
      <c r="AA72">
        <f>AVERAGE('Karakteristik yang Dominan'!E73,'Kepemimpinan dalam Rumah Sakit'!E73,'Pengelolaan Pegawai'!E73,'Perekat Rumah Sakit'!E73,'Strategi yang Ditekankan'!E73,'Kriteria dari Kesuksesan'!E73)</f>
        <v>24.166666666666668</v>
      </c>
      <c r="AB72">
        <f>AVERAGE('Karakteristik yang Dominan'!F73,'Kepemimpinan dalam Rumah Sakit'!F73,'Pengelolaan Pegawai'!F73,'Perekat Rumah Sakit'!F73,'Strategi yang Ditekankan'!F73,'Kriteria dari Kesuksesan'!F73)</f>
        <v>20.833333333333332</v>
      </c>
      <c r="AC72">
        <f>AVERAGE('Karakteristik yang Dominan'!G73,'Kepemimpinan dalam Rumah Sakit'!G73,'Pengelolaan Pegawai'!G73,'Perekat Rumah Sakit'!G73,'Strategi yang Ditekankan'!G73,'Kriteria dari Kesuksesan'!G73)</f>
        <v>20.833333333333332</v>
      </c>
      <c r="AD72">
        <f>AVERAGE('Karakteristik yang Dominan'!H73,'Kepemimpinan dalam Rumah Sakit'!H73,'Pengelolaan Pegawai'!H73,'Perekat Rumah Sakit'!H73,'Strategi yang Ditekankan'!H73,'Kriteria dari Kesuksesan'!H73)</f>
        <v>34.166666666666664</v>
      </c>
      <c r="AE72" s="49">
        <v>4.3499999999999996</v>
      </c>
    </row>
    <row r="73" spans="1:31">
      <c r="A73" t="str">
        <f>Sosiometri!A73</f>
        <v>Laki-Laki</v>
      </c>
      <c r="B73" t="str">
        <f>Sosiometri!B73</f>
        <v>21-30 tahun</v>
      </c>
      <c r="C73" t="str">
        <f>Sosiometri!C73</f>
        <v>S1</v>
      </c>
      <c r="D73" t="str">
        <f>Sosiometri!D73</f>
        <v>&gt;3-5 tahun</v>
      </c>
      <c r="E73" t="str">
        <f>Sosiometri!E73</f>
        <v>Staf Pelaksana</v>
      </c>
      <c r="F73">
        <f>Form_Responses1[[#This Row],[Column9]]</f>
        <v>4</v>
      </c>
      <c r="G73">
        <f>Form_Responses1[[#This Row],[Column10]]</f>
        <v>4</v>
      </c>
      <c r="H73">
        <f>Form_Responses1[[#This Row],[Column11]]</f>
        <v>4</v>
      </c>
      <c r="I73">
        <f>Form_Responses1[[#This Row],[Column12]]</f>
        <v>4</v>
      </c>
      <c r="J73">
        <f>Form_Responses1[[#This Row],[Column13]]</f>
        <v>4</v>
      </c>
      <c r="K73">
        <f>Form_Responses1[[#This Row],[Column14]]</f>
        <v>4</v>
      </c>
      <c r="L73">
        <f>Form_Responses1[[#This Row],[Column15]]</f>
        <v>4</v>
      </c>
      <c r="M73">
        <f>Form_Responses1[[#This Row],[Column16]]</f>
        <v>4</v>
      </c>
      <c r="N73">
        <f>Form_Responses1[[#This Row],[Column17]]</f>
        <v>4</v>
      </c>
      <c r="O73">
        <f>Form_Responses1[[#This Row],[Column18]]</f>
        <v>4</v>
      </c>
      <c r="P73">
        <f>Form_Responses1[[#This Row],[Column19]]</f>
        <v>4</v>
      </c>
      <c r="Q73">
        <f>Form_Responses1[[#This Row],[Column20]]</f>
        <v>4</v>
      </c>
      <c r="R73">
        <f>Form_Responses1[[#This Row],[Column21]]</f>
        <v>4</v>
      </c>
      <c r="S73">
        <f>Form_Responses1[[#This Row],[Column22]]</f>
        <v>4</v>
      </c>
      <c r="T73">
        <f>Form_Responses1[[#This Row],[Column23]]</f>
        <v>5</v>
      </c>
      <c r="U73">
        <f>Form_Responses1[[#This Row],[Column24]]</f>
        <v>3</v>
      </c>
      <c r="V73">
        <f>Form_Responses1[[#This Row],[Column25]]</f>
        <v>3</v>
      </c>
      <c r="W73">
        <f>Form_Responses1[[#This Row],[Column26]]</f>
        <v>3</v>
      </c>
      <c r="X73">
        <f>Form_Responses1[[#This Row],[Column27]]</f>
        <v>4</v>
      </c>
      <c r="Y73">
        <f>Form_Responses1[[#This Row],[Column28]]</f>
        <v>4</v>
      </c>
      <c r="Z73">
        <f t="shared" si="1"/>
        <v>78</v>
      </c>
      <c r="AA73">
        <f>AVERAGE('Karakteristik yang Dominan'!E74,'Kepemimpinan dalam Rumah Sakit'!E74,'Pengelolaan Pegawai'!E74,'Perekat Rumah Sakit'!E74,'Strategi yang Ditekankan'!E74,'Kriteria dari Kesuksesan'!E74)</f>
        <v>35</v>
      </c>
      <c r="AB73">
        <f>AVERAGE('Karakteristik yang Dominan'!F74,'Kepemimpinan dalam Rumah Sakit'!F74,'Pengelolaan Pegawai'!F74,'Perekat Rumah Sakit'!F74,'Strategi yang Ditekankan'!F74,'Kriteria dari Kesuksesan'!F74)</f>
        <v>15</v>
      </c>
      <c r="AC73">
        <f>AVERAGE('Karakteristik yang Dominan'!G74,'Kepemimpinan dalam Rumah Sakit'!G74,'Pengelolaan Pegawai'!G74,'Perekat Rumah Sakit'!G74,'Strategi yang Ditekankan'!G74,'Kriteria dari Kesuksesan'!G74)</f>
        <v>20</v>
      </c>
      <c r="AD73">
        <f>AVERAGE('Karakteristik yang Dominan'!H74,'Kepemimpinan dalam Rumah Sakit'!H74,'Pengelolaan Pegawai'!H74,'Perekat Rumah Sakit'!H74,'Strategi yang Ditekankan'!H74,'Kriteria dari Kesuksesan'!H74)</f>
        <v>30</v>
      </c>
      <c r="AE73" s="48">
        <v>4.45</v>
      </c>
    </row>
    <row r="74" spans="1:31">
      <c r="A74" t="str">
        <f>Sosiometri!A74</f>
        <v>Perempuan</v>
      </c>
      <c r="B74" t="str">
        <f>Sosiometri!B74</f>
        <v>51-60 tahun</v>
      </c>
      <c r="C74" t="str">
        <f>Sosiometri!C74</f>
        <v>SMA/SMK/SPK</v>
      </c>
      <c r="D74" t="str">
        <f>Sosiometri!D74</f>
        <v>&gt; 5 tahun</v>
      </c>
      <c r="E74" t="str">
        <f>Sosiometri!E74</f>
        <v>Staf Pelaksana</v>
      </c>
      <c r="F74">
        <f>Form_Responses1[[#This Row],[Column9]]</f>
        <v>4</v>
      </c>
      <c r="G74">
        <f>Form_Responses1[[#This Row],[Column10]]</f>
        <v>4</v>
      </c>
      <c r="H74">
        <f>Form_Responses1[[#This Row],[Column11]]</f>
        <v>4</v>
      </c>
      <c r="I74">
        <f>Form_Responses1[[#This Row],[Column12]]</f>
        <v>4</v>
      </c>
      <c r="J74">
        <f>Form_Responses1[[#This Row],[Column13]]</f>
        <v>4</v>
      </c>
      <c r="K74">
        <f>Form_Responses1[[#This Row],[Column14]]</f>
        <v>4</v>
      </c>
      <c r="L74">
        <f>Form_Responses1[[#This Row],[Column15]]</f>
        <v>4</v>
      </c>
      <c r="M74">
        <f>Form_Responses1[[#This Row],[Column16]]</f>
        <v>4</v>
      </c>
      <c r="N74">
        <f>Form_Responses1[[#This Row],[Column17]]</f>
        <v>4</v>
      </c>
      <c r="O74">
        <f>Form_Responses1[[#This Row],[Column18]]</f>
        <v>4</v>
      </c>
      <c r="P74">
        <f>Form_Responses1[[#This Row],[Column19]]</f>
        <v>4</v>
      </c>
      <c r="Q74">
        <f>Form_Responses1[[#This Row],[Column20]]</f>
        <v>4</v>
      </c>
      <c r="R74">
        <f>Form_Responses1[[#This Row],[Column21]]</f>
        <v>4</v>
      </c>
      <c r="S74">
        <f>Form_Responses1[[#This Row],[Column22]]</f>
        <v>4</v>
      </c>
      <c r="T74">
        <f>Form_Responses1[[#This Row],[Column23]]</f>
        <v>4</v>
      </c>
      <c r="U74">
        <f>Form_Responses1[[#This Row],[Column24]]</f>
        <v>4</v>
      </c>
      <c r="V74">
        <f>Form_Responses1[[#This Row],[Column25]]</f>
        <v>4</v>
      </c>
      <c r="W74">
        <f>Form_Responses1[[#This Row],[Column26]]</f>
        <v>4</v>
      </c>
      <c r="X74">
        <f>Form_Responses1[[#This Row],[Column27]]</f>
        <v>4</v>
      </c>
      <c r="Y74">
        <f>Form_Responses1[[#This Row],[Column28]]</f>
        <v>4</v>
      </c>
      <c r="Z74">
        <f t="shared" si="1"/>
        <v>80</v>
      </c>
      <c r="AA74">
        <f>AVERAGE('Karakteristik yang Dominan'!E75,'Kepemimpinan dalam Rumah Sakit'!E75,'Pengelolaan Pegawai'!E75,'Perekat Rumah Sakit'!E75,'Strategi yang Ditekankan'!E75,'Kriteria dari Kesuksesan'!E75)</f>
        <v>31.666666666666668</v>
      </c>
      <c r="AB74">
        <f>AVERAGE('Karakteristik yang Dominan'!F75,'Kepemimpinan dalam Rumah Sakit'!F75,'Pengelolaan Pegawai'!F75,'Perekat Rumah Sakit'!F75,'Strategi yang Ditekankan'!F75,'Kriteria dari Kesuksesan'!F75)</f>
        <v>30</v>
      </c>
      <c r="AC74">
        <f>AVERAGE('Karakteristik yang Dominan'!G75,'Kepemimpinan dalam Rumah Sakit'!G75,'Pengelolaan Pegawai'!G75,'Perekat Rumah Sakit'!G75,'Strategi yang Ditekankan'!G75,'Kriteria dari Kesuksesan'!G75)</f>
        <v>19.166666666666668</v>
      </c>
      <c r="AD74">
        <f>AVERAGE('Karakteristik yang Dominan'!H75,'Kepemimpinan dalam Rumah Sakit'!H75,'Pengelolaan Pegawai'!H75,'Perekat Rumah Sakit'!H75,'Strategi yang Ditekankan'!H75,'Kriteria dari Kesuksesan'!H75)</f>
        <v>19.166666666666668</v>
      </c>
      <c r="AE74" s="49">
        <v>4.4000000000000004</v>
      </c>
    </row>
    <row r="75" spans="1:31">
      <c r="A75" t="str">
        <f>Sosiometri!A75</f>
        <v>Perempuan</v>
      </c>
      <c r="B75" t="str">
        <f>Sosiometri!B75</f>
        <v>21-30 tahun</v>
      </c>
      <c r="C75" t="str">
        <f>Sosiometri!C75</f>
        <v>S1</v>
      </c>
      <c r="D75" t="str">
        <f>Sosiometri!D75</f>
        <v>&lt;1 tahun</v>
      </c>
      <c r="E75" t="str">
        <f>Sosiometri!E75</f>
        <v>Koordinator</v>
      </c>
      <c r="F75">
        <f>Form_Responses1[[#This Row],[Column9]]</f>
        <v>3</v>
      </c>
      <c r="G75">
        <f>Form_Responses1[[#This Row],[Column10]]</f>
        <v>3</v>
      </c>
      <c r="H75">
        <f>Form_Responses1[[#This Row],[Column11]]</f>
        <v>3</v>
      </c>
      <c r="I75">
        <f>Form_Responses1[[#This Row],[Column12]]</f>
        <v>3</v>
      </c>
      <c r="J75">
        <f>Form_Responses1[[#This Row],[Column13]]</f>
        <v>4</v>
      </c>
      <c r="K75">
        <f>Form_Responses1[[#This Row],[Column14]]</f>
        <v>4</v>
      </c>
      <c r="L75">
        <f>Form_Responses1[[#This Row],[Column15]]</f>
        <v>4</v>
      </c>
      <c r="M75">
        <f>Form_Responses1[[#This Row],[Column16]]</f>
        <v>3</v>
      </c>
      <c r="N75">
        <f>Form_Responses1[[#This Row],[Column17]]</f>
        <v>4</v>
      </c>
      <c r="O75">
        <f>Form_Responses1[[#This Row],[Column18]]</f>
        <v>4</v>
      </c>
      <c r="P75">
        <f>Form_Responses1[[#This Row],[Column19]]</f>
        <v>3</v>
      </c>
      <c r="Q75">
        <f>Form_Responses1[[#This Row],[Column20]]</f>
        <v>3</v>
      </c>
      <c r="R75">
        <f>Form_Responses1[[#This Row],[Column21]]</f>
        <v>3</v>
      </c>
      <c r="S75">
        <f>Form_Responses1[[#This Row],[Column22]]</f>
        <v>3</v>
      </c>
      <c r="T75">
        <f>Form_Responses1[[#This Row],[Column23]]</f>
        <v>3</v>
      </c>
      <c r="U75">
        <f>Form_Responses1[[#This Row],[Column24]]</f>
        <v>3</v>
      </c>
      <c r="V75">
        <f>Form_Responses1[[#This Row],[Column25]]</f>
        <v>3</v>
      </c>
      <c r="W75">
        <f>Form_Responses1[[#This Row],[Column26]]</f>
        <v>3</v>
      </c>
      <c r="X75">
        <f>Form_Responses1[[#This Row],[Column27]]</f>
        <v>3</v>
      </c>
      <c r="Y75">
        <f>Form_Responses1[[#This Row],[Column28]]</f>
        <v>3</v>
      </c>
      <c r="Z75">
        <f t="shared" si="1"/>
        <v>65</v>
      </c>
      <c r="AA75">
        <f>AVERAGE('Karakteristik yang Dominan'!E76,'Kepemimpinan dalam Rumah Sakit'!E76,'Pengelolaan Pegawai'!E76,'Perekat Rumah Sakit'!E76,'Strategi yang Ditekankan'!E76,'Kriteria dari Kesuksesan'!E76)</f>
        <v>22.5</v>
      </c>
      <c r="AB75">
        <f>AVERAGE('Karakteristik yang Dominan'!F76,'Kepemimpinan dalam Rumah Sakit'!F76,'Pengelolaan Pegawai'!F76,'Perekat Rumah Sakit'!F76,'Strategi yang Ditekankan'!F76,'Kriteria dari Kesuksesan'!F76)</f>
        <v>24.166666666666668</v>
      </c>
      <c r="AC75">
        <f>AVERAGE('Karakteristik yang Dominan'!G76,'Kepemimpinan dalam Rumah Sakit'!G76,'Pengelolaan Pegawai'!G76,'Perekat Rumah Sakit'!G76,'Strategi yang Ditekankan'!G76,'Kriteria dari Kesuksesan'!G76)</f>
        <v>25.833333333333332</v>
      </c>
      <c r="AD75">
        <f>AVERAGE('Karakteristik yang Dominan'!H76,'Kepemimpinan dalam Rumah Sakit'!H76,'Pengelolaan Pegawai'!H76,'Perekat Rumah Sakit'!H76,'Strategi yang Ditekankan'!H76,'Kriteria dari Kesuksesan'!H76)</f>
        <v>27.5</v>
      </c>
      <c r="AE75" s="48">
        <v>4.05</v>
      </c>
    </row>
    <row r="76" spans="1:31">
      <c r="A76" t="str">
        <f>Sosiometri!A76</f>
        <v>Perempuan</v>
      </c>
      <c r="B76" t="str">
        <f>Sosiometri!B76</f>
        <v>21-30 tahun</v>
      </c>
      <c r="C76" t="str">
        <f>Sosiometri!C76</f>
        <v>D3</v>
      </c>
      <c r="D76" t="str">
        <f>Sosiometri!D76</f>
        <v>&gt;3-5 tahun</v>
      </c>
      <c r="E76" t="str">
        <f>Sosiometri!E76</f>
        <v>Staf Pelaksana</v>
      </c>
      <c r="F76">
        <f>Form_Responses1[[#This Row],[Column9]]</f>
        <v>3</v>
      </c>
      <c r="G76">
        <f>Form_Responses1[[#This Row],[Column10]]</f>
        <v>4</v>
      </c>
      <c r="H76">
        <f>Form_Responses1[[#This Row],[Column11]]</f>
        <v>3</v>
      </c>
      <c r="I76">
        <f>Form_Responses1[[#This Row],[Column12]]</f>
        <v>3</v>
      </c>
      <c r="J76">
        <f>Form_Responses1[[#This Row],[Column13]]</f>
        <v>4</v>
      </c>
      <c r="K76">
        <f>Form_Responses1[[#This Row],[Column14]]</f>
        <v>4</v>
      </c>
      <c r="L76">
        <f>Form_Responses1[[#This Row],[Column15]]</f>
        <v>4</v>
      </c>
      <c r="M76">
        <f>Form_Responses1[[#This Row],[Column16]]</f>
        <v>4</v>
      </c>
      <c r="N76">
        <f>Form_Responses1[[#This Row],[Column17]]</f>
        <v>4</v>
      </c>
      <c r="O76">
        <f>Form_Responses1[[#This Row],[Column18]]</f>
        <v>4</v>
      </c>
      <c r="P76">
        <f>Form_Responses1[[#This Row],[Column19]]</f>
        <v>3</v>
      </c>
      <c r="Q76">
        <f>Form_Responses1[[#This Row],[Column20]]</f>
        <v>3</v>
      </c>
      <c r="R76">
        <f>Form_Responses1[[#This Row],[Column21]]</f>
        <v>3</v>
      </c>
      <c r="S76">
        <f>Form_Responses1[[#This Row],[Column22]]</f>
        <v>3</v>
      </c>
      <c r="T76">
        <f>Form_Responses1[[#This Row],[Column23]]</f>
        <v>4</v>
      </c>
      <c r="U76">
        <f>Form_Responses1[[#This Row],[Column24]]</f>
        <v>3</v>
      </c>
      <c r="V76">
        <f>Form_Responses1[[#This Row],[Column25]]</f>
        <v>3</v>
      </c>
      <c r="W76">
        <f>Form_Responses1[[#This Row],[Column26]]</f>
        <v>3</v>
      </c>
      <c r="X76">
        <f>Form_Responses1[[#This Row],[Column27]]</f>
        <v>3</v>
      </c>
      <c r="Y76">
        <f>Form_Responses1[[#This Row],[Column28]]</f>
        <v>3</v>
      </c>
      <c r="Z76">
        <f t="shared" si="1"/>
        <v>68</v>
      </c>
      <c r="AA76">
        <f>AVERAGE('Karakteristik yang Dominan'!E77,'Kepemimpinan dalam Rumah Sakit'!E77,'Pengelolaan Pegawai'!E77,'Perekat Rumah Sakit'!E77,'Strategi yang Ditekankan'!E77,'Kriteria dari Kesuksesan'!E77)</f>
        <v>25</v>
      </c>
      <c r="AB76">
        <f>AVERAGE('Karakteristik yang Dominan'!F77,'Kepemimpinan dalam Rumah Sakit'!F77,'Pengelolaan Pegawai'!F77,'Perekat Rumah Sakit'!F77,'Strategi yang Ditekankan'!F77,'Kriteria dari Kesuksesan'!F77)</f>
        <v>25</v>
      </c>
      <c r="AC76">
        <f>AVERAGE('Karakteristik yang Dominan'!G77,'Kepemimpinan dalam Rumah Sakit'!G77,'Pengelolaan Pegawai'!G77,'Perekat Rumah Sakit'!G77,'Strategi yang Ditekankan'!G77,'Kriteria dari Kesuksesan'!G77)</f>
        <v>25</v>
      </c>
      <c r="AD76">
        <f>AVERAGE('Karakteristik yang Dominan'!H77,'Kepemimpinan dalam Rumah Sakit'!H77,'Pengelolaan Pegawai'!H77,'Perekat Rumah Sakit'!H77,'Strategi yang Ditekankan'!H77,'Kriteria dari Kesuksesan'!H77)</f>
        <v>25</v>
      </c>
      <c r="AE76" s="49">
        <v>4.25</v>
      </c>
    </row>
    <row r="77" spans="1:31">
      <c r="A77" t="str">
        <f>Sosiometri!A77</f>
        <v>Laki-Laki</v>
      </c>
      <c r="B77" t="str">
        <f>Sosiometri!B77</f>
        <v>21-30 tahun</v>
      </c>
      <c r="C77" t="str">
        <f>Sosiometri!C77</f>
        <v>D3</v>
      </c>
      <c r="D77" t="str">
        <f>Sosiometri!D77</f>
        <v>1-3 tahun</v>
      </c>
      <c r="E77" t="str">
        <f>Sosiometri!E77</f>
        <v>Staf Pelaksana</v>
      </c>
      <c r="F77">
        <f>Form_Responses1[[#This Row],[Column9]]</f>
        <v>4</v>
      </c>
      <c r="G77">
        <f>Form_Responses1[[#This Row],[Column10]]</f>
        <v>4</v>
      </c>
      <c r="H77">
        <f>Form_Responses1[[#This Row],[Column11]]</f>
        <v>4</v>
      </c>
      <c r="I77">
        <f>Form_Responses1[[#This Row],[Column12]]</f>
        <v>4</v>
      </c>
      <c r="J77">
        <f>Form_Responses1[[#This Row],[Column13]]</f>
        <v>4</v>
      </c>
      <c r="K77">
        <f>Form_Responses1[[#This Row],[Column14]]</f>
        <v>4</v>
      </c>
      <c r="L77">
        <f>Form_Responses1[[#This Row],[Column15]]</f>
        <v>4</v>
      </c>
      <c r="M77">
        <f>Form_Responses1[[#This Row],[Column16]]</f>
        <v>3</v>
      </c>
      <c r="N77">
        <f>Form_Responses1[[#This Row],[Column17]]</f>
        <v>3</v>
      </c>
      <c r="O77">
        <f>Form_Responses1[[#This Row],[Column18]]</f>
        <v>4</v>
      </c>
      <c r="P77">
        <f>Form_Responses1[[#This Row],[Column19]]</f>
        <v>4</v>
      </c>
      <c r="Q77">
        <f>Form_Responses1[[#This Row],[Column20]]</f>
        <v>3</v>
      </c>
      <c r="R77">
        <f>Form_Responses1[[#This Row],[Column21]]</f>
        <v>3</v>
      </c>
      <c r="S77">
        <f>Form_Responses1[[#This Row],[Column22]]</f>
        <v>4</v>
      </c>
      <c r="T77">
        <f>Form_Responses1[[#This Row],[Column23]]</f>
        <v>4</v>
      </c>
      <c r="U77">
        <f>Form_Responses1[[#This Row],[Column24]]</f>
        <v>4</v>
      </c>
      <c r="V77">
        <f>Form_Responses1[[#This Row],[Column25]]</f>
        <v>4</v>
      </c>
      <c r="W77">
        <f>Form_Responses1[[#This Row],[Column26]]</f>
        <v>4</v>
      </c>
      <c r="X77">
        <f>Form_Responses1[[#This Row],[Column27]]</f>
        <v>4</v>
      </c>
      <c r="Y77">
        <f>Form_Responses1[[#This Row],[Column28]]</f>
        <v>4</v>
      </c>
      <c r="Z77">
        <f t="shared" si="1"/>
        <v>76</v>
      </c>
      <c r="AA77">
        <f>AVERAGE('Karakteristik yang Dominan'!E78,'Kepemimpinan dalam Rumah Sakit'!E78,'Pengelolaan Pegawai'!E78,'Perekat Rumah Sakit'!E78,'Strategi yang Ditekankan'!E78,'Kriteria dari Kesuksesan'!E78)</f>
        <v>30</v>
      </c>
      <c r="AB77">
        <f>AVERAGE('Karakteristik yang Dominan'!F78,'Kepemimpinan dalam Rumah Sakit'!F78,'Pengelolaan Pegawai'!F78,'Perekat Rumah Sakit'!F78,'Strategi yang Ditekankan'!F78,'Kriteria dari Kesuksesan'!F78)</f>
        <v>18.333333333333332</v>
      </c>
      <c r="AC77">
        <f>AVERAGE('Karakteristik yang Dominan'!G78,'Kepemimpinan dalam Rumah Sakit'!G78,'Pengelolaan Pegawai'!G78,'Perekat Rumah Sakit'!G78,'Strategi yang Ditekankan'!G78,'Kriteria dari Kesuksesan'!G78)</f>
        <v>25</v>
      </c>
      <c r="AD77">
        <f>AVERAGE('Karakteristik yang Dominan'!H78,'Kepemimpinan dalam Rumah Sakit'!H78,'Pengelolaan Pegawai'!H78,'Perekat Rumah Sakit'!H78,'Strategi yang Ditekankan'!H78,'Kriteria dari Kesuksesan'!H78)</f>
        <v>26.666666666666668</v>
      </c>
      <c r="AE77" s="48">
        <v>4.25</v>
      </c>
    </row>
    <row r="78" spans="1:31">
      <c r="A78" t="str">
        <f>Sosiometri!A78</f>
        <v>Perempuan</v>
      </c>
      <c r="B78" t="str">
        <f>Sosiometri!B78</f>
        <v>41-50 tahun</v>
      </c>
      <c r="C78" t="str">
        <f>Sosiometri!C78</f>
        <v>SMA/SMK/SPK</v>
      </c>
      <c r="D78" t="str">
        <f>Sosiometri!D78</f>
        <v>&gt; 5 tahun</v>
      </c>
      <c r="E78" t="str">
        <f>Sosiometri!E78</f>
        <v>Staf Pelaksana</v>
      </c>
      <c r="F78">
        <f>Form_Responses1[[#This Row],[Column9]]</f>
        <v>3</v>
      </c>
      <c r="G78">
        <f>Form_Responses1[[#This Row],[Column10]]</f>
        <v>3</v>
      </c>
      <c r="H78">
        <f>Form_Responses1[[#This Row],[Column11]]</f>
        <v>3</v>
      </c>
      <c r="I78">
        <f>Form_Responses1[[#This Row],[Column12]]</f>
        <v>4</v>
      </c>
      <c r="J78">
        <f>Form_Responses1[[#This Row],[Column13]]</f>
        <v>4</v>
      </c>
      <c r="K78">
        <f>Form_Responses1[[#This Row],[Column14]]</f>
        <v>3</v>
      </c>
      <c r="L78">
        <f>Form_Responses1[[#This Row],[Column15]]</f>
        <v>3</v>
      </c>
      <c r="M78">
        <f>Form_Responses1[[#This Row],[Column16]]</f>
        <v>3</v>
      </c>
      <c r="N78">
        <f>Form_Responses1[[#This Row],[Column17]]</f>
        <v>3</v>
      </c>
      <c r="O78">
        <f>Form_Responses1[[#This Row],[Column18]]</f>
        <v>3</v>
      </c>
      <c r="P78">
        <f>Form_Responses1[[#This Row],[Column19]]</f>
        <v>3</v>
      </c>
      <c r="Q78">
        <f>Form_Responses1[[#This Row],[Column20]]</f>
        <v>3</v>
      </c>
      <c r="R78">
        <f>Form_Responses1[[#This Row],[Column21]]</f>
        <v>3</v>
      </c>
      <c r="S78">
        <f>Form_Responses1[[#This Row],[Column22]]</f>
        <v>3</v>
      </c>
      <c r="T78">
        <f>Form_Responses1[[#This Row],[Column23]]</f>
        <v>3</v>
      </c>
      <c r="U78">
        <f>Form_Responses1[[#This Row],[Column24]]</f>
        <v>3</v>
      </c>
      <c r="V78">
        <f>Form_Responses1[[#This Row],[Column25]]</f>
        <v>3</v>
      </c>
      <c r="W78">
        <f>Form_Responses1[[#This Row],[Column26]]</f>
        <v>3</v>
      </c>
      <c r="X78">
        <f>Form_Responses1[[#This Row],[Column27]]</f>
        <v>3</v>
      </c>
      <c r="Y78">
        <f>Form_Responses1[[#This Row],[Column28]]</f>
        <v>3</v>
      </c>
      <c r="Z78">
        <f t="shared" si="1"/>
        <v>62</v>
      </c>
      <c r="AA78">
        <f>AVERAGE('Karakteristik yang Dominan'!E79,'Kepemimpinan dalam Rumah Sakit'!E79,'Pengelolaan Pegawai'!E79,'Perekat Rumah Sakit'!E79,'Strategi yang Ditekankan'!E79,'Kriteria dari Kesuksesan'!E79)</f>
        <v>28.333333333333332</v>
      </c>
      <c r="AB78">
        <f>AVERAGE('Karakteristik yang Dominan'!F79,'Kepemimpinan dalam Rumah Sakit'!F79,'Pengelolaan Pegawai'!F79,'Perekat Rumah Sakit'!F79,'Strategi yang Ditekankan'!F79,'Kriteria dari Kesuksesan'!F79)</f>
        <v>23.333333333333332</v>
      </c>
      <c r="AC78">
        <f>AVERAGE('Karakteristik yang Dominan'!G79,'Kepemimpinan dalam Rumah Sakit'!G79,'Pengelolaan Pegawai'!G79,'Perekat Rumah Sakit'!G79,'Strategi yang Ditekankan'!G79,'Kriteria dari Kesuksesan'!G79)</f>
        <v>26.666666666666668</v>
      </c>
      <c r="AD78">
        <f>AVERAGE('Karakteristik yang Dominan'!H79,'Kepemimpinan dalam Rumah Sakit'!H79,'Pengelolaan Pegawai'!H79,'Perekat Rumah Sakit'!H79,'Strategi yang Ditekankan'!H79,'Kriteria dari Kesuksesan'!H79)</f>
        <v>21.666666666666668</v>
      </c>
      <c r="AE78" s="49">
        <v>4.0599999999999996</v>
      </c>
    </row>
    <row r="79" spans="1:31">
      <c r="A79" t="str">
        <f>Sosiometri!A79</f>
        <v>Perempuan</v>
      </c>
      <c r="B79" t="str">
        <f>Sosiometri!B79</f>
        <v>21-30 tahun</v>
      </c>
      <c r="C79" t="str">
        <f>Sosiometri!C79</f>
        <v>S1</v>
      </c>
      <c r="D79" t="str">
        <f>Sosiometri!D79</f>
        <v>1-3 tahun</v>
      </c>
      <c r="E79" t="str">
        <f>Sosiometri!E79</f>
        <v>Staf Pelaksana</v>
      </c>
      <c r="F79">
        <f>Form_Responses1[[#This Row],[Column9]]</f>
        <v>2</v>
      </c>
      <c r="G79">
        <f>Form_Responses1[[#This Row],[Column10]]</f>
        <v>3</v>
      </c>
      <c r="H79">
        <f>Form_Responses1[[#This Row],[Column11]]</f>
        <v>2</v>
      </c>
      <c r="I79">
        <f>Form_Responses1[[#This Row],[Column12]]</f>
        <v>3</v>
      </c>
      <c r="J79">
        <f>Form_Responses1[[#This Row],[Column13]]</f>
        <v>3</v>
      </c>
      <c r="K79">
        <f>Form_Responses1[[#This Row],[Column14]]</f>
        <v>3</v>
      </c>
      <c r="L79">
        <f>Form_Responses1[[#This Row],[Column15]]</f>
        <v>3</v>
      </c>
      <c r="M79">
        <f>Form_Responses1[[#This Row],[Column16]]</f>
        <v>3</v>
      </c>
      <c r="N79">
        <f>Form_Responses1[[#This Row],[Column17]]</f>
        <v>3</v>
      </c>
      <c r="O79">
        <f>Form_Responses1[[#This Row],[Column18]]</f>
        <v>3</v>
      </c>
      <c r="P79">
        <f>Form_Responses1[[#This Row],[Column19]]</f>
        <v>2</v>
      </c>
      <c r="Q79">
        <f>Form_Responses1[[#This Row],[Column20]]</f>
        <v>2</v>
      </c>
      <c r="R79">
        <f>Form_Responses1[[#This Row],[Column21]]</f>
        <v>3</v>
      </c>
      <c r="S79">
        <f>Form_Responses1[[#This Row],[Column22]]</f>
        <v>2</v>
      </c>
      <c r="T79">
        <f>Form_Responses1[[#This Row],[Column23]]</f>
        <v>3</v>
      </c>
      <c r="U79">
        <f>Form_Responses1[[#This Row],[Column24]]</f>
        <v>2</v>
      </c>
      <c r="V79">
        <f>Form_Responses1[[#This Row],[Column25]]</f>
        <v>3</v>
      </c>
      <c r="W79">
        <f>Form_Responses1[[#This Row],[Column26]]</f>
        <v>3</v>
      </c>
      <c r="X79">
        <f>Form_Responses1[[#This Row],[Column27]]</f>
        <v>3</v>
      </c>
      <c r="Y79">
        <f>Form_Responses1[[#This Row],[Column28]]</f>
        <v>2</v>
      </c>
      <c r="Z79">
        <f t="shared" si="1"/>
        <v>53</v>
      </c>
      <c r="AA79">
        <f>AVERAGE('Karakteristik yang Dominan'!E80,'Kepemimpinan dalam Rumah Sakit'!E80,'Pengelolaan Pegawai'!E80,'Perekat Rumah Sakit'!E80,'Strategi yang Ditekankan'!E80,'Kriteria dari Kesuksesan'!E80)</f>
        <v>25</v>
      </c>
      <c r="AB79">
        <f>AVERAGE('Karakteristik yang Dominan'!F80,'Kepemimpinan dalam Rumah Sakit'!F80,'Pengelolaan Pegawai'!F80,'Perekat Rumah Sakit'!F80,'Strategi yang Ditekankan'!F80,'Kriteria dari Kesuksesan'!F80)</f>
        <v>25</v>
      </c>
      <c r="AC79">
        <f>AVERAGE('Karakteristik yang Dominan'!G80,'Kepemimpinan dalam Rumah Sakit'!G80,'Pengelolaan Pegawai'!G80,'Perekat Rumah Sakit'!G80,'Strategi yang Ditekankan'!G80,'Kriteria dari Kesuksesan'!G80)</f>
        <v>25</v>
      </c>
      <c r="AD79">
        <f>AVERAGE('Karakteristik yang Dominan'!H80,'Kepemimpinan dalam Rumah Sakit'!H80,'Pengelolaan Pegawai'!H80,'Perekat Rumah Sakit'!H80,'Strategi yang Ditekankan'!H80,'Kriteria dari Kesuksesan'!H80)</f>
        <v>25</v>
      </c>
      <c r="AE79" s="48">
        <v>3.94</v>
      </c>
    </row>
    <row r="80" spans="1:31">
      <c r="A80" t="str">
        <f>Sosiometri!A80</f>
        <v>Perempuan</v>
      </c>
      <c r="B80" t="str">
        <f>Sosiometri!B80</f>
        <v>21-30 tahun</v>
      </c>
      <c r="C80" t="str">
        <f>Sosiometri!C80</f>
        <v>S1</v>
      </c>
      <c r="D80" t="str">
        <f>Sosiometri!D80</f>
        <v>1-3 tahun</v>
      </c>
      <c r="E80" t="str">
        <f>Sosiometri!E80</f>
        <v>Staf Pelaksana</v>
      </c>
      <c r="F80">
        <f>Form_Responses1[[#This Row],[Column9]]</f>
        <v>1</v>
      </c>
      <c r="G80">
        <f>Form_Responses1[[#This Row],[Column10]]</f>
        <v>1</v>
      </c>
      <c r="H80">
        <f>Form_Responses1[[#This Row],[Column11]]</f>
        <v>2</v>
      </c>
      <c r="I80">
        <f>Form_Responses1[[#This Row],[Column12]]</f>
        <v>1</v>
      </c>
      <c r="J80">
        <f>Form_Responses1[[#This Row],[Column13]]</f>
        <v>1</v>
      </c>
      <c r="K80">
        <f>Form_Responses1[[#This Row],[Column14]]</f>
        <v>1</v>
      </c>
      <c r="L80">
        <f>Form_Responses1[[#This Row],[Column15]]</f>
        <v>1</v>
      </c>
      <c r="M80">
        <f>Form_Responses1[[#This Row],[Column16]]</f>
        <v>2</v>
      </c>
      <c r="N80">
        <f>Form_Responses1[[#This Row],[Column17]]</f>
        <v>2</v>
      </c>
      <c r="O80">
        <f>Form_Responses1[[#This Row],[Column18]]</f>
        <v>2</v>
      </c>
      <c r="P80">
        <f>Form_Responses1[[#This Row],[Column19]]</f>
        <v>1</v>
      </c>
      <c r="Q80">
        <f>Form_Responses1[[#This Row],[Column20]]</f>
        <v>1</v>
      </c>
      <c r="R80">
        <f>Form_Responses1[[#This Row],[Column21]]</f>
        <v>1</v>
      </c>
      <c r="S80">
        <f>Form_Responses1[[#This Row],[Column22]]</f>
        <v>1</v>
      </c>
      <c r="T80">
        <f>Form_Responses1[[#This Row],[Column23]]</f>
        <v>2</v>
      </c>
      <c r="U80">
        <f>Form_Responses1[[#This Row],[Column24]]</f>
        <v>1</v>
      </c>
      <c r="V80">
        <f>Form_Responses1[[#This Row],[Column25]]</f>
        <v>2</v>
      </c>
      <c r="W80">
        <f>Form_Responses1[[#This Row],[Column26]]</f>
        <v>2</v>
      </c>
      <c r="X80">
        <f>Form_Responses1[[#This Row],[Column27]]</f>
        <v>2</v>
      </c>
      <c r="Y80">
        <f>Form_Responses1[[#This Row],[Column28]]</f>
        <v>1</v>
      </c>
      <c r="Z80">
        <f t="shared" si="1"/>
        <v>28</v>
      </c>
      <c r="AA80">
        <f>AVERAGE('Karakteristik yang Dominan'!E81,'Kepemimpinan dalam Rumah Sakit'!E81,'Pengelolaan Pegawai'!E81,'Perekat Rumah Sakit'!E81,'Strategi yang Ditekankan'!E81,'Kriteria dari Kesuksesan'!E81)</f>
        <v>28.333333333333332</v>
      </c>
      <c r="AB80">
        <f>AVERAGE('Karakteristik yang Dominan'!F81,'Kepemimpinan dalam Rumah Sakit'!F81,'Pengelolaan Pegawai'!F81,'Perekat Rumah Sakit'!F81,'Strategi yang Ditekankan'!F81,'Kriteria dari Kesuksesan'!F81)</f>
        <v>28.333333333333332</v>
      </c>
      <c r="AC80">
        <f>AVERAGE('Karakteristik yang Dominan'!G81,'Kepemimpinan dalam Rumah Sakit'!G81,'Pengelolaan Pegawai'!G81,'Perekat Rumah Sakit'!G81,'Strategi yang Ditekankan'!G81,'Kriteria dari Kesuksesan'!G81)</f>
        <v>23.333333333333332</v>
      </c>
      <c r="AD80">
        <f>AVERAGE('Karakteristik yang Dominan'!H81,'Kepemimpinan dalam Rumah Sakit'!H81,'Pengelolaan Pegawai'!H81,'Perekat Rumah Sakit'!H81,'Strategi yang Ditekankan'!H81,'Kriteria dari Kesuksesan'!H81)</f>
        <v>20</v>
      </c>
      <c r="AE80" s="49">
        <v>3.74</v>
      </c>
    </row>
    <row r="81" spans="1:31">
      <c r="A81" t="str">
        <f>Sosiometri!A81</f>
        <v>Perempuan</v>
      </c>
      <c r="B81" t="str">
        <f>Sosiometri!B81</f>
        <v>41-50 tahun</v>
      </c>
      <c r="C81" t="str">
        <f>Sosiometri!C81</f>
        <v>S1</v>
      </c>
      <c r="D81" t="str">
        <f>Sosiometri!D81</f>
        <v>&gt; 5 tahun</v>
      </c>
      <c r="E81" t="str">
        <f>Sosiometri!E81</f>
        <v>Staf Pelaksana</v>
      </c>
      <c r="F81">
        <f>Form_Responses1[[#This Row],[Column9]]</f>
        <v>4</v>
      </c>
      <c r="G81">
        <f>Form_Responses1[[#This Row],[Column10]]</f>
        <v>4</v>
      </c>
      <c r="H81">
        <f>Form_Responses1[[#This Row],[Column11]]</f>
        <v>3</v>
      </c>
      <c r="I81">
        <f>Form_Responses1[[#This Row],[Column12]]</f>
        <v>4</v>
      </c>
      <c r="J81">
        <f>Form_Responses1[[#This Row],[Column13]]</f>
        <v>3</v>
      </c>
      <c r="K81">
        <f>Form_Responses1[[#This Row],[Column14]]</f>
        <v>4</v>
      </c>
      <c r="L81">
        <f>Form_Responses1[[#This Row],[Column15]]</f>
        <v>4</v>
      </c>
      <c r="M81">
        <f>Form_Responses1[[#This Row],[Column16]]</f>
        <v>4</v>
      </c>
      <c r="N81">
        <f>Form_Responses1[[#This Row],[Column17]]</f>
        <v>4</v>
      </c>
      <c r="O81">
        <f>Form_Responses1[[#This Row],[Column18]]</f>
        <v>4</v>
      </c>
      <c r="P81">
        <f>Form_Responses1[[#This Row],[Column19]]</f>
        <v>3</v>
      </c>
      <c r="Q81">
        <f>Form_Responses1[[#This Row],[Column20]]</f>
        <v>4</v>
      </c>
      <c r="R81">
        <f>Form_Responses1[[#This Row],[Column21]]</f>
        <v>3</v>
      </c>
      <c r="S81">
        <f>Form_Responses1[[#This Row],[Column22]]</f>
        <v>4</v>
      </c>
      <c r="T81">
        <f>Form_Responses1[[#This Row],[Column23]]</f>
        <v>4</v>
      </c>
      <c r="U81">
        <f>Form_Responses1[[#This Row],[Column24]]</f>
        <v>3</v>
      </c>
      <c r="V81">
        <f>Form_Responses1[[#This Row],[Column25]]</f>
        <v>4</v>
      </c>
      <c r="W81">
        <f>Form_Responses1[[#This Row],[Column26]]</f>
        <v>3</v>
      </c>
      <c r="X81">
        <f>Form_Responses1[[#This Row],[Column27]]</f>
        <v>4</v>
      </c>
      <c r="Y81">
        <f>Form_Responses1[[#This Row],[Column28]]</f>
        <v>4</v>
      </c>
      <c r="Z81">
        <f t="shared" si="1"/>
        <v>74</v>
      </c>
      <c r="AA81">
        <f>AVERAGE('Karakteristik yang Dominan'!E82,'Kepemimpinan dalam Rumah Sakit'!E82,'Pengelolaan Pegawai'!E82,'Perekat Rumah Sakit'!E82,'Strategi yang Ditekankan'!E82,'Kriteria dari Kesuksesan'!E82)</f>
        <v>23.333333333333332</v>
      </c>
      <c r="AB81">
        <f>AVERAGE('Karakteristik yang Dominan'!F82,'Kepemimpinan dalam Rumah Sakit'!F82,'Pengelolaan Pegawai'!F82,'Perekat Rumah Sakit'!F82,'Strategi yang Ditekankan'!F82,'Kriteria dari Kesuksesan'!F82)</f>
        <v>21.666666666666668</v>
      </c>
      <c r="AC81">
        <f>AVERAGE('Karakteristik yang Dominan'!G82,'Kepemimpinan dalam Rumah Sakit'!G82,'Pengelolaan Pegawai'!G82,'Perekat Rumah Sakit'!G82,'Strategi yang Ditekankan'!G82,'Kriteria dari Kesuksesan'!G82)</f>
        <v>28.333333333333332</v>
      </c>
      <c r="AD81">
        <f>AVERAGE('Karakteristik yang Dominan'!H82,'Kepemimpinan dalam Rumah Sakit'!H82,'Pengelolaan Pegawai'!H82,'Perekat Rumah Sakit'!H82,'Strategi yang Ditekankan'!H82,'Kriteria dari Kesuksesan'!H82)</f>
        <v>26.666666666666668</v>
      </c>
      <c r="AE81" s="48">
        <v>4.6500000000000004</v>
      </c>
    </row>
    <row r="82" spans="1:31">
      <c r="A82" t="str">
        <f>Sosiometri!A82</f>
        <v>Perempuan</v>
      </c>
      <c r="B82" t="str">
        <f>Sosiometri!B82</f>
        <v>31-40 tahun</v>
      </c>
      <c r="C82" t="str">
        <f>Sosiometri!C82</f>
        <v>S1</v>
      </c>
      <c r="D82" t="str">
        <f>Sosiometri!D82</f>
        <v>1-3 tahun</v>
      </c>
      <c r="E82" t="str">
        <f>Sosiometri!E82</f>
        <v>Level 3</v>
      </c>
      <c r="F82">
        <f>Form_Responses1[[#This Row],[Column9]]</f>
        <v>4</v>
      </c>
      <c r="G82">
        <f>Form_Responses1[[#This Row],[Column10]]</f>
        <v>4</v>
      </c>
      <c r="H82">
        <f>Form_Responses1[[#This Row],[Column11]]</f>
        <v>3</v>
      </c>
      <c r="I82">
        <f>Form_Responses1[[#This Row],[Column12]]</f>
        <v>3</v>
      </c>
      <c r="J82">
        <f>Form_Responses1[[#This Row],[Column13]]</f>
        <v>4</v>
      </c>
      <c r="K82">
        <f>Form_Responses1[[#This Row],[Column14]]</f>
        <v>4</v>
      </c>
      <c r="L82">
        <f>Form_Responses1[[#This Row],[Column15]]</f>
        <v>4</v>
      </c>
      <c r="M82">
        <f>Form_Responses1[[#This Row],[Column16]]</f>
        <v>4</v>
      </c>
      <c r="N82">
        <f>Form_Responses1[[#This Row],[Column17]]</f>
        <v>4</v>
      </c>
      <c r="O82">
        <f>Form_Responses1[[#This Row],[Column18]]</f>
        <v>3</v>
      </c>
      <c r="P82">
        <f>Form_Responses1[[#This Row],[Column19]]</f>
        <v>4</v>
      </c>
      <c r="Q82">
        <f>Form_Responses1[[#This Row],[Column20]]</f>
        <v>4</v>
      </c>
      <c r="R82">
        <f>Form_Responses1[[#This Row],[Column21]]</f>
        <v>4</v>
      </c>
      <c r="S82">
        <f>Form_Responses1[[#This Row],[Column22]]</f>
        <v>5</v>
      </c>
      <c r="T82">
        <f>Form_Responses1[[#This Row],[Column23]]</f>
        <v>4</v>
      </c>
      <c r="U82">
        <f>Form_Responses1[[#This Row],[Column24]]</f>
        <v>4</v>
      </c>
      <c r="V82">
        <f>Form_Responses1[[#This Row],[Column25]]</f>
        <v>4</v>
      </c>
      <c r="W82">
        <f>Form_Responses1[[#This Row],[Column26]]</f>
        <v>2</v>
      </c>
      <c r="X82">
        <f>Form_Responses1[[#This Row],[Column27]]</f>
        <v>4</v>
      </c>
      <c r="Y82">
        <f>Form_Responses1[[#This Row],[Column28]]</f>
        <v>3</v>
      </c>
      <c r="Z82">
        <f t="shared" si="1"/>
        <v>75</v>
      </c>
      <c r="AA82">
        <f>AVERAGE('Karakteristik yang Dominan'!E83,'Kepemimpinan dalam Rumah Sakit'!E83,'Pengelolaan Pegawai'!E83,'Perekat Rumah Sakit'!E83,'Strategi yang Ditekankan'!E83,'Kriteria dari Kesuksesan'!E83)</f>
        <v>29.166666666666668</v>
      </c>
      <c r="AB82">
        <f>AVERAGE('Karakteristik yang Dominan'!F83,'Kepemimpinan dalam Rumah Sakit'!F83,'Pengelolaan Pegawai'!F83,'Perekat Rumah Sakit'!F83,'Strategi yang Ditekankan'!F83,'Kriteria dari Kesuksesan'!F83)</f>
        <v>20.833333333333332</v>
      </c>
      <c r="AC82">
        <f>AVERAGE('Karakteristik yang Dominan'!G83,'Kepemimpinan dalam Rumah Sakit'!G83,'Pengelolaan Pegawai'!G83,'Perekat Rumah Sakit'!G83,'Strategi yang Ditekankan'!G83,'Kriteria dari Kesuksesan'!G83)</f>
        <v>28.333333333333332</v>
      </c>
      <c r="AD82">
        <f>AVERAGE('Karakteristik yang Dominan'!H83,'Kepemimpinan dalam Rumah Sakit'!H83,'Pengelolaan Pegawai'!H83,'Perekat Rumah Sakit'!H83,'Strategi yang Ditekankan'!H83,'Kriteria dari Kesuksesan'!H83)</f>
        <v>21.666666666666668</v>
      </c>
      <c r="AE82" s="49">
        <v>4.1500000000000004</v>
      </c>
    </row>
    <row r="83" spans="1:31">
      <c r="A83" t="str">
        <f>Sosiometri!A83</f>
        <v>Perempuan</v>
      </c>
      <c r="B83" t="str">
        <f>Sosiometri!B83</f>
        <v>21-30 tahun</v>
      </c>
      <c r="C83" t="str">
        <f>Sosiometri!C83</f>
        <v>S1</v>
      </c>
      <c r="D83" t="str">
        <f>Sosiometri!D83</f>
        <v>1-3 tahun</v>
      </c>
      <c r="E83" t="str">
        <f>Sosiometri!E83</f>
        <v>Staf Pelaksana</v>
      </c>
      <c r="F83">
        <f>Form_Responses1[[#This Row],[Column9]]</f>
        <v>3</v>
      </c>
      <c r="G83">
        <f>Form_Responses1[[#This Row],[Column10]]</f>
        <v>2</v>
      </c>
      <c r="H83">
        <f>Form_Responses1[[#This Row],[Column11]]</f>
        <v>3</v>
      </c>
      <c r="I83">
        <f>Form_Responses1[[#This Row],[Column12]]</f>
        <v>3</v>
      </c>
      <c r="J83">
        <f>Form_Responses1[[#This Row],[Column13]]</f>
        <v>2</v>
      </c>
      <c r="K83">
        <f>Form_Responses1[[#This Row],[Column14]]</f>
        <v>3</v>
      </c>
      <c r="L83">
        <f>Form_Responses1[[#This Row],[Column15]]</f>
        <v>2</v>
      </c>
      <c r="M83">
        <f>Form_Responses1[[#This Row],[Column16]]</f>
        <v>3</v>
      </c>
      <c r="N83">
        <f>Form_Responses1[[#This Row],[Column17]]</f>
        <v>2</v>
      </c>
      <c r="O83">
        <f>Form_Responses1[[#This Row],[Column18]]</f>
        <v>3</v>
      </c>
      <c r="P83">
        <f>Form_Responses1[[#This Row],[Column19]]</f>
        <v>3</v>
      </c>
      <c r="Q83">
        <f>Form_Responses1[[#This Row],[Column20]]</f>
        <v>3</v>
      </c>
      <c r="R83">
        <f>Form_Responses1[[#This Row],[Column21]]</f>
        <v>3</v>
      </c>
      <c r="S83">
        <f>Form_Responses1[[#This Row],[Column22]]</f>
        <v>3</v>
      </c>
      <c r="T83">
        <f>Form_Responses1[[#This Row],[Column23]]</f>
        <v>3</v>
      </c>
      <c r="U83">
        <f>Form_Responses1[[#This Row],[Column24]]</f>
        <v>2</v>
      </c>
      <c r="V83">
        <f>Form_Responses1[[#This Row],[Column25]]</f>
        <v>3</v>
      </c>
      <c r="W83">
        <f>Form_Responses1[[#This Row],[Column26]]</f>
        <v>3</v>
      </c>
      <c r="X83">
        <f>Form_Responses1[[#This Row],[Column27]]</f>
        <v>2</v>
      </c>
      <c r="Y83">
        <f>Form_Responses1[[#This Row],[Column28]]</f>
        <v>2</v>
      </c>
      <c r="Z83">
        <f t="shared" si="1"/>
        <v>53</v>
      </c>
      <c r="AA83">
        <f>AVERAGE('Karakteristik yang Dominan'!E84,'Kepemimpinan dalam Rumah Sakit'!E84,'Pengelolaan Pegawai'!E84,'Perekat Rumah Sakit'!E84,'Strategi yang Ditekankan'!E84,'Kriteria dari Kesuksesan'!E84)</f>
        <v>25</v>
      </c>
      <c r="AB83">
        <f>AVERAGE('Karakteristik yang Dominan'!F84,'Kepemimpinan dalam Rumah Sakit'!F84,'Pengelolaan Pegawai'!F84,'Perekat Rumah Sakit'!F84,'Strategi yang Ditekankan'!F84,'Kriteria dari Kesuksesan'!F84)</f>
        <v>21.666666666666668</v>
      </c>
      <c r="AC83">
        <f>AVERAGE('Karakteristik yang Dominan'!G84,'Kepemimpinan dalam Rumah Sakit'!G84,'Pengelolaan Pegawai'!G84,'Perekat Rumah Sakit'!G84,'Strategi yang Ditekankan'!G84,'Kriteria dari Kesuksesan'!G84)</f>
        <v>35</v>
      </c>
      <c r="AD83">
        <f>AVERAGE('Karakteristik yang Dominan'!H84,'Kepemimpinan dalam Rumah Sakit'!H84,'Pengelolaan Pegawai'!H84,'Perekat Rumah Sakit'!H84,'Strategi yang Ditekankan'!H84,'Kriteria dari Kesuksesan'!H84)</f>
        <v>18.333333333333332</v>
      </c>
      <c r="AE83" s="48">
        <v>3.98</v>
      </c>
    </row>
    <row r="84" spans="1:31">
      <c r="A84" t="str">
        <f>Sosiometri!A84</f>
        <v>Perempuan</v>
      </c>
      <c r="B84" t="str">
        <f>Sosiometri!B84</f>
        <v>21-30 tahun</v>
      </c>
      <c r="C84" t="str">
        <f>Sosiometri!C84</f>
        <v>S1</v>
      </c>
      <c r="D84" t="str">
        <f>Sosiometri!D84</f>
        <v>&gt;3-5 tahun</v>
      </c>
      <c r="E84" t="str">
        <f>Sosiometri!E84</f>
        <v>Staf Pelaksana</v>
      </c>
      <c r="F84">
        <f>Form_Responses1[[#This Row],[Column9]]</f>
        <v>4</v>
      </c>
      <c r="G84">
        <f>Form_Responses1[[#This Row],[Column10]]</f>
        <v>4</v>
      </c>
      <c r="H84">
        <f>Form_Responses1[[#This Row],[Column11]]</f>
        <v>4</v>
      </c>
      <c r="I84">
        <f>Form_Responses1[[#This Row],[Column12]]</f>
        <v>4</v>
      </c>
      <c r="J84">
        <f>Form_Responses1[[#This Row],[Column13]]</f>
        <v>4</v>
      </c>
      <c r="K84">
        <f>Form_Responses1[[#This Row],[Column14]]</f>
        <v>4</v>
      </c>
      <c r="L84">
        <f>Form_Responses1[[#This Row],[Column15]]</f>
        <v>4</v>
      </c>
      <c r="M84">
        <f>Form_Responses1[[#This Row],[Column16]]</f>
        <v>4</v>
      </c>
      <c r="N84">
        <f>Form_Responses1[[#This Row],[Column17]]</f>
        <v>4</v>
      </c>
      <c r="O84">
        <f>Form_Responses1[[#This Row],[Column18]]</f>
        <v>4</v>
      </c>
      <c r="P84">
        <f>Form_Responses1[[#This Row],[Column19]]</f>
        <v>4</v>
      </c>
      <c r="Q84">
        <f>Form_Responses1[[#This Row],[Column20]]</f>
        <v>4</v>
      </c>
      <c r="R84">
        <f>Form_Responses1[[#This Row],[Column21]]</f>
        <v>4</v>
      </c>
      <c r="S84">
        <f>Form_Responses1[[#This Row],[Column22]]</f>
        <v>4</v>
      </c>
      <c r="T84">
        <f>Form_Responses1[[#This Row],[Column23]]</f>
        <v>4</v>
      </c>
      <c r="U84">
        <f>Form_Responses1[[#This Row],[Column24]]</f>
        <v>3</v>
      </c>
      <c r="V84">
        <f>Form_Responses1[[#This Row],[Column25]]</f>
        <v>4</v>
      </c>
      <c r="W84">
        <f>Form_Responses1[[#This Row],[Column26]]</f>
        <v>4</v>
      </c>
      <c r="X84">
        <f>Form_Responses1[[#This Row],[Column27]]</f>
        <v>4</v>
      </c>
      <c r="Y84">
        <f>Form_Responses1[[#This Row],[Column28]]</f>
        <v>4</v>
      </c>
      <c r="Z84">
        <f t="shared" si="1"/>
        <v>79</v>
      </c>
      <c r="AA84">
        <f>AVERAGE('Karakteristik yang Dominan'!E85,'Kepemimpinan dalam Rumah Sakit'!E85,'Pengelolaan Pegawai'!E85,'Perekat Rumah Sakit'!E85,'Strategi yang Ditekankan'!E85,'Kriteria dari Kesuksesan'!E85)</f>
        <v>56.666666666666664</v>
      </c>
      <c r="AB84">
        <f>AVERAGE('Karakteristik yang Dominan'!F85,'Kepemimpinan dalam Rumah Sakit'!F85,'Pengelolaan Pegawai'!F85,'Perekat Rumah Sakit'!F85,'Strategi yang Ditekankan'!F85,'Kriteria dari Kesuksesan'!F85)</f>
        <v>19.166666666666668</v>
      </c>
      <c r="AC84">
        <f>AVERAGE('Karakteristik yang Dominan'!G85,'Kepemimpinan dalam Rumah Sakit'!G85,'Pengelolaan Pegawai'!G85,'Perekat Rumah Sakit'!G85,'Strategi yang Ditekankan'!G85,'Kriteria dari Kesuksesan'!G85)</f>
        <v>14.166666666666666</v>
      </c>
      <c r="AD84">
        <f>AVERAGE('Karakteristik yang Dominan'!H85,'Kepemimpinan dalam Rumah Sakit'!H85,'Pengelolaan Pegawai'!H85,'Perekat Rumah Sakit'!H85,'Strategi yang Ditekankan'!H85,'Kriteria dari Kesuksesan'!H85)</f>
        <v>10</v>
      </c>
      <c r="AE84" s="49">
        <v>4.32</v>
      </c>
    </row>
    <row r="85" spans="1:31">
      <c r="A85" t="str">
        <f>Sosiometri!A85</f>
        <v>Laki-Laki</v>
      </c>
      <c r="B85" t="str">
        <f>Sosiometri!B85</f>
        <v>21-30 tahun</v>
      </c>
      <c r="C85" t="str">
        <f>Sosiometri!C85</f>
        <v>S1</v>
      </c>
      <c r="D85" t="str">
        <f>Sosiometri!D85</f>
        <v>&lt;1 tahun</v>
      </c>
      <c r="E85" t="str">
        <f>Sosiometri!E85</f>
        <v>Staf Pelaksana</v>
      </c>
      <c r="F85">
        <f>Form_Responses1[[#This Row],[Column9]]</f>
        <v>2</v>
      </c>
      <c r="G85">
        <f>Form_Responses1[[#This Row],[Column10]]</f>
        <v>3</v>
      </c>
      <c r="H85">
        <f>Form_Responses1[[#This Row],[Column11]]</f>
        <v>3</v>
      </c>
      <c r="I85">
        <f>Form_Responses1[[#This Row],[Column12]]</f>
        <v>3</v>
      </c>
      <c r="J85">
        <f>Form_Responses1[[#This Row],[Column13]]</f>
        <v>2</v>
      </c>
      <c r="K85">
        <f>Form_Responses1[[#This Row],[Column14]]</f>
        <v>3</v>
      </c>
      <c r="L85">
        <f>Form_Responses1[[#This Row],[Column15]]</f>
        <v>2</v>
      </c>
      <c r="M85">
        <f>Form_Responses1[[#This Row],[Column16]]</f>
        <v>3</v>
      </c>
      <c r="N85">
        <f>Form_Responses1[[#This Row],[Column17]]</f>
        <v>3</v>
      </c>
      <c r="O85">
        <f>Form_Responses1[[#This Row],[Column18]]</f>
        <v>3</v>
      </c>
      <c r="P85">
        <f>Form_Responses1[[#This Row],[Column19]]</f>
        <v>3</v>
      </c>
      <c r="Q85">
        <f>Form_Responses1[[#This Row],[Column20]]</f>
        <v>2</v>
      </c>
      <c r="R85">
        <f>Form_Responses1[[#This Row],[Column21]]</f>
        <v>2</v>
      </c>
      <c r="S85">
        <f>Form_Responses1[[#This Row],[Column22]]</f>
        <v>2</v>
      </c>
      <c r="T85">
        <f>Form_Responses1[[#This Row],[Column23]]</f>
        <v>3</v>
      </c>
      <c r="U85">
        <f>Form_Responses1[[#This Row],[Column24]]</f>
        <v>3</v>
      </c>
      <c r="V85">
        <f>Form_Responses1[[#This Row],[Column25]]</f>
        <v>3</v>
      </c>
      <c r="W85">
        <f>Form_Responses1[[#This Row],[Column26]]</f>
        <v>3</v>
      </c>
      <c r="X85">
        <f>Form_Responses1[[#This Row],[Column27]]</f>
        <v>3</v>
      </c>
      <c r="Y85">
        <f>Form_Responses1[[#This Row],[Column28]]</f>
        <v>3</v>
      </c>
      <c r="Z85">
        <f t="shared" si="1"/>
        <v>54</v>
      </c>
      <c r="AA85">
        <f>AVERAGE('Karakteristik yang Dominan'!E86,'Kepemimpinan dalam Rumah Sakit'!E86,'Pengelolaan Pegawai'!E86,'Perekat Rumah Sakit'!E86,'Strategi yang Ditekankan'!E86,'Kriteria dari Kesuksesan'!E86)</f>
        <v>25.833333333333332</v>
      </c>
      <c r="AB85">
        <f>AVERAGE('Karakteristik yang Dominan'!F86,'Kepemimpinan dalam Rumah Sakit'!F86,'Pengelolaan Pegawai'!F86,'Perekat Rumah Sakit'!F86,'Strategi yang Ditekankan'!F86,'Kriteria dari Kesuksesan'!F86)</f>
        <v>25.833333333333332</v>
      </c>
      <c r="AC85">
        <f>AVERAGE('Karakteristik yang Dominan'!G86,'Kepemimpinan dalam Rumah Sakit'!G86,'Pengelolaan Pegawai'!G86,'Perekat Rumah Sakit'!G86,'Strategi yang Ditekankan'!G86,'Kriteria dari Kesuksesan'!G86)</f>
        <v>25.833333333333332</v>
      </c>
      <c r="AD85">
        <f>AVERAGE('Karakteristik yang Dominan'!H86,'Kepemimpinan dalam Rumah Sakit'!H86,'Pengelolaan Pegawai'!H86,'Perekat Rumah Sakit'!H86,'Strategi yang Ditekankan'!H86,'Kriteria dari Kesuksesan'!H86)</f>
        <v>22.5</v>
      </c>
      <c r="AE85" s="48">
        <v>3.98</v>
      </c>
    </row>
    <row r="86" spans="1:31">
      <c r="A86" t="str">
        <f>Sosiometri!A86</f>
        <v>Perempuan</v>
      </c>
      <c r="B86" t="str">
        <f>Sosiometri!B86</f>
        <v>21-30 tahun</v>
      </c>
      <c r="C86" t="str">
        <f>Sosiometri!C86</f>
        <v>D3</v>
      </c>
      <c r="D86" t="str">
        <f>Sosiometri!D86</f>
        <v>&gt; 5 tahun</v>
      </c>
      <c r="E86" t="str">
        <f>Sosiometri!E86</f>
        <v>Staf Pelaksana</v>
      </c>
      <c r="F86">
        <f>Form_Responses1[[#This Row],[Column9]]</f>
        <v>4</v>
      </c>
      <c r="G86">
        <f>Form_Responses1[[#This Row],[Column10]]</f>
        <v>5</v>
      </c>
      <c r="H86">
        <f>Form_Responses1[[#This Row],[Column11]]</f>
        <v>4</v>
      </c>
      <c r="I86">
        <f>Form_Responses1[[#This Row],[Column12]]</f>
        <v>5</v>
      </c>
      <c r="J86">
        <f>Form_Responses1[[#This Row],[Column13]]</f>
        <v>4</v>
      </c>
      <c r="K86">
        <f>Form_Responses1[[#This Row],[Column14]]</f>
        <v>4</v>
      </c>
      <c r="L86">
        <f>Form_Responses1[[#This Row],[Column15]]</f>
        <v>5</v>
      </c>
      <c r="M86">
        <f>Form_Responses1[[#This Row],[Column16]]</f>
        <v>4</v>
      </c>
      <c r="N86">
        <f>Form_Responses1[[#This Row],[Column17]]</f>
        <v>5</v>
      </c>
      <c r="O86">
        <f>Form_Responses1[[#This Row],[Column18]]</f>
        <v>4</v>
      </c>
      <c r="P86">
        <f>Form_Responses1[[#This Row],[Column19]]</f>
        <v>5</v>
      </c>
      <c r="Q86">
        <f>Form_Responses1[[#This Row],[Column20]]</f>
        <v>5</v>
      </c>
      <c r="R86">
        <f>Form_Responses1[[#This Row],[Column21]]</f>
        <v>4</v>
      </c>
      <c r="S86">
        <f>Form_Responses1[[#This Row],[Column22]]</f>
        <v>4</v>
      </c>
      <c r="T86">
        <f>Form_Responses1[[#This Row],[Column23]]</f>
        <v>4</v>
      </c>
      <c r="U86">
        <f>Form_Responses1[[#This Row],[Column24]]</f>
        <v>4</v>
      </c>
      <c r="V86">
        <f>Form_Responses1[[#This Row],[Column25]]</f>
        <v>4</v>
      </c>
      <c r="W86">
        <f>Form_Responses1[[#This Row],[Column26]]</f>
        <v>5</v>
      </c>
      <c r="X86">
        <f>Form_Responses1[[#This Row],[Column27]]</f>
        <v>5</v>
      </c>
      <c r="Y86">
        <f>Form_Responses1[[#This Row],[Column28]]</f>
        <v>4</v>
      </c>
      <c r="Z86">
        <f t="shared" si="1"/>
        <v>88</v>
      </c>
      <c r="AA86">
        <f>AVERAGE('Karakteristik yang Dominan'!E87,'Kepemimpinan dalam Rumah Sakit'!E87,'Pengelolaan Pegawai'!E87,'Perekat Rumah Sakit'!E87,'Strategi yang Ditekankan'!E87,'Kriteria dari Kesuksesan'!E87)</f>
        <v>23.333333333333332</v>
      </c>
      <c r="AB86">
        <f>AVERAGE('Karakteristik yang Dominan'!F87,'Kepemimpinan dalam Rumah Sakit'!F87,'Pengelolaan Pegawai'!F87,'Perekat Rumah Sakit'!F87,'Strategi yang Ditekankan'!F87,'Kriteria dari Kesuksesan'!F87)</f>
        <v>23.333333333333332</v>
      </c>
      <c r="AC86">
        <f>AVERAGE('Karakteristik yang Dominan'!G87,'Kepemimpinan dalam Rumah Sakit'!G87,'Pengelolaan Pegawai'!G87,'Perekat Rumah Sakit'!G87,'Strategi yang Ditekankan'!G87,'Kriteria dari Kesuksesan'!G87)</f>
        <v>26.666666666666668</v>
      </c>
      <c r="AD86">
        <f>AVERAGE('Karakteristik yang Dominan'!H87,'Kepemimpinan dalam Rumah Sakit'!H87,'Pengelolaan Pegawai'!H87,'Perekat Rumah Sakit'!H87,'Strategi yang Ditekankan'!H87,'Kriteria dari Kesuksesan'!H87)</f>
        <v>26.666666666666668</v>
      </c>
      <c r="AE86" s="49">
        <v>4.16</v>
      </c>
    </row>
    <row r="87" spans="1:31">
      <c r="A87" t="str">
        <f>Sosiometri!A87</f>
        <v>Perempuan</v>
      </c>
      <c r="B87" t="str">
        <f>Sosiometri!B87</f>
        <v>21-30 tahun</v>
      </c>
      <c r="C87" t="str">
        <f>Sosiometri!C87</f>
        <v>S1</v>
      </c>
      <c r="D87" t="str">
        <f>Sosiometri!D87</f>
        <v>1-3 tahun</v>
      </c>
      <c r="E87" t="str">
        <f>Sosiometri!E87</f>
        <v>Staf Pelaksana</v>
      </c>
      <c r="F87">
        <f>Form_Responses1[[#This Row],[Column9]]</f>
        <v>3</v>
      </c>
      <c r="G87">
        <f>Form_Responses1[[#This Row],[Column10]]</f>
        <v>3</v>
      </c>
      <c r="H87">
        <f>Form_Responses1[[#This Row],[Column11]]</f>
        <v>2</v>
      </c>
      <c r="I87">
        <f>Form_Responses1[[#This Row],[Column12]]</f>
        <v>3</v>
      </c>
      <c r="J87">
        <f>Form_Responses1[[#This Row],[Column13]]</f>
        <v>3</v>
      </c>
      <c r="K87">
        <f>Form_Responses1[[#This Row],[Column14]]</f>
        <v>2</v>
      </c>
      <c r="L87">
        <f>Form_Responses1[[#This Row],[Column15]]</f>
        <v>3</v>
      </c>
      <c r="M87">
        <f>Form_Responses1[[#This Row],[Column16]]</f>
        <v>3</v>
      </c>
      <c r="N87">
        <f>Form_Responses1[[#This Row],[Column17]]</f>
        <v>3</v>
      </c>
      <c r="O87">
        <f>Form_Responses1[[#This Row],[Column18]]</f>
        <v>3</v>
      </c>
      <c r="P87">
        <f>Form_Responses1[[#This Row],[Column19]]</f>
        <v>3</v>
      </c>
      <c r="Q87">
        <f>Form_Responses1[[#This Row],[Column20]]</f>
        <v>3</v>
      </c>
      <c r="R87">
        <f>Form_Responses1[[#This Row],[Column21]]</f>
        <v>3</v>
      </c>
      <c r="S87">
        <f>Form_Responses1[[#This Row],[Column22]]</f>
        <v>3</v>
      </c>
      <c r="T87">
        <f>Form_Responses1[[#This Row],[Column23]]</f>
        <v>3</v>
      </c>
      <c r="U87">
        <f>Form_Responses1[[#This Row],[Column24]]</f>
        <v>3</v>
      </c>
      <c r="V87">
        <f>Form_Responses1[[#This Row],[Column25]]</f>
        <v>3</v>
      </c>
      <c r="W87">
        <f>Form_Responses1[[#This Row],[Column26]]</f>
        <v>3</v>
      </c>
      <c r="X87">
        <f>Form_Responses1[[#This Row],[Column27]]</f>
        <v>3</v>
      </c>
      <c r="Y87">
        <f>Form_Responses1[[#This Row],[Column28]]</f>
        <v>3</v>
      </c>
      <c r="Z87">
        <f t="shared" si="1"/>
        <v>58</v>
      </c>
      <c r="AA87">
        <f>AVERAGE('Karakteristik yang Dominan'!E88,'Kepemimpinan dalam Rumah Sakit'!E88,'Pengelolaan Pegawai'!E88,'Perekat Rumah Sakit'!E88,'Strategi yang Ditekankan'!E88,'Kriteria dari Kesuksesan'!E88)</f>
        <v>30</v>
      </c>
      <c r="AB87">
        <f>AVERAGE('Karakteristik yang Dominan'!F88,'Kepemimpinan dalam Rumah Sakit'!F88,'Pengelolaan Pegawai'!F88,'Perekat Rumah Sakit'!F88,'Strategi yang Ditekankan'!F88,'Kriteria dari Kesuksesan'!F88)</f>
        <v>21.666666666666668</v>
      </c>
      <c r="AC87">
        <f>AVERAGE('Karakteristik yang Dominan'!G88,'Kepemimpinan dalam Rumah Sakit'!G88,'Pengelolaan Pegawai'!G88,'Perekat Rumah Sakit'!G88,'Strategi yang Ditekankan'!G88,'Kriteria dari Kesuksesan'!G88)</f>
        <v>21.666666666666668</v>
      </c>
      <c r="AD87">
        <f>AVERAGE('Karakteristik yang Dominan'!H88,'Kepemimpinan dalam Rumah Sakit'!H88,'Pengelolaan Pegawai'!H88,'Perekat Rumah Sakit'!H88,'Strategi yang Ditekankan'!H88,'Kriteria dari Kesuksesan'!H88)</f>
        <v>26.666666666666668</v>
      </c>
      <c r="AE87" s="48">
        <v>4.1500000000000004</v>
      </c>
    </row>
    <row r="88" spans="1:31">
      <c r="A88" t="str">
        <f>Sosiometri!A88</f>
        <v>Perempuan</v>
      </c>
      <c r="B88" t="str">
        <f>Sosiometri!B88</f>
        <v>21-30 tahun</v>
      </c>
      <c r="C88" t="str">
        <f>Sosiometri!C88</f>
        <v>D3</v>
      </c>
      <c r="D88" t="str">
        <f>Sosiometri!D88</f>
        <v>&gt; 5 tahun</v>
      </c>
      <c r="E88" t="str">
        <f>Sosiometri!E88</f>
        <v>Staf Pelaksana</v>
      </c>
      <c r="F88">
        <f>Form_Responses1[[#This Row],[Column9]]</f>
        <v>4</v>
      </c>
      <c r="G88">
        <f>Form_Responses1[[#This Row],[Column10]]</f>
        <v>4</v>
      </c>
      <c r="H88">
        <f>Form_Responses1[[#This Row],[Column11]]</f>
        <v>4</v>
      </c>
      <c r="I88">
        <f>Form_Responses1[[#This Row],[Column12]]</f>
        <v>5</v>
      </c>
      <c r="J88">
        <f>Form_Responses1[[#This Row],[Column13]]</f>
        <v>5</v>
      </c>
      <c r="K88">
        <f>Form_Responses1[[#This Row],[Column14]]</f>
        <v>4</v>
      </c>
      <c r="L88">
        <f>Form_Responses1[[#This Row],[Column15]]</f>
        <v>4</v>
      </c>
      <c r="M88">
        <f>Form_Responses1[[#This Row],[Column16]]</f>
        <v>5</v>
      </c>
      <c r="N88">
        <f>Form_Responses1[[#This Row],[Column17]]</f>
        <v>5</v>
      </c>
      <c r="O88">
        <f>Form_Responses1[[#This Row],[Column18]]</f>
        <v>5</v>
      </c>
      <c r="P88">
        <f>Form_Responses1[[#This Row],[Column19]]</f>
        <v>5</v>
      </c>
      <c r="Q88">
        <f>Form_Responses1[[#This Row],[Column20]]</f>
        <v>5</v>
      </c>
      <c r="R88">
        <f>Form_Responses1[[#This Row],[Column21]]</f>
        <v>5</v>
      </c>
      <c r="S88">
        <f>Form_Responses1[[#This Row],[Column22]]</f>
        <v>4</v>
      </c>
      <c r="T88">
        <f>Form_Responses1[[#This Row],[Column23]]</f>
        <v>4</v>
      </c>
      <c r="U88">
        <f>Form_Responses1[[#This Row],[Column24]]</f>
        <v>5</v>
      </c>
      <c r="V88">
        <f>Form_Responses1[[#This Row],[Column25]]</f>
        <v>5</v>
      </c>
      <c r="W88">
        <f>Form_Responses1[[#This Row],[Column26]]</f>
        <v>5</v>
      </c>
      <c r="X88">
        <f>Form_Responses1[[#This Row],[Column27]]</f>
        <v>5</v>
      </c>
      <c r="Y88">
        <f>Form_Responses1[[#This Row],[Column28]]</f>
        <v>4</v>
      </c>
      <c r="Z88">
        <f t="shared" si="1"/>
        <v>92</v>
      </c>
      <c r="AA88">
        <f>AVERAGE('Karakteristik yang Dominan'!E89,'Kepemimpinan dalam Rumah Sakit'!E89,'Pengelolaan Pegawai'!E89,'Perekat Rumah Sakit'!E89,'Strategi yang Ditekankan'!E89,'Kriteria dari Kesuksesan'!E89)</f>
        <v>28.333333333333332</v>
      </c>
      <c r="AB88">
        <f>AVERAGE('Karakteristik yang Dominan'!F89,'Kepemimpinan dalam Rumah Sakit'!F89,'Pengelolaan Pegawai'!F89,'Perekat Rumah Sakit'!F89,'Strategi yang Ditekankan'!F89,'Kriteria dari Kesuksesan'!F89)</f>
        <v>25</v>
      </c>
      <c r="AC88">
        <f>AVERAGE('Karakteristik yang Dominan'!G89,'Kepemimpinan dalam Rumah Sakit'!G89,'Pengelolaan Pegawai'!G89,'Perekat Rumah Sakit'!G89,'Strategi yang Ditekankan'!G89,'Kriteria dari Kesuksesan'!G89)</f>
        <v>21.666666666666668</v>
      </c>
      <c r="AD88">
        <f>AVERAGE('Karakteristik yang Dominan'!H89,'Kepemimpinan dalam Rumah Sakit'!H89,'Pengelolaan Pegawai'!H89,'Perekat Rumah Sakit'!H89,'Strategi yang Ditekankan'!H89,'Kriteria dari Kesuksesan'!H89)</f>
        <v>25</v>
      </c>
      <c r="AE88" s="49">
        <v>4.24</v>
      </c>
    </row>
    <row r="89" spans="1:31">
      <c r="A89" t="str">
        <f>Sosiometri!A89</f>
        <v>Perempuan</v>
      </c>
      <c r="B89" t="str">
        <f>Sosiometri!B89</f>
        <v>21-30 tahun</v>
      </c>
      <c r="C89" t="str">
        <f>Sosiometri!C89</f>
        <v>S1</v>
      </c>
      <c r="D89" t="str">
        <f>Sosiometri!D89</f>
        <v>1-3 tahun</v>
      </c>
      <c r="E89" t="str">
        <f>Sosiometri!E89</f>
        <v>Staf Pelaksana</v>
      </c>
      <c r="F89">
        <f>Form_Responses1[[#This Row],[Column9]]</f>
        <v>4</v>
      </c>
      <c r="G89">
        <f>Form_Responses1[[#This Row],[Column10]]</f>
        <v>2</v>
      </c>
      <c r="H89">
        <f>Form_Responses1[[#This Row],[Column11]]</f>
        <v>3</v>
      </c>
      <c r="I89">
        <f>Form_Responses1[[#This Row],[Column12]]</f>
        <v>3</v>
      </c>
      <c r="J89">
        <f>Form_Responses1[[#This Row],[Column13]]</f>
        <v>4</v>
      </c>
      <c r="K89">
        <f>Form_Responses1[[#This Row],[Column14]]</f>
        <v>2</v>
      </c>
      <c r="L89">
        <f>Form_Responses1[[#This Row],[Column15]]</f>
        <v>2</v>
      </c>
      <c r="M89">
        <f>Form_Responses1[[#This Row],[Column16]]</f>
        <v>3</v>
      </c>
      <c r="N89">
        <f>Form_Responses1[[#This Row],[Column17]]</f>
        <v>4</v>
      </c>
      <c r="O89">
        <f>Form_Responses1[[#This Row],[Column18]]</f>
        <v>4</v>
      </c>
      <c r="P89">
        <f>Form_Responses1[[#This Row],[Column19]]</f>
        <v>2</v>
      </c>
      <c r="Q89">
        <f>Form_Responses1[[#This Row],[Column20]]</f>
        <v>2</v>
      </c>
      <c r="R89">
        <f>Form_Responses1[[#This Row],[Column21]]</f>
        <v>2</v>
      </c>
      <c r="S89">
        <f>Form_Responses1[[#This Row],[Column22]]</f>
        <v>4</v>
      </c>
      <c r="T89">
        <f>Form_Responses1[[#This Row],[Column23]]</f>
        <v>2</v>
      </c>
      <c r="U89">
        <f>Form_Responses1[[#This Row],[Column24]]</f>
        <v>2</v>
      </c>
      <c r="V89">
        <f>Form_Responses1[[#This Row],[Column25]]</f>
        <v>3</v>
      </c>
      <c r="W89">
        <f>Form_Responses1[[#This Row],[Column26]]</f>
        <v>4</v>
      </c>
      <c r="X89">
        <f>Form_Responses1[[#This Row],[Column27]]</f>
        <v>4</v>
      </c>
      <c r="Y89">
        <f>Form_Responses1[[#This Row],[Column28]]</f>
        <v>2</v>
      </c>
      <c r="Z89">
        <f t="shared" si="1"/>
        <v>58</v>
      </c>
      <c r="AA89">
        <f>AVERAGE('Karakteristik yang Dominan'!E90,'Kepemimpinan dalam Rumah Sakit'!E90,'Pengelolaan Pegawai'!E90,'Perekat Rumah Sakit'!E90,'Strategi yang Ditekankan'!E90,'Kriteria dari Kesuksesan'!E90)</f>
        <v>24.166666666666668</v>
      </c>
      <c r="AB89">
        <f>AVERAGE('Karakteristik yang Dominan'!F90,'Kepemimpinan dalam Rumah Sakit'!F90,'Pengelolaan Pegawai'!F90,'Perekat Rumah Sakit'!F90,'Strategi yang Ditekankan'!F90,'Kriteria dari Kesuksesan'!F90)</f>
        <v>27.5</v>
      </c>
      <c r="AC89">
        <f>AVERAGE('Karakteristik yang Dominan'!G90,'Kepemimpinan dalam Rumah Sakit'!G90,'Pengelolaan Pegawai'!G90,'Perekat Rumah Sakit'!G90,'Strategi yang Ditekankan'!G90,'Kriteria dari Kesuksesan'!G90)</f>
        <v>20.833333333333332</v>
      </c>
      <c r="AD89">
        <f>AVERAGE('Karakteristik yang Dominan'!H90,'Kepemimpinan dalam Rumah Sakit'!H90,'Pengelolaan Pegawai'!H90,'Perekat Rumah Sakit'!H90,'Strategi yang Ditekankan'!H90,'Kriteria dari Kesuksesan'!H90)</f>
        <v>27.5</v>
      </c>
      <c r="AE89" s="48">
        <v>3.98</v>
      </c>
    </row>
    <row r="90" spans="1:31">
      <c r="A90" t="str">
        <f>Sosiometri!A90</f>
        <v>Perempuan</v>
      </c>
      <c r="B90" t="str">
        <f>Sosiometri!B90</f>
        <v>21-30 tahun</v>
      </c>
      <c r="C90" t="str">
        <f>Sosiometri!C90</f>
        <v>SMA/SMK/SPK</v>
      </c>
      <c r="D90" t="str">
        <f>Sosiometri!D90</f>
        <v>1-3 tahun</v>
      </c>
      <c r="E90" t="str">
        <f>Sosiometri!E90</f>
        <v>Staf Pelaksana</v>
      </c>
      <c r="F90">
        <f>Form_Responses1[[#This Row],[Column9]]</f>
        <v>2</v>
      </c>
      <c r="G90">
        <f>Form_Responses1[[#This Row],[Column10]]</f>
        <v>3</v>
      </c>
      <c r="H90">
        <f>Form_Responses1[[#This Row],[Column11]]</f>
        <v>4</v>
      </c>
      <c r="I90">
        <f>Form_Responses1[[#This Row],[Column12]]</f>
        <v>4</v>
      </c>
      <c r="J90">
        <f>Form_Responses1[[#This Row],[Column13]]</f>
        <v>3</v>
      </c>
      <c r="K90">
        <f>Form_Responses1[[#This Row],[Column14]]</f>
        <v>2</v>
      </c>
      <c r="L90">
        <f>Form_Responses1[[#This Row],[Column15]]</f>
        <v>2</v>
      </c>
      <c r="M90">
        <f>Form_Responses1[[#This Row],[Column16]]</f>
        <v>4</v>
      </c>
      <c r="N90">
        <f>Form_Responses1[[#This Row],[Column17]]</f>
        <v>4</v>
      </c>
      <c r="O90">
        <f>Form_Responses1[[#This Row],[Column18]]</f>
        <v>4</v>
      </c>
      <c r="P90">
        <f>Form_Responses1[[#This Row],[Column19]]</f>
        <v>2</v>
      </c>
      <c r="Q90">
        <f>Form_Responses1[[#This Row],[Column20]]</f>
        <v>3</v>
      </c>
      <c r="R90">
        <f>Form_Responses1[[#This Row],[Column21]]</f>
        <v>2</v>
      </c>
      <c r="S90">
        <f>Form_Responses1[[#This Row],[Column22]]</f>
        <v>3</v>
      </c>
      <c r="T90">
        <f>Form_Responses1[[#This Row],[Column23]]</f>
        <v>4</v>
      </c>
      <c r="U90">
        <f>Form_Responses1[[#This Row],[Column24]]</f>
        <v>4</v>
      </c>
      <c r="V90">
        <f>Form_Responses1[[#This Row],[Column25]]</f>
        <v>2</v>
      </c>
      <c r="W90">
        <f>Form_Responses1[[#This Row],[Column26]]</f>
        <v>4</v>
      </c>
      <c r="X90">
        <f>Form_Responses1[[#This Row],[Column27]]</f>
        <v>2</v>
      </c>
      <c r="Y90">
        <f>Form_Responses1[[#This Row],[Column28]]</f>
        <v>3</v>
      </c>
      <c r="Z90">
        <f t="shared" si="1"/>
        <v>61</v>
      </c>
      <c r="AA90">
        <f>AVERAGE('Karakteristik yang Dominan'!E91,'Kepemimpinan dalam Rumah Sakit'!E91,'Pengelolaan Pegawai'!E91,'Perekat Rumah Sakit'!E91,'Strategi yang Ditekankan'!E91,'Kriteria dari Kesuksesan'!E91)</f>
        <v>51.666666666666664</v>
      </c>
      <c r="AB90">
        <f>AVERAGE('Karakteristik yang Dominan'!F91,'Kepemimpinan dalam Rumah Sakit'!F91,'Pengelolaan Pegawai'!F91,'Perekat Rumah Sakit'!F91,'Strategi yang Ditekankan'!F91,'Kriteria dari Kesuksesan'!F91)</f>
        <v>20</v>
      </c>
      <c r="AC90">
        <f>AVERAGE('Karakteristik yang Dominan'!G91,'Kepemimpinan dalam Rumah Sakit'!G91,'Pengelolaan Pegawai'!G91,'Perekat Rumah Sakit'!G91,'Strategi yang Ditekankan'!G91,'Kriteria dari Kesuksesan'!G91)</f>
        <v>13.333333333333334</v>
      </c>
      <c r="AD90">
        <f>AVERAGE('Karakteristik yang Dominan'!H91,'Kepemimpinan dalam Rumah Sakit'!H91,'Pengelolaan Pegawai'!H91,'Perekat Rumah Sakit'!H91,'Strategi yang Ditekankan'!H91,'Kriteria dari Kesuksesan'!H91)</f>
        <v>15</v>
      </c>
      <c r="AE90" s="49">
        <v>3.98</v>
      </c>
    </row>
    <row r="91" spans="1:31">
      <c r="A91" t="str">
        <f>Sosiometri!A91</f>
        <v>Perempuan</v>
      </c>
      <c r="B91" t="str">
        <f>Sosiometri!B91</f>
        <v>31-40 tahun</v>
      </c>
      <c r="C91" t="str">
        <f>Sosiometri!C91</f>
        <v>D3</v>
      </c>
      <c r="D91" t="str">
        <f>Sosiometri!D91</f>
        <v>&gt; 5 tahun</v>
      </c>
      <c r="E91" t="str">
        <f>Sosiometri!E91</f>
        <v>Koordinator</v>
      </c>
      <c r="F91">
        <f>Form_Responses1[[#This Row],[Column9]]</f>
        <v>3</v>
      </c>
      <c r="G91">
        <f>Form_Responses1[[#This Row],[Column10]]</f>
        <v>4</v>
      </c>
      <c r="H91">
        <f>Form_Responses1[[#This Row],[Column11]]</f>
        <v>3</v>
      </c>
      <c r="I91">
        <f>Form_Responses1[[#This Row],[Column12]]</f>
        <v>4</v>
      </c>
      <c r="J91">
        <f>Form_Responses1[[#This Row],[Column13]]</f>
        <v>4</v>
      </c>
      <c r="K91">
        <f>Form_Responses1[[#This Row],[Column14]]</f>
        <v>3</v>
      </c>
      <c r="L91">
        <f>Form_Responses1[[#This Row],[Column15]]</f>
        <v>4</v>
      </c>
      <c r="M91">
        <f>Form_Responses1[[#This Row],[Column16]]</f>
        <v>4</v>
      </c>
      <c r="N91">
        <f>Form_Responses1[[#This Row],[Column17]]</f>
        <v>3</v>
      </c>
      <c r="O91">
        <f>Form_Responses1[[#This Row],[Column18]]</f>
        <v>4</v>
      </c>
      <c r="P91">
        <f>Form_Responses1[[#This Row],[Column19]]</f>
        <v>3</v>
      </c>
      <c r="Q91">
        <f>Form_Responses1[[#This Row],[Column20]]</f>
        <v>3</v>
      </c>
      <c r="R91">
        <f>Form_Responses1[[#This Row],[Column21]]</f>
        <v>4</v>
      </c>
      <c r="S91">
        <f>Form_Responses1[[#This Row],[Column22]]</f>
        <v>4</v>
      </c>
      <c r="T91">
        <f>Form_Responses1[[#This Row],[Column23]]</f>
        <v>4</v>
      </c>
      <c r="U91">
        <f>Form_Responses1[[#This Row],[Column24]]</f>
        <v>3</v>
      </c>
      <c r="V91">
        <f>Form_Responses1[[#This Row],[Column25]]</f>
        <v>3</v>
      </c>
      <c r="W91">
        <f>Form_Responses1[[#This Row],[Column26]]</f>
        <v>3</v>
      </c>
      <c r="X91">
        <f>Form_Responses1[[#This Row],[Column27]]</f>
        <v>3</v>
      </c>
      <c r="Y91">
        <f>Form_Responses1[[#This Row],[Column28]]</f>
        <v>4</v>
      </c>
      <c r="Z91">
        <f t="shared" si="1"/>
        <v>70</v>
      </c>
      <c r="AA91">
        <f>AVERAGE('Karakteristik yang Dominan'!E92,'Kepemimpinan dalam Rumah Sakit'!E92,'Pengelolaan Pegawai'!E92,'Perekat Rumah Sakit'!E92,'Strategi yang Ditekankan'!E92,'Kriteria dari Kesuksesan'!E92)</f>
        <v>28.333333333333332</v>
      </c>
      <c r="AB91">
        <f>AVERAGE('Karakteristik yang Dominan'!F92,'Kepemimpinan dalam Rumah Sakit'!F92,'Pengelolaan Pegawai'!F92,'Perekat Rumah Sakit'!F92,'Strategi yang Ditekankan'!F92,'Kriteria dari Kesuksesan'!F92)</f>
        <v>26.666666666666668</v>
      </c>
      <c r="AC91">
        <f>AVERAGE('Karakteristik yang Dominan'!G92,'Kepemimpinan dalam Rumah Sakit'!G92,'Pengelolaan Pegawai'!G92,'Perekat Rumah Sakit'!G92,'Strategi yang Ditekankan'!G92,'Kriteria dari Kesuksesan'!G92)</f>
        <v>23.333333333333332</v>
      </c>
      <c r="AD91">
        <f>AVERAGE('Karakteristik yang Dominan'!H92,'Kepemimpinan dalam Rumah Sakit'!H92,'Pengelolaan Pegawai'!H92,'Perekat Rumah Sakit'!H92,'Strategi yang Ditekankan'!H92,'Kriteria dari Kesuksesan'!H92)</f>
        <v>21.666666666666668</v>
      </c>
      <c r="AE91" s="48">
        <v>4.37</v>
      </c>
    </row>
    <row r="92" spans="1:31">
      <c r="A92" t="str">
        <f>Sosiometri!A92</f>
        <v>Perempuan</v>
      </c>
      <c r="B92" t="str">
        <f>Sosiometri!B92</f>
        <v>31-40 tahun</v>
      </c>
      <c r="C92" t="str">
        <f>Sosiometri!C92</f>
        <v>D3</v>
      </c>
      <c r="D92" t="str">
        <f>Sosiometri!D92</f>
        <v>&gt; 5 tahun</v>
      </c>
      <c r="E92" t="str">
        <f>Sosiometri!E92</f>
        <v>Staf Pelaksana</v>
      </c>
      <c r="F92">
        <f>Form_Responses1[[#This Row],[Column9]]</f>
        <v>3</v>
      </c>
      <c r="G92">
        <f>Form_Responses1[[#This Row],[Column10]]</f>
        <v>3</v>
      </c>
      <c r="H92">
        <f>Form_Responses1[[#This Row],[Column11]]</f>
        <v>3</v>
      </c>
      <c r="I92">
        <f>Form_Responses1[[#This Row],[Column12]]</f>
        <v>3</v>
      </c>
      <c r="J92">
        <f>Form_Responses1[[#This Row],[Column13]]</f>
        <v>2</v>
      </c>
      <c r="K92">
        <f>Form_Responses1[[#This Row],[Column14]]</f>
        <v>3</v>
      </c>
      <c r="L92">
        <f>Form_Responses1[[#This Row],[Column15]]</f>
        <v>2</v>
      </c>
      <c r="M92">
        <f>Form_Responses1[[#This Row],[Column16]]</f>
        <v>4</v>
      </c>
      <c r="N92">
        <f>Form_Responses1[[#This Row],[Column17]]</f>
        <v>3</v>
      </c>
      <c r="O92">
        <f>Form_Responses1[[#This Row],[Column18]]</f>
        <v>2</v>
      </c>
      <c r="P92">
        <f>Form_Responses1[[#This Row],[Column19]]</f>
        <v>4</v>
      </c>
      <c r="Q92">
        <f>Form_Responses1[[#This Row],[Column20]]</f>
        <v>4</v>
      </c>
      <c r="R92">
        <f>Form_Responses1[[#This Row],[Column21]]</f>
        <v>4</v>
      </c>
      <c r="S92">
        <f>Form_Responses1[[#This Row],[Column22]]</f>
        <v>2</v>
      </c>
      <c r="T92">
        <f>Form_Responses1[[#This Row],[Column23]]</f>
        <v>4</v>
      </c>
      <c r="U92">
        <f>Form_Responses1[[#This Row],[Column24]]</f>
        <v>3</v>
      </c>
      <c r="V92">
        <f>Form_Responses1[[#This Row],[Column25]]</f>
        <v>2</v>
      </c>
      <c r="W92">
        <f>Form_Responses1[[#This Row],[Column26]]</f>
        <v>3</v>
      </c>
      <c r="X92">
        <f>Form_Responses1[[#This Row],[Column27]]</f>
        <v>3</v>
      </c>
      <c r="Y92">
        <f>Form_Responses1[[#This Row],[Column28]]</f>
        <v>3</v>
      </c>
      <c r="Z92">
        <f t="shared" si="1"/>
        <v>60</v>
      </c>
      <c r="AA92">
        <f>AVERAGE('Karakteristik yang Dominan'!E93,'Kepemimpinan dalam Rumah Sakit'!E93,'Pengelolaan Pegawai'!E93,'Perekat Rumah Sakit'!E93,'Strategi yang Ditekankan'!E93,'Kriteria dari Kesuksesan'!E93)</f>
        <v>23.333333333333332</v>
      </c>
      <c r="AB92">
        <f>AVERAGE('Karakteristik yang Dominan'!F93,'Kepemimpinan dalam Rumah Sakit'!F93,'Pengelolaan Pegawai'!F93,'Perekat Rumah Sakit'!F93,'Strategi yang Ditekankan'!F93,'Kriteria dari Kesuksesan'!F93)</f>
        <v>25</v>
      </c>
      <c r="AC92">
        <f>AVERAGE('Karakteristik yang Dominan'!G93,'Kepemimpinan dalam Rumah Sakit'!G93,'Pengelolaan Pegawai'!G93,'Perekat Rumah Sakit'!G93,'Strategi yang Ditekankan'!G93,'Kriteria dari Kesuksesan'!G93)</f>
        <v>28.333333333333332</v>
      </c>
      <c r="AD92">
        <f>AVERAGE('Karakteristik yang Dominan'!H93,'Kepemimpinan dalam Rumah Sakit'!H93,'Pengelolaan Pegawai'!H93,'Perekat Rumah Sakit'!H93,'Strategi yang Ditekankan'!H93,'Kriteria dari Kesuksesan'!H93)</f>
        <v>23.333333333333332</v>
      </c>
      <c r="AE92" s="49">
        <v>4.12</v>
      </c>
    </row>
    <row r="93" spans="1:31">
      <c r="A93" t="str">
        <f>Sosiometri!A93</f>
        <v>Laki-Laki</v>
      </c>
      <c r="B93" t="str">
        <f>Sosiometri!B93</f>
        <v>41-50 tahun</v>
      </c>
      <c r="C93" t="str">
        <f>Sosiometri!C93</f>
        <v>SMA/SMK/SPK</v>
      </c>
      <c r="D93" t="str">
        <f>Sosiometri!D93</f>
        <v>&gt; 5 tahun</v>
      </c>
      <c r="E93" t="str">
        <f>Sosiometri!E93</f>
        <v>Koordinator</v>
      </c>
      <c r="F93">
        <f>Form_Responses1[[#This Row],[Column9]]</f>
        <v>4</v>
      </c>
      <c r="G93">
        <f>Form_Responses1[[#This Row],[Column10]]</f>
        <v>4</v>
      </c>
      <c r="H93">
        <f>Form_Responses1[[#This Row],[Column11]]</f>
        <v>4</v>
      </c>
      <c r="I93">
        <f>Form_Responses1[[#This Row],[Column12]]</f>
        <v>4</v>
      </c>
      <c r="J93">
        <f>Form_Responses1[[#This Row],[Column13]]</f>
        <v>5</v>
      </c>
      <c r="K93">
        <f>Form_Responses1[[#This Row],[Column14]]</f>
        <v>5</v>
      </c>
      <c r="L93">
        <f>Form_Responses1[[#This Row],[Column15]]</f>
        <v>4</v>
      </c>
      <c r="M93">
        <f>Form_Responses1[[#This Row],[Column16]]</f>
        <v>4</v>
      </c>
      <c r="N93">
        <f>Form_Responses1[[#This Row],[Column17]]</f>
        <v>4</v>
      </c>
      <c r="O93">
        <f>Form_Responses1[[#This Row],[Column18]]</f>
        <v>4</v>
      </c>
      <c r="P93">
        <f>Form_Responses1[[#This Row],[Column19]]</f>
        <v>5</v>
      </c>
      <c r="Q93">
        <f>Form_Responses1[[#This Row],[Column20]]</f>
        <v>4</v>
      </c>
      <c r="R93">
        <f>Form_Responses1[[#This Row],[Column21]]</f>
        <v>5</v>
      </c>
      <c r="S93">
        <f>Form_Responses1[[#This Row],[Column22]]</f>
        <v>4</v>
      </c>
      <c r="T93">
        <f>Form_Responses1[[#This Row],[Column23]]</f>
        <v>4</v>
      </c>
      <c r="U93">
        <f>Form_Responses1[[#This Row],[Column24]]</f>
        <v>4</v>
      </c>
      <c r="V93">
        <f>Form_Responses1[[#This Row],[Column25]]</f>
        <v>5</v>
      </c>
      <c r="W93">
        <f>Form_Responses1[[#This Row],[Column26]]</f>
        <v>4</v>
      </c>
      <c r="X93">
        <f>Form_Responses1[[#This Row],[Column27]]</f>
        <v>5</v>
      </c>
      <c r="Y93">
        <f>Form_Responses1[[#This Row],[Column28]]</f>
        <v>4</v>
      </c>
      <c r="Z93">
        <f t="shared" si="1"/>
        <v>86</v>
      </c>
      <c r="AA93">
        <f>AVERAGE('Karakteristik yang Dominan'!E94,'Kepemimpinan dalam Rumah Sakit'!E94,'Pengelolaan Pegawai'!E94,'Perekat Rumah Sakit'!E94,'Strategi yang Ditekankan'!E94,'Kriteria dari Kesuksesan'!E94)</f>
        <v>26.666666666666668</v>
      </c>
      <c r="AB93">
        <f>AVERAGE('Karakteristik yang Dominan'!F94,'Kepemimpinan dalam Rumah Sakit'!F94,'Pengelolaan Pegawai'!F94,'Perekat Rumah Sakit'!F94,'Strategi yang Ditekankan'!F94,'Kriteria dari Kesuksesan'!F94)</f>
        <v>21.666666666666668</v>
      </c>
      <c r="AC93">
        <f>AVERAGE('Karakteristik yang Dominan'!G94,'Kepemimpinan dalam Rumah Sakit'!G94,'Pengelolaan Pegawai'!G94,'Perekat Rumah Sakit'!G94,'Strategi yang Ditekankan'!G94,'Kriteria dari Kesuksesan'!G94)</f>
        <v>25</v>
      </c>
      <c r="AD93">
        <f>AVERAGE('Karakteristik yang Dominan'!H94,'Kepemimpinan dalam Rumah Sakit'!H94,'Pengelolaan Pegawai'!H94,'Perekat Rumah Sakit'!H94,'Strategi yang Ditekankan'!H94,'Kriteria dari Kesuksesan'!H94)</f>
        <v>26.666666666666668</v>
      </c>
      <c r="AE93" s="48">
        <v>4.8499999999999996</v>
      </c>
    </row>
    <row r="94" spans="1:31">
      <c r="A94" t="str">
        <f>Sosiometri!A94</f>
        <v>Laki-Laki</v>
      </c>
      <c r="B94" t="str">
        <f>Sosiometri!B94</f>
        <v>31-40 tahun</v>
      </c>
      <c r="C94" t="str">
        <f>Sosiometri!C94</f>
        <v>SMA/SMK/SPK</v>
      </c>
      <c r="D94" t="str">
        <f>Sosiometri!D94</f>
        <v>&gt; 5 tahun</v>
      </c>
      <c r="E94" t="str">
        <f>Sosiometri!E94</f>
        <v>Koordinator</v>
      </c>
      <c r="F94">
        <f>Form_Responses1[[#This Row],[Column9]]</f>
        <v>5</v>
      </c>
      <c r="G94">
        <f>Form_Responses1[[#This Row],[Column10]]</f>
        <v>4</v>
      </c>
      <c r="H94">
        <f>Form_Responses1[[#This Row],[Column11]]</f>
        <v>3</v>
      </c>
      <c r="I94">
        <f>Form_Responses1[[#This Row],[Column12]]</f>
        <v>5</v>
      </c>
      <c r="J94">
        <f>Form_Responses1[[#This Row],[Column13]]</f>
        <v>4</v>
      </c>
      <c r="K94">
        <f>Form_Responses1[[#This Row],[Column14]]</f>
        <v>4</v>
      </c>
      <c r="L94">
        <f>Form_Responses1[[#This Row],[Column15]]</f>
        <v>4</v>
      </c>
      <c r="M94">
        <f>Form_Responses1[[#This Row],[Column16]]</f>
        <v>4</v>
      </c>
      <c r="N94">
        <f>Form_Responses1[[#This Row],[Column17]]</f>
        <v>5</v>
      </c>
      <c r="O94">
        <f>Form_Responses1[[#This Row],[Column18]]</f>
        <v>5</v>
      </c>
      <c r="P94">
        <f>Form_Responses1[[#This Row],[Column19]]</f>
        <v>4</v>
      </c>
      <c r="Q94">
        <f>Form_Responses1[[#This Row],[Column20]]</f>
        <v>4</v>
      </c>
      <c r="R94">
        <f>Form_Responses1[[#This Row],[Column21]]</f>
        <v>4</v>
      </c>
      <c r="S94">
        <f>Form_Responses1[[#This Row],[Column22]]</f>
        <v>4</v>
      </c>
      <c r="T94">
        <f>Form_Responses1[[#This Row],[Column23]]</f>
        <v>4</v>
      </c>
      <c r="U94">
        <f>Form_Responses1[[#This Row],[Column24]]</f>
        <v>2</v>
      </c>
      <c r="V94">
        <f>Form_Responses1[[#This Row],[Column25]]</f>
        <v>3</v>
      </c>
      <c r="W94">
        <f>Form_Responses1[[#This Row],[Column26]]</f>
        <v>3</v>
      </c>
      <c r="X94">
        <f>Form_Responses1[[#This Row],[Column27]]</f>
        <v>3</v>
      </c>
      <c r="Y94">
        <f>Form_Responses1[[#This Row],[Column28]]</f>
        <v>3</v>
      </c>
      <c r="Z94">
        <f t="shared" si="1"/>
        <v>77</v>
      </c>
      <c r="AA94">
        <f>AVERAGE('Karakteristik yang Dominan'!E95,'Kepemimpinan dalam Rumah Sakit'!E95,'Pengelolaan Pegawai'!E95,'Perekat Rumah Sakit'!E95,'Strategi yang Ditekankan'!E95,'Kriteria dari Kesuksesan'!E95)</f>
        <v>20</v>
      </c>
      <c r="AB94">
        <f>AVERAGE('Karakteristik yang Dominan'!F95,'Kepemimpinan dalam Rumah Sakit'!F95,'Pengelolaan Pegawai'!F95,'Perekat Rumah Sakit'!F95,'Strategi yang Ditekankan'!F95,'Kriteria dari Kesuksesan'!F95)</f>
        <v>16.666666666666668</v>
      </c>
      <c r="AC94">
        <f>AVERAGE('Karakteristik yang Dominan'!G95,'Kepemimpinan dalam Rumah Sakit'!G95,'Pengelolaan Pegawai'!G95,'Perekat Rumah Sakit'!G95,'Strategi yang Ditekankan'!G95,'Kriteria dari Kesuksesan'!G95)</f>
        <v>31.666666666666668</v>
      </c>
      <c r="AD94">
        <f>AVERAGE('Karakteristik yang Dominan'!H95,'Kepemimpinan dalam Rumah Sakit'!H95,'Pengelolaan Pegawai'!H95,'Perekat Rumah Sakit'!H95,'Strategi yang Ditekankan'!H95,'Kriteria dari Kesuksesan'!H95)</f>
        <v>31.666666666666668</v>
      </c>
      <c r="AE94" s="49">
        <v>4.45</v>
      </c>
    </row>
    <row r="95" spans="1:31">
      <c r="A95" t="str">
        <f>Sosiometri!A95</f>
        <v>Laki-Laki</v>
      </c>
      <c r="B95" t="str">
        <f>Sosiometri!B95</f>
        <v>21-30 tahun</v>
      </c>
      <c r="C95" t="str">
        <f>Sosiometri!C95</f>
        <v>SMA/SMK/SPK</v>
      </c>
      <c r="D95" t="str">
        <f>Sosiometri!D95</f>
        <v>1-3 tahun</v>
      </c>
      <c r="E95" t="str">
        <f>Sosiometri!E95</f>
        <v>Staf Pelaksana</v>
      </c>
      <c r="F95">
        <f>Form_Responses1[[#This Row],[Column9]]</f>
        <v>4</v>
      </c>
      <c r="G95">
        <f>Form_Responses1[[#This Row],[Column10]]</f>
        <v>4</v>
      </c>
      <c r="H95">
        <f>Form_Responses1[[#This Row],[Column11]]</f>
        <v>4</v>
      </c>
      <c r="I95">
        <f>Form_Responses1[[#This Row],[Column12]]</f>
        <v>4</v>
      </c>
      <c r="J95">
        <f>Form_Responses1[[#This Row],[Column13]]</f>
        <v>4</v>
      </c>
      <c r="K95">
        <f>Form_Responses1[[#This Row],[Column14]]</f>
        <v>4</v>
      </c>
      <c r="L95">
        <f>Form_Responses1[[#This Row],[Column15]]</f>
        <v>4</v>
      </c>
      <c r="M95">
        <f>Form_Responses1[[#This Row],[Column16]]</f>
        <v>4</v>
      </c>
      <c r="N95">
        <f>Form_Responses1[[#This Row],[Column17]]</f>
        <v>3</v>
      </c>
      <c r="O95">
        <f>Form_Responses1[[#This Row],[Column18]]</f>
        <v>4</v>
      </c>
      <c r="P95">
        <f>Form_Responses1[[#This Row],[Column19]]</f>
        <v>3</v>
      </c>
      <c r="Q95">
        <f>Form_Responses1[[#This Row],[Column20]]</f>
        <v>4</v>
      </c>
      <c r="R95">
        <f>Form_Responses1[[#This Row],[Column21]]</f>
        <v>4</v>
      </c>
      <c r="S95">
        <f>Form_Responses1[[#This Row],[Column22]]</f>
        <v>4</v>
      </c>
      <c r="T95">
        <f>Form_Responses1[[#This Row],[Column23]]</f>
        <v>4</v>
      </c>
      <c r="U95">
        <f>Form_Responses1[[#This Row],[Column24]]</f>
        <v>4</v>
      </c>
      <c r="V95">
        <f>Form_Responses1[[#This Row],[Column25]]</f>
        <v>4</v>
      </c>
      <c r="W95">
        <f>Form_Responses1[[#This Row],[Column26]]</f>
        <v>4</v>
      </c>
      <c r="X95">
        <f>Form_Responses1[[#This Row],[Column27]]</f>
        <v>4</v>
      </c>
      <c r="Y95">
        <f>Form_Responses1[[#This Row],[Column28]]</f>
        <v>4</v>
      </c>
      <c r="Z95">
        <f t="shared" si="1"/>
        <v>78</v>
      </c>
      <c r="AA95">
        <f>AVERAGE('Karakteristik yang Dominan'!E96,'Kepemimpinan dalam Rumah Sakit'!E96,'Pengelolaan Pegawai'!E96,'Perekat Rumah Sakit'!E96,'Strategi yang Ditekankan'!E96,'Kriteria dari Kesuksesan'!E96)</f>
        <v>26.666666666666668</v>
      </c>
      <c r="AB95">
        <f>AVERAGE('Karakteristik yang Dominan'!F96,'Kepemimpinan dalam Rumah Sakit'!F96,'Pengelolaan Pegawai'!F96,'Perekat Rumah Sakit'!F96,'Strategi yang Ditekankan'!F96,'Kriteria dari Kesuksesan'!F96)</f>
        <v>26.666666666666668</v>
      </c>
      <c r="AC95">
        <f>AVERAGE('Karakteristik yang Dominan'!G96,'Kepemimpinan dalam Rumah Sakit'!G96,'Pengelolaan Pegawai'!G96,'Perekat Rumah Sakit'!G96,'Strategi yang Ditekankan'!G96,'Kriteria dari Kesuksesan'!G96)</f>
        <v>23.333333333333332</v>
      </c>
      <c r="AD95">
        <f>AVERAGE('Karakteristik yang Dominan'!H96,'Kepemimpinan dalam Rumah Sakit'!H96,'Pengelolaan Pegawai'!H96,'Perekat Rumah Sakit'!H96,'Strategi yang Ditekankan'!H96,'Kriteria dari Kesuksesan'!H96)</f>
        <v>23.333333333333332</v>
      </c>
      <c r="AE95" s="48">
        <v>4.3499999999999996</v>
      </c>
    </row>
    <row r="96" spans="1:31">
      <c r="A96" t="str">
        <f>Sosiometri!A96</f>
        <v>Perempuan</v>
      </c>
      <c r="B96" t="str">
        <f>Sosiometri!B96</f>
        <v>31-40 tahun</v>
      </c>
      <c r="C96" t="str">
        <f>Sosiometri!C96</f>
        <v>S1</v>
      </c>
      <c r="D96" t="str">
        <f>Sosiometri!D96</f>
        <v>1-3 tahun</v>
      </c>
      <c r="E96" t="str">
        <f>Sosiometri!E96</f>
        <v>Staf Pelaksana</v>
      </c>
      <c r="F96">
        <f>Form_Responses1[[#This Row],[Column9]]</f>
        <v>5</v>
      </c>
      <c r="G96">
        <f>Form_Responses1[[#This Row],[Column10]]</f>
        <v>5</v>
      </c>
      <c r="H96">
        <f>Form_Responses1[[#This Row],[Column11]]</f>
        <v>5</v>
      </c>
      <c r="I96">
        <f>Form_Responses1[[#This Row],[Column12]]</f>
        <v>5</v>
      </c>
      <c r="J96">
        <f>Form_Responses1[[#This Row],[Column13]]</f>
        <v>5</v>
      </c>
      <c r="K96">
        <f>Form_Responses1[[#This Row],[Column14]]</f>
        <v>4</v>
      </c>
      <c r="L96">
        <f>Form_Responses1[[#This Row],[Column15]]</f>
        <v>4</v>
      </c>
      <c r="M96">
        <f>Form_Responses1[[#This Row],[Column16]]</f>
        <v>5</v>
      </c>
      <c r="N96">
        <f>Form_Responses1[[#This Row],[Column17]]</f>
        <v>5</v>
      </c>
      <c r="O96">
        <f>Form_Responses1[[#This Row],[Column18]]</f>
        <v>4</v>
      </c>
      <c r="P96">
        <f>Form_Responses1[[#This Row],[Column19]]</f>
        <v>5</v>
      </c>
      <c r="Q96">
        <f>Form_Responses1[[#This Row],[Column20]]</f>
        <v>4</v>
      </c>
      <c r="R96">
        <f>Form_Responses1[[#This Row],[Column21]]</f>
        <v>5</v>
      </c>
      <c r="S96">
        <f>Form_Responses1[[#This Row],[Column22]]</f>
        <v>5</v>
      </c>
      <c r="T96">
        <f>Form_Responses1[[#This Row],[Column23]]</f>
        <v>5</v>
      </c>
      <c r="U96">
        <f>Form_Responses1[[#This Row],[Column24]]</f>
        <v>5</v>
      </c>
      <c r="V96">
        <f>Form_Responses1[[#This Row],[Column25]]</f>
        <v>5</v>
      </c>
      <c r="W96">
        <f>Form_Responses1[[#This Row],[Column26]]</f>
        <v>5</v>
      </c>
      <c r="X96">
        <f>Form_Responses1[[#This Row],[Column27]]</f>
        <v>5</v>
      </c>
      <c r="Y96">
        <f>Form_Responses1[[#This Row],[Column28]]</f>
        <v>5</v>
      </c>
      <c r="Z96">
        <f t="shared" si="1"/>
        <v>96</v>
      </c>
      <c r="AA96">
        <f>AVERAGE('Karakteristik yang Dominan'!E97,'Kepemimpinan dalam Rumah Sakit'!E97,'Pengelolaan Pegawai'!E97,'Perekat Rumah Sakit'!E97,'Strategi yang Ditekankan'!E97,'Kriteria dari Kesuksesan'!E97)</f>
        <v>23.333333333333332</v>
      </c>
      <c r="AB96">
        <f>AVERAGE('Karakteristik yang Dominan'!F97,'Kepemimpinan dalam Rumah Sakit'!F97,'Pengelolaan Pegawai'!F97,'Perekat Rumah Sakit'!F97,'Strategi yang Ditekankan'!F97,'Kriteria dari Kesuksesan'!F97)</f>
        <v>23.333333333333332</v>
      </c>
      <c r="AC96">
        <f>AVERAGE('Karakteristik yang Dominan'!G97,'Kepemimpinan dalam Rumah Sakit'!G97,'Pengelolaan Pegawai'!G97,'Perekat Rumah Sakit'!G97,'Strategi yang Ditekankan'!G97,'Kriteria dari Kesuksesan'!G97)</f>
        <v>26.666666666666668</v>
      </c>
      <c r="AD96">
        <f>AVERAGE('Karakteristik yang Dominan'!H97,'Kepemimpinan dalam Rumah Sakit'!H97,'Pengelolaan Pegawai'!H97,'Perekat Rumah Sakit'!H97,'Strategi yang Ditekankan'!H97,'Kriteria dari Kesuksesan'!H97)</f>
        <v>26.666666666666668</v>
      </c>
      <c r="AE96" s="49">
        <v>4.25</v>
      </c>
    </row>
    <row r="97" spans="1:31">
      <c r="A97" t="str">
        <f>Sosiometri!A97</f>
        <v>Perempuan</v>
      </c>
      <c r="B97" t="str">
        <f>Sosiometri!B97</f>
        <v>31-40 tahun</v>
      </c>
      <c r="C97" t="str">
        <f>Sosiometri!C97</f>
        <v>D3</v>
      </c>
      <c r="D97" t="str">
        <f>Sosiometri!D97</f>
        <v>&gt; 5 tahun</v>
      </c>
      <c r="E97" t="str">
        <f>Sosiometri!E97</f>
        <v>Staf Pelaksana</v>
      </c>
      <c r="F97">
        <f>Form_Responses1[[#This Row],[Column9]]</f>
        <v>5</v>
      </c>
      <c r="G97">
        <f>Form_Responses1[[#This Row],[Column10]]</f>
        <v>5</v>
      </c>
      <c r="H97">
        <f>Form_Responses1[[#This Row],[Column11]]</f>
        <v>5</v>
      </c>
      <c r="I97">
        <f>Form_Responses1[[#This Row],[Column12]]</f>
        <v>5</v>
      </c>
      <c r="J97">
        <f>Form_Responses1[[#This Row],[Column13]]</f>
        <v>5</v>
      </c>
      <c r="K97">
        <f>Form_Responses1[[#This Row],[Column14]]</f>
        <v>5</v>
      </c>
      <c r="L97">
        <f>Form_Responses1[[#This Row],[Column15]]</f>
        <v>5</v>
      </c>
      <c r="M97">
        <f>Form_Responses1[[#This Row],[Column16]]</f>
        <v>5</v>
      </c>
      <c r="N97">
        <f>Form_Responses1[[#This Row],[Column17]]</f>
        <v>5</v>
      </c>
      <c r="O97">
        <f>Form_Responses1[[#This Row],[Column18]]</f>
        <v>5</v>
      </c>
      <c r="P97">
        <f>Form_Responses1[[#This Row],[Column19]]</f>
        <v>5</v>
      </c>
      <c r="Q97">
        <f>Form_Responses1[[#This Row],[Column20]]</f>
        <v>5</v>
      </c>
      <c r="R97">
        <f>Form_Responses1[[#This Row],[Column21]]</f>
        <v>5</v>
      </c>
      <c r="S97">
        <f>Form_Responses1[[#This Row],[Column22]]</f>
        <v>5</v>
      </c>
      <c r="T97">
        <f>Form_Responses1[[#This Row],[Column23]]</f>
        <v>5</v>
      </c>
      <c r="U97">
        <f>Form_Responses1[[#This Row],[Column24]]</f>
        <v>5</v>
      </c>
      <c r="V97">
        <f>Form_Responses1[[#This Row],[Column25]]</f>
        <v>5</v>
      </c>
      <c r="W97">
        <f>Form_Responses1[[#This Row],[Column26]]</f>
        <v>5</v>
      </c>
      <c r="X97">
        <f>Form_Responses1[[#This Row],[Column27]]</f>
        <v>5</v>
      </c>
      <c r="Y97">
        <f>Form_Responses1[[#This Row],[Column28]]</f>
        <v>5</v>
      </c>
      <c r="Z97">
        <f t="shared" si="1"/>
        <v>100</v>
      </c>
      <c r="AA97">
        <f>AVERAGE('Karakteristik yang Dominan'!E98,'Kepemimpinan dalam Rumah Sakit'!E98,'Pengelolaan Pegawai'!E98,'Perekat Rumah Sakit'!E98,'Strategi yang Ditekankan'!E98,'Kriteria dari Kesuksesan'!E98)</f>
        <v>31.666666666666668</v>
      </c>
      <c r="AB97">
        <f>AVERAGE('Karakteristik yang Dominan'!F98,'Kepemimpinan dalam Rumah Sakit'!F98,'Pengelolaan Pegawai'!F98,'Perekat Rumah Sakit'!F98,'Strategi yang Ditekankan'!F98,'Kriteria dari Kesuksesan'!F98)</f>
        <v>26.666666666666668</v>
      </c>
      <c r="AC97">
        <f>AVERAGE('Karakteristik yang Dominan'!G98,'Kepemimpinan dalam Rumah Sakit'!G98,'Pengelolaan Pegawai'!G98,'Perekat Rumah Sakit'!G98,'Strategi yang Ditekankan'!G98,'Kriteria dari Kesuksesan'!G98)</f>
        <v>18.333333333333332</v>
      </c>
      <c r="AD97">
        <f>AVERAGE('Karakteristik yang Dominan'!H98,'Kepemimpinan dalam Rumah Sakit'!H98,'Pengelolaan Pegawai'!H98,'Perekat Rumah Sakit'!H98,'Strategi yang Ditekankan'!H98,'Kriteria dari Kesuksesan'!H98)</f>
        <v>23.333333333333332</v>
      </c>
      <c r="AE97" s="48">
        <v>4.93</v>
      </c>
    </row>
    <row r="98" spans="1:31">
      <c r="A98" t="str">
        <f>Sosiometri!A98</f>
        <v>Laki-Laki</v>
      </c>
      <c r="B98" t="str">
        <f>Sosiometri!B98</f>
        <v>31-40 tahun</v>
      </c>
      <c r="C98" t="str">
        <f>Sosiometri!C98</f>
        <v>S1</v>
      </c>
      <c r="D98" t="str">
        <f>Sosiometri!D98</f>
        <v>&gt; 5 tahun</v>
      </c>
      <c r="E98" t="str">
        <f>Sosiometri!E98</f>
        <v>Staf Pelaksana</v>
      </c>
      <c r="F98">
        <f>Form_Responses1[[#This Row],[Column9]]</f>
        <v>4</v>
      </c>
      <c r="G98">
        <f>Form_Responses1[[#This Row],[Column10]]</f>
        <v>4</v>
      </c>
      <c r="H98">
        <f>Form_Responses1[[#This Row],[Column11]]</f>
        <v>4</v>
      </c>
      <c r="I98">
        <f>Form_Responses1[[#This Row],[Column12]]</f>
        <v>4</v>
      </c>
      <c r="J98">
        <f>Form_Responses1[[#This Row],[Column13]]</f>
        <v>4</v>
      </c>
      <c r="K98">
        <f>Form_Responses1[[#This Row],[Column14]]</f>
        <v>4</v>
      </c>
      <c r="L98">
        <f>Form_Responses1[[#This Row],[Column15]]</f>
        <v>4</v>
      </c>
      <c r="M98">
        <f>Form_Responses1[[#This Row],[Column16]]</f>
        <v>4</v>
      </c>
      <c r="N98">
        <f>Form_Responses1[[#This Row],[Column17]]</f>
        <v>4</v>
      </c>
      <c r="O98">
        <f>Form_Responses1[[#This Row],[Column18]]</f>
        <v>4</v>
      </c>
      <c r="P98">
        <f>Form_Responses1[[#This Row],[Column19]]</f>
        <v>4</v>
      </c>
      <c r="Q98">
        <f>Form_Responses1[[#This Row],[Column20]]</f>
        <v>4</v>
      </c>
      <c r="R98">
        <f>Form_Responses1[[#This Row],[Column21]]</f>
        <v>4</v>
      </c>
      <c r="S98">
        <f>Form_Responses1[[#This Row],[Column22]]</f>
        <v>4</v>
      </c>
      <c r="T98">
        <f>Form_Responses1[[#This Row],[Column23]]</f>
        <v>4</v>
      </c>
      <c r="U98">
        <f>Form_Responses1[[#This Row],[Column24]]</f>
        <v>4</v>
      </c>
      <c r="V98">
        <f>Form_Responses1[[#This Row],[Column25]]</f>
        <v>4</v>
      </c>
      <c r="W98">
        <f>Form_Responses1[[#This Row],[Column26]]</f>
        <v>4</v>
      </c>
      <c r="X98">
        <f>Form_Responses1[[#This Row],[Column27]]</f>
        <v>4</v>
      </c>
      <c r="Y98">
        <f>Form_Responses1[[#This Row],[Column28]]</f>
        <v>4</v>
      </c>
      <c r="Z98">
        <f t="shared" si="1"/>
        <v>80</v>
      </c>
      <c r="AA98">
        <f>AVERAGE('Karakteristik yang Dominan'!E99,'Kepemimpinan dalam Rumah Sakit'!E99,'Pengelolaan Pegawai'!E99,'Perekat Rumah Sakit'!E99,'Strategi yang Ditekankan'!E99,'Kriteria dari Kesuksesan'!E99)</f>
        <v>25</v>
      </c>
      <c r="AB98">
        <f>AVERAGE('Karakteristik yang Dominan'!F99,'Kepemimpinan dalam Rumah Sakit'!F99,'Pengelolaan Pegawai'!F99,'Perekat Rumah Sakit'!F99,'Strategi yang Ditekankan'!F99,'Kriteria dari Kesuksesan'!F99)</f>
        <v>25</v>
      </c>
      <c r="AC98">
        <f>AVERAGE('Karakteristik yang Dominan'!G99,'Kepemimpinan dalam Rumah Sakit'!G99,'Pengelolaan Pegawai'!G99,'Perekat Rumah Sakit'!G99,'Strategi yang Ditekankan'!G99,'Kriteria dari Kesuksesan'!G99)</f>
        <v>25</v>
      </c>
      <c r="AD98">
        <f>AVERAGE('Karakteristik yang Dominan'!H99,'Kepemimpinan dalam Rumah Sakit'!H99,'Pengelolaan Pegawai'!H99,'Perekat Rumah Sakit'!H99,'Strategi yang Ditekankan'!H99,'Kriteria dari Kesuksesan'!H99)</f>
        <v>25</v>
      </c>
      <c r="AE98" s="49">
        <v>4.29</v>
      </c>
    </row>
    <row r="99" spans="1:31">
      <c r="A99" t="str">
        <f>Sosiometri!A99</f>
        <v>Laki-Laki</v>
      </c>
      <c r="B99" t="str">
        <f>Sosiometri!B99</f>
        <v>41-50 tahun</v>
      </c>
      <c r="C99" t="str">
        <f>Sosiometri!C99</f>
        <v>D3</v>
      </c>
      <c r="D99" t="str">
        <f>Sosiometri!D99</f>
        <v>&gt; 5 tahun</v>
      </c>
      <c r="E99" t="str">
        <f>Sosiometri!E99</f>
        <v>Koordinator</v>
      </c>
      <c r="F99">
        <f>Form_Responses1[[#This Row],[Column9]]</f>
        <v>5</v>
      </c>
      <c r="G99">
        <f>Form_Responses1[[#This Row],[Column10]]</f>
        <v>5</v>
      </c>
      <c r="H99">
        <f>Form_Responses1[[#This Row],[Column11]]</f>
        <v>5</v>
      </c>
      <c r="I99">
        <f>Form_Responses1[[#This Row],[Column12]]</f>
        <v>5</v>
      </c>
      <c r="J99">
        <f>Form_Responses1[[#This Row],[Column13]]</f>
        <v>5</v>
      </c>
      <c r="K99">
        <f>Form_Responses1[[#This Row],[Column14]]</f>
        <v>5</v>
      </c>
      <c r="L99">
        <f>Form_Responses1[[#This Row],[Column15]]</f>
        <v>5</v>
      </c>
      <c r="M99">
        <f>Form_Responses1[[#This Row],[Column16]]</f>
        <v>5</v>
      </c>
      <c r="N99">
        <f>Form_Responses1[[#This Row],[Column17]]</f>
        <v>4</v>
      </c>
      <c r="O99">
        <f>Form_Responses1[[#This Row],[Column18]]</f>
        <v>5</v>
      </c>
      <c r="P99">
        <f>Form_Responses1[[#This Row],[Column19]]</f>
        <v>5</v>
      </c>
      <c r="Q99">
        <f>Form_Responses1[[#This Row],[Column20]]</f>
        <v>5</v>
      </c>
      <c r="R99">
        <f>Form_Responses1[[#This Row],[Column21]]</f>
        <v>5</v>
      </c>
      <c r="S99">
        <f>Form_Responses1[[#This Row],[Column22]]</f>
        <v>5</v>
      </c>
      <c r="T99">
        <f>Form_Responses1[[#This Row],[Column23]]</f>
        <v>5</v>
      </c>
      <c r="U99">
        <f>Form_Responses1[[#This Row],[Column24]]</f>
        <v>5</v>
      </c>
      <c r="V99">
        <f>Form_Responses1[[#This Row],[Column25]]</f>
        <v>5</v>
      </c>
      <c r="W99">
        <f>Form_Responses1[[#This Row],[Column26]]</f>
        <v>5</v>
      </c>
      <c r="X99">
        <f>Form_Responses1[[#This Row],[Column27]]</f>
        <v>5</v>
      </c>
      <c r="Y99">
        <f>Form_Responses1[[#This Row],[Column28]]</f>
        <v>5</v>
      </c>
      <c r="Z99">
        <f t="shared" si="1"/>
        <v>99</v>
      </c>
      <c r="AA99">
        <f>AVERAGE('Karakteristik yang Dominan'!E100,'Kepemimpinan dalam Rumah Sakit'!E100,'Pengelolaan Pegawai'!E100,'Perekat Rumah Sakit'!E100,'Strategi yang Ditekankan'!E100,'Kriteria dari Kesuksesan'!E100)</f>
        <v>33.333333333333336</v>
      </c>
      <c r="AB99">
        <f>AVERAGE('Karakteristik yang Dominan'!F100,'Kepemimpinan dalam Rumah Sakit'!F100,'Pengelolaan Pegawai'!F100,'Perekat Rumah Sakit'!F100,'Strategi yang Ditekankan'!F100,'Kriteria dari Kesuksesan'!F100)</f>
        <v>21.666666666666668</v>
      </c>
      <c r="AC99">
        <f>AVERAGE('Karakteristik yang Dominan'!G100,'Kepemimpinan dalam Rumah Sakit'!G100,'Pengelolaan Pegawai'!G100,'Perekat Rumah Sakit'!G100,'Strategi yang Ditekankan'!G100,'Kriteria dari Kesuksesan'!G100)</f>
        <v>21.666666666666668</v>
      </c>
      <c r="AD99">
        <f>AVERAGE('Karakteristik yang Dominan'!H100,'Kepemimpinan dalam Rumah Sakit'!H100,'Pengelolaan Pegawai'!H100,'Perekat Rumah Sakit'!H100,'Strategi yang Ditekankan'!H100,'Kriteria dari Kesuksesan'!H100)</f>
        <v>23.333333333333332</v>
      </c>
      <c r="AE99" s="48">
        <v>4.45</v>
      </c>
    </row>
    <row r="100" spans="1:31">
      <c r="A100" t="str">
        <f>Sosiometri!A100</f>
        <v>Laki-Laki</v>
      </c>
      <c r="B100" t="str">
        <f>Sosiometri!B100</f>
        <v>31-40 tahun</v>
      </c>
      <c r="C100" t="str">
        <f>Sosiometri!C100</f>
        <v>SMA/SMK/SPK</v>
      </c>
      <c r="D100" t="str">
        <f>Sosiometri!D100</f>
        <v>1-3 tahun</v>
      </c>
      <c r="E100" t="str">
        <f>Sosiometri!E100</f>
        <v>Staf Pelaksana</v>
      </c>
      <c r="F100">
        <f>Form_Responses1[[#This Row],[Column9]]</f>
        <v>2</v>
      </c>
      <c r="G100">
        <f>Form_Responses1[[#This Row],[Column10]]</f>
        <v>2</v>
      </c>
      <c r="H100">
        <f>Form_Responses1[[#This Row],[Column11]]</f>
        <v>2</v>
      </c>
      <c r="I100">
        <f>Form_Responses1[[#This Row],[Column12]]</f>
        <v>2</v>
      </c>
      <c r="J100">
        <f>Form_Responses1[[#This Row],[Column13]]</f>
        <v>2</v>
      </c>
      <c r="K100">
        <f>Form_Responses1[[#This Row],[Column14]]</f>
        <v>2</v>
      </c>
      <c r="L100">
        <f>Form_Responses1[[#This Row],[Column15]]</f>
        <v>2</v>
      </c>
      <c r="M100">
        <f>Form_Responses1[[#This Row],[Column16]]</f>
        <v>2</v>
      </c>
      <c r="N100">
        <f>Form_Responses1[[#This Row],[Column17]]</f>
        <v>2</v>
      </c>
      <c r="O100">
        <f>Form_Responses1[[#This Row],[Column18]]</f>
        <v>2</v>
      </c>
      <c r="P100">
        <f>Form_Responses1[[#This Row],[Column19]]</f>
        <v>2</v>
      </c>
      <c r="Q100">
        <f>Form_Responses1[[#This Row],[Column20]]</f>
        <v>2</v>
      </c>
      <c r="R100">
        <f>Form_Responses1[[#This Row],[Column21]]</f>
        <v>2</v>
      </c>
      <c r="S100">
        <f>Form_Responses1[[#This Row],[Column22]]</f>
        <v>2</v>
      </c>
      <c r="T100">
        <f>Form_Responses1[[#This Row],[Column23]]</f>
        <v>2</v>
      </c>
      <c r="U100">
        <f>Form_Responses1[[#This Row],[Column24]]</f>
        <v>2</v>
      </c>
      <c r="V100">
        <f>Form_Responses1[[#This Row],[Column25]]</f>
        <v>2</v>
      </c>
      <c r="W100">
        <f>Form_Responses1[[#This Row],[Column26]]</f>
        <v>2</v>
      </c>
      <c r="X100">
        <f>Form_Responses1[[#This Row],[Column27]]</f>
        <v>2</v>
      </c>
      <c r="Y100">
        <f>Form_Responses1[[#This Row],[Column28]]</f>
        <v>2</v>
      </c>
      <c r="Z100">
        <f t="shared" si="1"/>
        <v>40</v>
      </c>
      <c r="AA100">
        <f>AVERAGE('Karakteristik yang Dominan'!E101,'Kepemimpinan dalam Rumah Sakit'!E101,'Pengelolaan Pegawai'!E101,'Perekat Rumah Sakit'!E101,'Strategi yang Ditekankan'!E101,'Kriteria dari Kesuksesan'!E101)</f>
        <v>25</v>
      </c>
      <c r="AB100">
        <f>AVERAGE('Karakteristik yang Dominan'!F101,'Kepemimpinan dalam Rumah Sakit'!F101,'Pengelolaan Pegawai'!F101,'Perekat Rumah Sakit'!F101,'Strategi yang Ditekankan'!F101,'Kriteria dari Kesuksesan'!F101)</f>
        <v>23.333333333333332</v>
      </c>
      <c r="AC100">
        <f>AVERAGE('Karakteristik yang Dominan'!G101,'Kepemimpinan dalam Rumah Sakit'!G101,'Pengelolaan Pegawai'!G101,'Perekat Rumah Sakit'!G101,'Strategi yang Ditekankan'!G101,'Kriteria dari Kesuksesan'!G101)</f>
        <v>25</v>
      </c>
      <c r="AD100">
        <f>AVERAGE('Karakteristik yang Dominan'!H101,'Kepemimpinan dalam Rumah Sakit'!H101,'Pengelolaan Pegawai'!H101,'Perekat Rumah Sakit'!H101,'Strategi yang Ditekankan'!H101,'Kriteria dari Kesuksesan'!H101)</f>
        <v>26.666666666666668</v>
      </c>
      <c r="AE100" s="49">
        <v>3.94</v>
      </c>
    </row>
    <row r="101" spans="1:31">
      <c r="A101" t="str">
        <f>Sosiometri!A101</f>
        <v>Laki-Laki</v>
      </c>
      <c r="B101" t="str">
        <f>Sosiometri!B101</f>
        <v>31-40 tahun</v>
      </c>
      <c r="C101" t="str">
        <f>Sosiometri!C101</f>
        <v>D3</v>
      </c>
      <c r="D101" t="str">
        <f>Sosiometri!D101</f>
        <v>&gt; 5 tahun</v>
      </c>
      <c r="E101" t="str">
        <f>Sosiometri!E101</f>
        <v>Staf Pelaksana</v>
      </c>
      <c r="F101">
        <f>Form_Responses1[[#This Row],[Column9]]</f>
        <v>2</v>
      </c>
      <c r="G101">
        <f>Form_Responses1[[#This Row],[Column10]]</f>
        <v>3</v>
      </c>
      <c r="H101">
        <f>Form_Responses1[[#This Row],[Column11]]</f>
        <v>2</v>
      </c>
      <c r="I101">
        <f>Form_Responses1[[#This Row],[Column12]]</f>
        <v>3</v>
      </c>
      <c r="J101">
        <f>Form_Responses1[[#This Row],[Column13]]</f>
        <v>3</v>
      </c>
      <c r="K101">
        <f>Form_Responses1[[#This Row],[Column14]]</f>
        <v>2</v>
      </c>
      <c r="L101">
        <f>Form_Responses1[[#This Row],[Column15]]</f>
        <v>2</v>
      </c>
      <c r="M101">
        <f>Form_Responses1[[#This Row],[Column16]]</f>
        <v>2</v>
      </c>
      <c r="N101">
        <f>Form_Responses1[[#This Row],[Column17]]</f>
        <v>2</v>
      </c>
      <c r="O101">
        <f>Form_Responses1[[#This Row],[Column18]]</f>
        <v>2</v>
      </c>
      <c r="P101">
        <f>Form_Responses1[[#This Row],[Column19]]</f>
        <v>3</v>
      </c>
      <c r="Q101">
        <f>Form_Responses1[[#This Row],[Column20]]</f>
        <v>2</v>
      </c>
      <c r="R101">
        <f>Form_Responses1[[#This Row],[Column21]]</f>
        <v>2</v>
      </c>
      <c r="S101">
        <f>Form_Responses1[[#This Row],[Column22]]</f>
        <v>2</v>
      </c>
      <c r="T101">
        <f>Form_Responses1[[#This Row],[Column23]]</f>
        <v>3</v>
      </c>
      <c r="U101">
        <f>Form_Responses1[[#This Row],[Column24]]</f>
        <v>3</v>
      </c>
      <c r="V101">
        <f>Form_Responses1[[#This Row],[Column25]]</f>
        <v>2</v>
      </c>
      <c r="W101">
        <f>Form_Responses1[[#This Row],[Column26]]</f>
        <v>3</v>
      </c>
      <c r="X101">
        <f>Form_Responses1[[#This Row],[Column27]]</f>
        <v>3</v>
      </c>
      <c r="Y101">
        <f>Form_Responses1[[#This Row],[Column28]]</f>
        <v>3</v>
      </c>
      <c r="Z101">
        <f t="shared" si="1"/>
        <v>49</v>
      </c>
      <c r="AA101">
        <f>AVERAGE('Karakteristik yang Dominan'!E102,'Kepemimpinan dalam Rumah Sakit'!E102,'Pengelolaan Pegawai'!E102,'Perekat Rumah Sakit'!E102,'Strategi yang Ditekankan'!E102,'Kriteria dari Kesuksesan'!E102)</f>
        <v>29.166666666666668</v>
      </c>
      <c r="AB101">
        <f>AVERAGE('Karakteristik yang Dominan'!F102,'Kepemimpinan dalam Rumah Sakit'!F102,'Pengelolaan Pegawai'!F102,'Perekat Rumah Sakit'!F102,'Strategi yang Ditekankan'!F102,'Kriteria dari Kesuksesan'!F102)</f>
        <v>20.833333333333332</v>
      </c>
      <c r="AC101">
        <f>AVERAGE('Karakteristik yang Dominan'!G102,'Kepemimpinan dalam Rumah Sakit'!G102,'Pengelolaan Pegawai'!G102,'Perekat Rumah Sakit'!G102,'Strategi yang Ditekankan'!G102,'Kriteria dari Kesuksesan'!G102)</f>
        <v>22.5</v>
      </c>
      <c r="AD101">
        <f>AVERAGE('Karakteristik yang Dominan'!H102,'Kepemimpinan dalam Rumah Sakit'!H102,'Pengelolaan Pegawai'!H102,'Perekat Rumah Sakit'!H102,'Strategi yang Ditekankan'!H102,'Kriteria dari Kesuksesan'!H102)</f>
        <v>27.5</v>
      </c>
      <c r="AE101" s="48">
        <v>3.79</v>
      </c>
    </row>
    <row r="102" spans="1:31">
      <c r="A102" t="str">
        <f>Sosiometri!A102</f>
        <v>Laki-Laki</v>
      </c>
      <c r="B102" t="str">
        <f>Sosiometri!B102</f>
        <v>31-40 tahun</v>
      </c>
      <c r="C102" t="str">
        <f>Sosiometri!C102</f>
        <v>SMA/SMK/SPK</v>
      </c>
      <c r="D102" t="str">
        <f>Sosiometri!D102</f>
        <v>&gt; 5 tahun</v>
      </c>
      <c r="E102" t="str">
        <f>Sosiometri!E102</f>
        <v>Staf Pelaksana</v>
      </c>
      <c r="F102">
        <f>Form_Responses1[[#This Row],[Column9]]</f>
        <v>4</v>
      </c>
      <c r="G102">
        <f>Form_Responses1[[#This Row],[Column10]]</f>
        <v>4</v>
      </c>
      <c r="H102">
        <f>Form_Responses1[[#This Row],[Column11]]</f>
        <v>4</v>
      </c>
      <c r="I102">
        <f>Form_Responses1[[#This Row],[Column12]]</f>
        <v>4</v>
      </c>
      <c r="J102">
        <f>Form_Responses1[[#This Row],[Column13]]</f>
        <v>4</v>
      </c>
      <c r="K102">
        <f>Form_Responses1[[#This Row],[Column14]]</f>
        <v>4</v>
      </c>
      <c r="L102">
        <f>Form_Responses1[[#This Row],[Column15]]</f>
        <v>4</v>
      </c>
      <c r="M102">
        <f>Form_Responses1[[#This Row],[Column16]]</f>
        <v>4</v>
      </c>
      <c r="N102">
        <f>Form_Responses1[[#This Row],[Column17]]</f>
        <v>4</v>
      </c>
      <c r="O102">
        <f>Form_Responses1[[#This Row],[Column18]]</f>
        <v>4</v>
      </c>
      <c r="P102">
        <f>Form_Responses1[[#This Row],[Column19]]</f>
        <v>4</v>
      </c>
      <c r="Q102">
        <f>Form_Responses1[[#This Row],[Column20]]</f>
        <v>4</v>
      </c>
      <c r="R102">
        <f>Form_Responses1[[#This Row],[Column21]]</f>
        <v>4</v>
      </c>
      <c r="S102">
        <f>Form_Responses1[[#This Row],[Column22]]</f>
        <v>4</v>
      </c>
      <c r="T102">
        <f>Form_Responses1[[#This Row],[Column23]]</f>
        <v>4</v>
      </c>
      <c r="U102">
        <f>Form_Responses1[[#This Row],[Column24]]</f>
        <v>4</v>
      </c>
      <c r="V102">
        <f>Form_Responses1[[#This Row],[Column25]]</f>
        <v>4</v>
      </c>
      <c r="W102">
        <f>Form_Responses1[[#This Row],[Column26]]</f>
        <v>4</v>
      </c>
      <c r="X102">
        <f>Form_Responses1[[#This Row],[Column27]]</f>
        <v>4</v>
      </c>
      <c r="Y102">
        <f>Form_Responses1[[#This Row],[Column28]]</f>
        <v>4</v>
      </c>
      <c r="Z102">
        <f t="shared" si="1"/>
        <v>80</v>
      </c>
      <c r="AA102">
        <f>AVERAGE('Karakteristik yang Dominan'!E103,'Kepemimpinan dalam Rumah Sakit'!E103,'Pengelolaan Pegawai'!E103,'Perekat Rumah Sakit'!E103,'Strategi yang Ditekankan'!E103,'Kriteria dari Kesuksesan'!E103)</f>
        <v>25</v>
      </c>
      <c r="AB102">
        <f>AVERAGE('Karakteristik yang Dominan'!F103,'Kepemimpinan dalam Rumah Sakit'!F103,'Pengelolaan Pegawai'!F103,'Perekat Rumah Sakit'!F103,'Strategi yang Ditekankan'!F103,'Kriteria dari Kesuksesan'!F103)</f>
        <v>25</v>
      </c>
      <c r="AC102">
        <f>AVERAGE('Karakteristik yang Dominan'!G103,'Kepemimpinan dalam Rumah Sakit'!G103,'Pengelolaan Pegawai'!G103,'Perekat Rumah Sakit'!G103,'Strategi yang Ditekankan'!G103,'Kriteria dari Kesuksesan'!G103)</f>
        <v>25</v>
      </c>
      <c r="AD102">
        <f>AVERAGE('Karakteristik yang Dominan'!H103,'Kepemimpinan dalam Rumah Sakit'!H103,'Pengelolaan Pegawai'!H103,'Perekat Rumah Sakit'!H103,'Strategi yang Ditekankan'!H103,'Kriteria dari Kesuksesan'!H103)</f>
        <v>25</v>
      </c>
      <c r="AE102" s="49">
        <v>4.45</v>
      </c>
    </row>
    <row r="103" spans="1:31">
      <c r="A103" t="str">
        <f>Sosiometri!A103</f>
        <v>Laki-Laki</v>
      </c>
      <c r="B103" t="str">
        <f>Sosiometri!B103</f>
        <v>31-40 tahun</v>
      </c>
      <c r="C103" t="str">
        <f>Sosiometri!C103</f>
        <v>SMA/SMK/SPK</v>
      </c>
      <c r="D103" t="str">
        <f>Sosiometri!D103</f>
        <v>&gt; 5 tahun</v>
      </c>
      <c r="E103" t="str">
        <f>Sosiometri!E103</f>
        <v>Staf Pelaksana</v>
      </c>
      <c r="F103">
        <f>Form_Responses1[[#This Row],[Column9]]</f>
        <v>4</v>
      </c>
      <c r="G103">
        <f>Form_Responses1[[#This Row],[Column10]]</f>
        <v>4</v>
      </c>
      <c r="H103">
        <f>Form_Responses1[[#This Row],[Column11]]</f>
        <v>4</v>
      </c>
      <c r="I103">
        <f>Form_Responses1[[#This Row],[Column12]]</f>
        <v>4</v>
      </c>
      <c r="J103">
        <f>Form_Responses1[[#This Row],[Column13]]</f>
        <v>4</v>
      </c>
      <c r="K103">
        <f>Form_Responses1[[#This Row],[Column14]]</f>
        <v>4</v>
      </c>
      <c r="L103">
        <f>Form_Responses1[[#This Row],[Column15]]</f>
        <v>4</v>
      </c>
      <c r="M103">
        <f>Form_Responses1[[#This Row],[Column16]]</f>
        <v>4</v>
      </c>
      <c r="N103">
        <f>Form_Responses1[[#This Row],[Column17]]</f>
        <v>4</v>
      </c>
      <c r="O103">
        <f>Form_Responses1[[#This Row],[Column18]]</f>
        <v>4</v>
      </c>
      <c r="P103">
        <f>Form_Responses1[[#This Row],[Column19]]</f>
        <v>3</v>
      </c>
      <c r="Q103">
        <f>Form_Responses1[[#This Row],[Column20]]</f>
        <v>4</v>
      </c>
      <c r="R103">
        <f>Form_Responses1[[#This Row],[Column21]]</f>
        <v>3</v>
      </c>
      <c r="S103">
        <f>Form_Responses1[[#This Row],[Column22]]</f>
        <v>3</v>
      </c>
      <c r="T103">
        <f>Form_Responses1[[#This Row],[Column23]]</f>
        <v>3</v>
      </c>
      <c r="U103">
        <f>Form_Responses1[[#This Row],[Column24]]</f>
        <v>4</v>
      </c>
      <c r="V103">
        <f>Form_Responses1[[#This Row],[Column25]]</f>
        <v>4</v>
      </c>
      <c r="W103">
        <f>Form_Responses1[[#This Row],[Column26]]</f>
        <v>4</v>
      </c>
      <c r="X103">
        <f>Form_Responses1[[#This Row],[Column27]]</f>
        <v>4</v>
      </c>
      <c r="Y103">
        <f>Form_Responses1[[#This Row],[Column28]]</f>
        <v>4</v>
      </c>
      <c r="Z103">
        <f t="shared" si="1"/>
        <v>76</v>
      </c>
      <c r="AA103">
        <f>AVERAGE('Karakteristik yang Dominan'!E104,'Kepemimpinan dalam Rumah Sakit'!E104,'Pengelolaan Pegawai'!E104,'Perekat Rumah Sakit'!E104,'Strategi yang Ditekankan'!E104,'Kriteria dari Kesuksesan'!E104)</f>
        <v>25</v>
      </c>
      <c r="AB103">
        <f>AVERAGE('Karakteristik yang Dominan'!F104,'Kepemimpinan dalam Rumah Sakit'!F104,'Pengelolaan Pegawai'!F104,'Perekat Rumah Sakit'!F104,'Strategi yang Ditekankan'!F104,'Kriteria dari Kesuksesan'!F104)</f>
        <v>25</v>
      </c>
      <c r="AC103">
        <f>AVERAGE('Karakteristik yang Dominan'!G104,'Kepemimpinan dalam Rumah Sakit'!G104,'Pengelolaan Pegawai'!G104,'Perekat Rumah Sakit'!G104,'Strategi yang Ditekankan'!G104,'Kriteria dari Kesuksesan'!G104)</f>
        <v>25</v>
      </c>
      <c r="AD103">
        <f>AVERAGE('Karakteristik yang Dominan'!H104,'Kepemimpinan dalam Rumah Sakit'!H104,'Pengelolaan Pegawai'!H104,'Perekat Rumah Sakit'!H104,'Strategi yang Ditekankan'!H104,'Kriteria dari Kesuksesan'!H104)</f>
        <v>25</v>
      </c>
      <c r="AE103" s="48">
        <v>4.3499999999999996</v>
      </c>
    </row>
    <row r="104" spans="1:31">
      <c r="A104" t="str">
        <f>Sosiometri!A104</f>
        <v>Perempuan</v>
      </c>
      <c r="B104" t="str">
        <f>Sosiometri!B104</f>
        <v>21-30 tahun</v>
      </c>
      <c r="C104" t="str">
        <f>Sosiometri!C104</f>
        <v>S1</v>
      </c>
      <c r="D104" t="str">
        <f>Sosiometri!D104</f>
        <v>&lt;1 tahun</v>
      </c>
      <c r="E104" t="str">
        <f>Sosiometri!E104</f>
        <v>Staf Pelaksana</v>
      </c>
      <c r="F104">
        <f>Form_Responses1[[#This Row],[Column9]]</f>
        <v>1</v>
      </c>
      <c r="G104">
        <f>Form_Responses1[[#This Row],[Column10]]</f>
        <v>2</v>
      </c>
      <c r="H104">
        <f>Form_Responses1[[#This Row],[Column11]]</f>
        <v>1</v>
      </c>
      <c r="I104">
        <f>Form_Responses1[[#This Row],[Column12]]</f>
        <v>2</v>
      </c>
      <c r="J104">
        <f>Form_Responses1[[#This Row],[Column13]]</f>
        <v>1</v>
      </c>
      <c r="K104">
        <f>Form_Responses1[[#This Row],[Column14]]</f>
        <v>2</v>
      </c>
      <c r="L104">
        <f>Form_Responses1[[#This Row],[Column15]]</f>
        <v>1</v>
      </c>
      <c r="M104">
        <f>Form_Responses1[[#This Row],[Column16]]</f>
        <v>2</v>
      </c>
      <c r="N104">
        <f>Form_Responses1[[#This Row],[Column17]]</f>
        <v>1</v>
      </c>
      <c r="O104">
        <f>Form_Responses1[[#This Row],[Column18]]</f>
        <v>2</v>
      </c>
      <c r="P104">
        <f>Form_Responses1[[#This Row],[Column19]]</f>
        <v>2</v>
      </c>
      <c r="Q104">
        <f>Form_Responses1[[#This Row],[Column20]]</f>
        <v>1</v>
      </c>
      <c r="R104">
        <f>Form_Responses1[[#This Row],[Column21]]</f>
        <v>2</v>
      </c>
      <c r="S104">
        <f>Form_Responses1[[#This Row],[Column22]]</f>
        <v>1</v>
      </c>
      <c r="T104">
        <f>Form_Responses1[[#This Row],[Column23]]</f>
        <v>1</v>
      </c>
      <c r="U104">
        <f>Form_Responses1[[#This Row],[Column24]]</f>
        <v>1</v>
      </c>
      <c r="V104">
        <f>Form_Responses1[[#This Row],[Column25]]</f>
        <v>2</v>
      </c>
      <c r="W104">
        <f>Form_Responses1[[#This Row],[Column26]]</f>
        <v>1</v>
      </c>
      <c r="X104">
        <f>Form_Responses1[[#This Row],[Column27]]</f>
        <v>1</v>
      </c>
      <c r="Y104">
        <f>Form_Responses1[[#This Row],[Column28]]</f>
        <v>1</v>
      </c>
      <c r="Z104">
        <f t="shared" si="1"/>
        <v>28</v>
      </c>
      <c r="AA104">
        <f>AVERAGE('Karakteristik yang Dominan'!E105,'Kepemimpinan dalam Rumah Sakit'!E105,'Pengelolaan Pegawai'!E105,'Perekat Rumah Sakit'!E105,'Strategi yang Ditekankan'!E105,'Kriteria dari Kesuksesan'!E105)</f>
        <v>30</v>
      </c>
      <c r="AB104">
        <f>AVERAGE('Karakteristik yang Dominan'!F105,'Kepemimpinan dalam Rumah Sakit'!F105,'Pengelolaan Pegawai'!F105,'Perekat Rumah Sakit'!F105,'Strategi yang Ditekankan'!F105,'Kriteria dari Kesuksesan'!F105)</f>
        <v>21.666666666666668</v>
      </c>
      <c r="AC104">
        <f>AVERAGE('Karakteristik yang Dominan'!G105,'Kepemimpinan dalam Rumah Sakit'!G105,'Pengelolaan Pegawai'!G105,'Perekat Rumah Sakit'!G105,'Strategi yang Ditekankan'!G105,'Kriteria dari Kesuksesan'!G105)</f>
        <v>21.666666666666668</v>
      </c>
      <c r="AD104">
        <f>AVERAGE('Karakteristik yang Dominan'!H105,'Kepemimpinan dalam Rumah Sakit'!H105,'Pengelolaan Pegawai'!H105,'Perekat Rumah Sakit'!H105,'Strategi yang Ditekankan'!H105,'Kriteria dari Kesuksesan'!H105)</f>
        <v>26.666666666666668</v>
      </c>
      <c r="AE104" s="49">
        <v>3.74</v>
      </c>
    </row>
    <row r="105" spans="1:31">
      <c r="A105" t="str">
        <f>Sosiometri!A105</f>
        <v>Perempuan</v>
      </c>
      <c r="B105" t="str">
        <f>Sosiometri!B105</f>
        <v>21-30 tahun</v>
      </c>
      <c r="C105" t="str">
        <f>Sosiometri!C105</f>
        <v>S1</v>
      </c>
      <c r="D105" t="str">
        <f>Sosiometri!D105</f>
        <v>&gt;3-5 tahun</v>
      </c>
      <c r="E105" t="str">
        <f>Sosiometri!E105</f>
        <v>Level 3</v>
      </c>
      <c r="F105">
        <f>Form_Responses1[[#This Row],[Column9]]</f>
        <v>3</v>
      </c>
      <c r="G105">
        <f>Form_Responses1[[#This Row],[Column10]]</f>
        <v>3</v>
      </c>
      <c r="H105">
        <f>Form_Responses1[[#This Row],[Column11]]</f>
        <v>3</v>
      </c>
      <c r="I105">
        <f>Form_Responses1[[#This Row],[Column12]]</f>
        <v>4</v>
      </c>
      <c r="J105">
        <f>Form_Responses1[[#This Row],[Column13]]</f>
        <v>4</v>
      </c>
      <c r="K105">
        <f>Form_Responses1[[#This Row],[Column14]]</f>
        <v>4</v>
      </c>
      <c r="L105">
        <f>Form_Responses1[[#This Row],[Column15]]</f>
        <v>4</v>
      </c>
      <c r="M105">
        <f>Form_Responses1[[#This Row],[Column16]]</f>
        <v>4</v>
      </c>
      <c r="N105">
        <f>Form_Responses1[[#This Row],[Column17]]</f>
        <v>3</v>
      </c>
      <c r="O105">
        <f>Form_Responses1[[#This Row],[Column18]]</f>
        <v>3</v>
      </c>
      <c r="P105">
        <f>Form_Responses1[[#This Row],[Column19]]</f>
        <v>4</v>
      </c>
      <c r="Q105">
        <f>Form_Responses1[[#This Row],[Column20]]</f>
        <v>3</v>
      </c>
      <c r="R105">
        <f>Form_Responses1[[#This Row],[Column21]]</f>
        <v>3</v>
      </c>
      <c r="S105">
        <f>Form_Responses1[[#This Row],[Column22]]</f>
        <v>4</v>
      </c>
      <c r="T105">
        <f>Form_Responses1[[#This Row],[Column23]]</f>
        <v>4</v>
      </c>
      <c r="U105">
        <f>Form_Responses1[[#This Row],[Column24]]</f>
        <v>4</v>
      </c>
      <c r="V105">
        <f>Form_Responses1[[#This Row],[Column25]]</f>
        <v>3</v>
      </c>
      <c r="W105">
        <f>Form_Responses1[[#This Row],[Column26]]</f>
        <v>4</v>
      </c>
      <c r="X105">
        <f>Form_Responses1[[#This Row],[Column27]]</f>
        <v>4</v>
      </c>
      <c r="Y105">
        <f>Form_Responses1[[#This Row],[Column28]]</f>
        <v>3</v>
      </c>
      <c r="Z105">
        <f t="shared" si="1"/>
        <v>71</v>
      </c>
      <c r="AA105">
        <f>AVERAGE('Karakteristik yang Dominan'!E106,'Kepemimpinan dalam Rumah Sakit'!E106,'Pengelolaan Pegawai'!E106,'Perekat Rumah Sakit'!E106,'Strategi yang Ditekankan'!E106,'Kriteria dari Kesuksesan'!E106)</f>
        <v>21.666666666666668</v>
      </c>
      <c r="AB105">
        <f>AVERAGE('Karakteristik yang Dominan'!F106,'Kepemimpinan dalam Rumah Sakit'!F106,'Pengelolaan Pegawai'!F106,'Perekat Rumah Sakit'!F106,'Strategi yang Ditekankan'!F106,'Kriteria dari Kesuksesan'!F106)</f>
        <v>16.666666666666668</v>
      </c>
      <c r="AC105">
        <f>AVERAGE('Karakteristik yang Dominan'!G106,'Kepemimpinan dalam Rumah Sakit'!G106,'Pengelolaan Pegawai'!G106,'Perekat Rumah Sakit'!G106,'Strategi yang Ditekankan'!G106,'Kriteria dari Kesuksesan'!G106)</f>
        <v>25</v>
      </c>
      <c r="AD105">
        <f>AVERAGE('Karakteristik yang Dominan'!H106,'Kepemimpinan dalam Rumah Sakit'!H106,'Pengelolaan Pegawai'!H106,'Perekat Rumah Sakit'!H106,'Strategi yang Ditekankan'!H106,'Kriteria dari Kesuksesan'!H106)</f>
        <v>36.666666666666664</v>
      </c>
      <c r="AE105" s="48">
        <v>4.07</v>
      </c>
    </row>
    <row r="106" spans="1:31">
      <c r="A106" t="str">
        <f>Sosiometri!A106</f>
        <v>Perempuan</v>
      </c>
      <c r="B106" t="str">
        <f>Sosiometri!B106</f>
        <v>21-30 tahun</v>
      </c>
      <c r="C106" t="str">
        <f>Sosiometri!C106</f>
        <v>S1</v>
      </c>
      <c r="D106" t="str">
        <f>Sosiometri!D106</f>
        <v>1-3 tahun</v>
      </c>
      <c r="E106" t="str">
        <f>Sosiometri!E106</f>
        <v>Staf Pelaksana</v>
      </c>
      <c r="F106">
        <f>Form_Responses1[[#This Row],[Column9]]</f>
        <v>2</v>
      </c>
      <c r="G106">
        <f>Form_Responses1[[#This Row],[Column10]]</f>
        <v>2</v>
      </c>
      <c r="H106">
        <f>Form_Responses1[[#This Row],[Column11]]</f>
        <v>1</v>
      </c>
      <c r="I106">
        <f>Form_Responses1[[#This Row],[Column12]]</f>
        <v>2</v>
      </c>
      <c r="J106">
        <f>Form_Responses1[[#This Row],[Column13]]</f>
        <v>2</v>
      </c>
      <c r="K106">
        <f>Form_Responses1[[#This Row],[Column14]]</f>
        <v>2</v>
      </c>
      <c r="L106">
        <f>Form_Responses1[[#This Row],[Column15]]</f>
        <v>2</v>
      </c>
      <c r="M106">
        <f>Form_Responses1[[#This Row],[Column16]]</f>
        <v>2</v>
      </c>
      <c r="N106">
        <f>Form_Responses1[[#This Row],[Column17]]</f>
        <v>2</v>
      </c>
      <c r="O106">
        <f>Form_Responses1[[#This Row],[Column18]]</f>
        <v>2</v>
      </c>
      <c r="P106">
        <f>Form_Responses1[[#This Row],[Column19]]</f>
        <v>2</v>
      </c>
      <c r="Q106">
        <f>Form_Responses1[[#This Row],[Column20]]</f>
        <v>2</v>
      </c>
      <c r="R106">
        <f>Form_Responses1[[#This Row],[Column21]]</f>
        <v>2</v>
      </c>
      <c r="S106">
        <f>Form_Responses1[[#This Row],[Column22]]</f>
        <v>2</v>
      </c>
      <c r="T106">
        <f>Form_Responses1[[#This Row],[Column23]]</f>
        <v>2</v>
      </c>
      <c r="U106">
        <f>Form_Responses1[[#This Row],[Column24]]</f>
        <v>2</v>
      </c>
      <c r="V106">
        <f>Form_Responses1[[#This Row],[Column25]]</f>
        <v>2</v>
      </c>
      <c r="W106">
        <f>Form_Responses1[[#This Row],[Column26]]</f>
        <v>2</v>
      </c>
      <c r="X106">
        <f>Form_Responses1[[#This Row],[Column27]]</f>
        <v>2</v>
      </c>
      <c r="Y106">
        <f>Form_Responses1[[#This Row],[Column28]]</f>
        <v>1</v>
      </c>
      <c r="Z106">
        <f t="shared" si="1"/>
        <v>38</v>
      </c>
      <c r="AA106">
        <f>AVERAGE('Karakteristik yang Dominan'!E107,'Kepemimpinan dalam Rumah Sakit'!E107,'Pengelolaan Pegawai'!E107,'Perekat Rumah Sakit'!E107,'Strategi yang Ditekankan'!E107,'Kriteria dari Kesuksesan'!E107)</f>
        <v>23.333333333333332</v>
      </c>
      <c r="AB106">
        <f>AVERAGE('Karakteristik yang Dominan'!F107,'Kepemimpinan dalam Rumah Sakit'!F107,'Pengelolaan Pegawai'!F107,'Perekat Rumah Sakit'!F107,'Strategi yang Ditekankan'!F107,'Kriteria dari Kesuksesan'!F107)</f>
        <v>18.333333333333332</v>
      </c>
      <c r="AC106">
        <f>AVERAGE('Karakteristik yang Dominan'!G107,'Kepemimpinan dalam Rumah Sakit'!G107,'Pengelolaan Pegawai'!G107,'Perekat Rumah Sakit'!G107,'Strategi yang Ditekankan'!G107,'Kriteria dari Kesuksesan'!G107)</f>
        <v>33.333333333333336</v>
      </c>
      <c r="AD106">
        <f>AVERAGE('Karakteristik yang Dominan'!H107,'Kepemimpinan dalam Rumah Sakit'!H107,'Pengelolaan Pegawai'!H107,'Perekat Rumah Sakit'!H107,'Strategi yang Ditekankan'!H107,'Kriteria dari Kesuksesan'!H107)</f>
        <v>25</v>
      </c>
      <c r="AE106" s="49">
        <v>4.1500000000000004</v>
      </c>
    </row>
    <row r="107" spans="1:31">
      <c r="A107" t="str">
        <f>Sosiometri!A107</f>
        <v>Perempuan</v>
      </c>
      <c r="B107" t="str">
        <f>Sosiometri!B107</f>
        <v>21-30 tahun</v>
      </c>
      <c r="C107" t="str">
        <f>Sosiometri!C107</f>
        <v>S1</v>
      </c>
      <c r="D107" t="str">
        <f>Sosiometri!D107</f>
        <v>&gt;3-5 tahun</v>
      </c>
      <c r="E107" t="str">
        <f>Sosiometri!E107</f>
        <v>Staf Pelaksana</v>
      </c>
      <c r="F107">
        <f>Form_Responses1[[#This Row],[Column9]]</f>
        <v>3</v>
      </c>
      <c r="G107">
        <f>Form_Responses1[[#This Row],[Column10]]</f>
        <v>2</v>
      </c>
      <c r="H107">
        <f>Form_Responses1[[#This Row],[Column11]]</f>
        <v>2</v>
      </c>
      <c r="I107">
        <f>Form_Responses1[[#This Row],[Column12]]</f>
        <v>3</v>
      </c>
      <c r="J107">
        <f>Form_Responses1[[#This Row],[Column13]]</f>
        <v>3</v>
      </c>
      <c r="K107">
        <f>Form_Responses1[[#This Row],[Column14]]</f>
        <v>3</v>
      </c>
      <c r="L107">
        <f>Form_Responses1[[#This Row],[Column15]]</f>
        <v>3</v>
      </c>
      <c r="M107">
        <f>Form_Responses1[[#This Row],[Column16]]</f>
        <v>3</v>
      </c>
      <c r="N107">
        <f>Form_Responses1[[#This Row],[Column17]]</f>
        <v>3</v>
      </c>
      <c r="O107">
        <f>Form_Responses1[[#This Row],[Column18]]</f>
        <v>3</v>
      </c>
      <c r="P107">
        <f>Form_Responses1[[#This Row],[Column19]]</f>
        <v>3</v>
      </c>
      <c r="Q107">
        <f>Form_Responses1[[#This Row],[Column20]]</f>
        <v>4</v>
      </c>
      <c r="R107">
        <f>Form_Responses1[[#This Row],[Column21]]</f>
        <v>3</v>
      </c>
      <c r="S107">
        <f>Form_Responses1[[#This Row],[Column22]]</f>
        <v>3</v>
      </c>
      <c r="T107">
        <f>Form_Responses1[[#This Row],[Column23]]</f>
        <v>4</v>
      </c>
      <c r="U107">
        <f>Form_Responses1[[#This Row],[Column24]]</f>
        <v>3</v>
      </c>
      <c r="V107">
        <f>Form_Responses1[[#This Row],[Column25]]</f>
        <v>4</v>
      </c>
      <c r="W107">
        <f>Form_Responses1[[#This Row],[Column26]]</f>
        <v>3</v>
      </c>
      <c r="X107">
        <f>Form_Responses1[[#This Row],[Column27]]</f>
        <v>3</v>
      </c>
      <c r="Y107">
        <f>Form_Responses1[[#This Row],[Column28]]</f>
        <v>2</v>
      </c>
      <c r="Z107">
        <f t="shared" si="1"/>
        <v>60</v>
      </c>
      <c r="AA107">
        <f>AVERAGE('Karakteristik yang Dominan'!E108,'Kepemimpinan dalam Rumah Sakit'!E108,'Pengelolaan Pegawai'!E108,'Perekat Rumah Sakit'!E108,'Strategi yang Ditekankan'!E108,'Kriteria dari Kesuksesan'!E108)</f>
        <v>36.666666666666664</v>
      </c>
      <c r="AB107">
        <f>AVERAGE('Karakteristik yang Dominan'!F108,'Kepemimpinan dalam Rumah Sakit'!F108,'Pengelolaan Pegawai'!F108,'Perekat Rumah Sakit'!F108,'Strategi yang Ditekankan'!F108,'Kriteria dari Kesuksesan'!F108)</f>
        <v>23.333333333333332</v>
      </c>
      <c r="AC107">
        <f>AVERAGE('Karakteristik yang Dominan'!G108,'Kepemimpinan dalam Rumah Sakit'!G108,'Pengelolaan Pegawai'!G108,'Perekat Rumah Sakit'!G108,'Strategi yang Ditekankan'!G108,'Kriteria dari Kesuksesan'!G108)</f>
        <v>18.333333333333332</v>
      </c>
      <c r="AD107">
        <f>AVERAGE('Karakteristik yang Dominan'!H108,'Kepemimpinan dalam Rumah Sakit'!H108,'Pengelolaan Pegawai'!H108,'Perekat Rumah Sakit'!H108,'Strategi yang Ditekankan'!H108,'Kriteria dari Kesuksesan'!H108)</f>
        <v>21.666666666666668</v>
      </c>
      <c r="AE107" s="48">
        <v>4.47</v>
      </c>
    </row>
    <row r="108" spans="1:31">
      <c r="A108" t="str">
        <f>Sosiometri!A108</f>
        <v>Perempuan</v>
      </c>
      <c r="B108" t="str">
        <f>Sosiometri!B108</f>
        <v>21-30 tahun</v>
      </c>
      <c r="C108" t="str">
        <f>Sosiometri!C108</f>
        <v>SMA/SMK/SPK</v>
      </c>
      <c r="D108" t="str">
        <f>Sosiometri!D108</f>
        <v>&gt; 5 tahun</v>
      </c>
      <c r="E108" t="str">
        <f>Sosiometri!E108</f>
        <v>Staf Pelaksana</v>
      </c>
      <c r="F108">
        <f>Form_Responses1[[#This Row],[Column9]]</f>
        <v>3</v>
      </c>
      <c r="G108">
        <f>Form_Responses1[[#This Row],[Column10]]</f>
        <v>3</v>
      </c>
      <c r="H108">
        <f>Form_Responses1[[#This Row],[Column11]]</f>
        <v>3</v>
      </c>
      <c r="I108">
        <f>Form_Responses1[[#This Row],[Column12]]</f>
        <v>3</v>
      </c>
      <c r="J108">
        <f>Form_Responses1[[#This Row],[Column13]]</f>
        <v>3</v>
      </c>
      <c r="K108">
        <f>Form_Responses1[[#This Row],[Column14]]</f>
        <v>3</v>
      </c>
      <c r="L108">
        <f>Form_Responses1[[#This Row],[Column15]]</f>
        <v>2</v>
      </c>
      <c r="M108">
        <f>Form_Responses1[[#This Row],[Column16]]</f>
        <v>2</v>
      </c>
      <c r="N108">
        <f>Form_Responses1[[#This Row],[Column17]]</f>
        <v>2</v>
      </c>
      <c r="O108">
        <f>Form_Responses1[[#This Row],[Column18]]</f>
        <v>2</v>
      </c>
      <c r="P108">
        <f>Form_Responses1[[#This Row],[Column19]]</f>
        <v>2</v>
      </c>
      <c r="Q108">
        <f>Form_Responses1[[#This Row],[Column20]]</f>
        <v>3</v>
      </c>
      <c r="R108">
        <f>Form_Responses1[[#This Row],[Column21]]</f>
        <v>2</v>
      </c>
      <c r="S108">
        <f>Form_Responses1[[#This Row],[Column22]]</f>
        <v>3</v>
      </c>
      <c r="T108">
        <f>Form_Responses1[[#This Row],[Column23]]</f>
        <v>2</v>
      </c>
      <c r="U108">
        <f>Form_Responses1[[#This Row],[Column24]]</f>
        <v>3</v>
      </c>
      <c r="V108">
        <f>Form_Responses1[[#This Row],[Column25]]</f>
        <v>2</v>
      </c>
      <c r="W108">
        <f>Form_Responses1[[#This Row],[Column26]]</f>
        <v>3</v>
      </c>
      <c r="X108">
        <f>Form_Responses1[[#This Row],[Column27]]</f>
        <v>2</v>
      </c>
      <c r="Y108">
        <f>Form_Responses1[[#This Row],[Column28]]</f>
        <v>2</v>
      </c>
      <c r="Z108">
        <f t="shared" si="1"/>
        <v>50</v>
      </c>
      <c r="AA108">
        <f>AVERAGE('Karakteristik yang Dominan'!E109,'Kepemimpinan dalam Rumah Sakit'!E109,'Pengelolaan Pegawai'!E109,'Perekat Rumah Sakit'!E109,'Strategi yang Ditekankan'!E109,'Kriteria dari Kesuksesan'!E109)</f>
        <v>30.833333333333332</v>
      </c>
      <c r="AB108">
        <f>AVERAGE('Karakteristik yang Dominan'!F109,'Kepemimpinan dalam Rumah Sakit'!F109,'Pengelolaan Pegawai'!F109,'Perekat Rumah Sakit'!F109,'Strategi yang Ditekankan'!F109,'Kriteria dari Kesuksesan'!F109)</f>
        <v>24.166666666666668</v>
      </c>
      <c r="AC108">
        <f>AVERAGE('Karakteristik yang Dominan'!G109,'Kepemimpinan dalam Rumah Sakit'!G109,'Pengelolaan Pegawai'!G109,'Perekat Rumah Sakit'!G109,'Strategi yang Ditekankan'!G109,'Kriteria dari Kesuksesan'!G109)</f>
        <v>25.833333333333332</v>
      </c>
      <c r="AD108">
        <f>AVERAGE('Karakteristik yang Dominan'!H109,'Kepemimpinan dalam Rumah Sakit'!H109,'Pengelolaan Pegawai'!H109,'Perekat Rumah Sakit'!H109,'Strategi yang Ditekankan'!H109,'Kriteria dari Kesuksesan'!H109)</f>
        <v>19.166666666666668</v>
      </c>
      <c r="AE108" s="49">
        <v>3.87</v>
      </c>
    </row>
    <row r="109" spans="1:31">
      <c r="A109" t="str">
        <f>Sosiometri!A109</f>
        <v>Perempuan</v>
      </c>
      <c r="B109" t="str">
        <f>Sosiometri!B109</f>
        <v>51-60 tahun</v>
      </c>
      <c r="C109" t="str">
        <f>Sosiometri!C109</f>
        <v>S1</v>
      </c>
      <c r="D109" t="str">
        <f>Sosiometri!D109</f>
        <v>&lt;1 tahun</v>
      </c>
      <c r="E109" t="str">
        <f>Sosiometri!E109</f>
        <v>Level 2</v>
      </c>
      <c r="F109">
        <f>Form_Responses1[[#This Row],[Column9]]</f>
        <v>4</v>
      </c>
      <c r="G109">
        <f>Form_Responses1[[#This Row],[Column10]]</f>
        <v>5</v>
      </c>
      <c r="H109">
        <f>Form_Responses1[[#This Row],[Column11]]</f>
        <v>4</v>
      </c>
      <c r="I109">
        <f>Form_Responses1[[#This Row],[Column12]]</f>
        <v>4</v>
      </c>
      <c r="J109">
        <f>Form_Responses1[[#This Row],[Column13]]</f>
        <v>5</v>
      </c>
      <c r="K109">
        <f>Form_Responses1[[#This Row],[Column14]]</f>
        <v>5</v>
      </c>
      <c r="L109">
        <f>Form_Responses1[[#This Row],[Column15]]</f>
        <v>5</v>
      </c>
      <c r="M109">
        <f>Form_Responses1[[#This Row],[Column16]]</f>
        <v>4</v>
      </c>
      <c r="N109">
        <f>Form_Responses1[[#This Row],[Column17]]</f>
        <v>5</v>
      </c>
      <c r="O109">
        <f>Form_Responses1[[#This Row],[Column18]]</f>
        <v>5</v>
      </c>
      <c r="P109">
        <f>Form_Responses1[[#This Row],[Column19]]</f>
        <v>5</v>
      </c>
      <c r="Q109">
        <f>Form_Responses1[[#This Row],[Column20]]</f>
        <v>4</v>
      </c>
      <c r="R109">
        <f>Form_Responses1[[#This Row],[Column21]]</f>
        <v>5</v>
      </c>
      <c r="S109">
        <f>Form_Responses1[[#This Row],[Column22]]</f>
        <v>5</v>
      </c>
      <c r="T109">
        <f>Form_Responses1[[#This Row],[Column23]]</f>
        <v>5</v>
      </c>
      <c r="U109">
        <f>Form_Responses1[[#This Row],[Column24]]</f>
        <v>4</v>
      </c>
      <c r="V109">
        <f>Form_Responses1[[#This Row],[Column25]]</f>
        <v>5</v>
      </c>
      <c r="W109">
        <f>Form_Responses1[[#This Row],[Column26]]</f>
        <v>4</v>
      </c>
      <c r="X109">
        <f>Form_Responses1[[#This Row],[Column27]]</f>
        <v>4</v>
      </c>
      <c r="Y109">
        <f>Form_Responses1[[#This Row],[Column28]]</f>
        <v>4</v>
      </c>
      <c r="Z109">
        <f t="shared" si="1"/>
        <v>91</v>
      </c>
      <c r="AA109">
        <f>AVERAGE('Karakteristik yang Dominan'!E110,'Kepemimpinan dalam Rumah Sakit'!E110,'Pengelolaan Pegawai'!E110,'Perekat Rumah Sakit'!E110,'Strategi yang Ditekankan'!E110,'Kriteria dari Kesuksesan'!E110)</f>
        <v>23.333333333333332</v>
      </c>
      <c r="AB109">
        <f>AVERAGE('Karakteristik yang Dominan'!F110,'Kepemimpinan dalam Rumah Sakit'!F110,'Pengelolaan Pegawai'!F110,'Perekat Rumah Sakit'!F110,'Strategi yang Ditekankan'!F110,'Kriteria dari Kesuksesan'!F110)</f>
        <v>18.333333333333332</v>
      </c>
      <c r="AC109">
        <f>AVERAGE('Karakteristik yang Dominan'!G110,'Kepemimpinan dalam Rumah Sakit'!G110,'Pengelolaan Pegawai'!G110,'Perekat Rumah Sakit'!G110,'Strategi yang Ditekankan'!G110,'Kriteria dari Kesuksesan'!G110)</f>
        <v>20</v>
      </c>
      <c r="AD109">
        <f>AVERAGE('Karakteristik yang Dominan'!H110,'Kepemimpinan dalam Rumah Sakit'!H110,'Pengelolaan Pegawai'!H110,'Perekat Rumah Sakit'!H110,'Strategi yang Ditekankan'!H110,'Kriteria dari Kesuksesan'!H110)</f>
        <v>38.333333333333336</v>
      </c>
      <c r="AE109" s="48">
        <v>4.71</v>
      </c>
    </row>
    <row r="110" spans="1:31">
      <c r="A110" t="str">
        <f>Sosiometri!A110</f>
        <v>Perempuan</v>
      </c>
      <c r="B110" t="str">
        <f>Sosiometri!B110</f>
        <v>21-30 tahun</v>
      </c>
      <c r="C110" t="str">
        <f>Sosiometri!C110</f>
        <v>SMA/SMK/SPK</v>
      </c>
      <c r="D110" t="str">
        <f>Sosiometri!D110</f>
        <v>&lt;1 tahun</v>
      </c>
      <c r="E110" t="str">
        <f>Sosiometri!E110</f>
        <v>Staf Pelaksana</v>
      </c>
      <c r="F110">
        <f>Form_Responses1[[#This Row],[Column9]]</f>
        <v>3</v>
      </c>
      <c r="G110">
        <f>Form_Responses1[[#This Row],[Column10]]</f>
        <v>3</v>
      </c>
      <c r="H110">
        <f>Form_Responses1[[#This Row],[Column11]]</f>
        <v>4</v>
      </c>
      <c r="I110">
        <f>Form_Responses1[[#This Row],[Column12]]</f>
        <v>4</v>
      </c>
      <c r="J110">
        <f>Form_Responses1[[#This Row],[Column13]]</f>
        <v>3</v>
      </c>
      <c r="K110">
        <f>Form_Responses1[[#This Row],[Column14]]</f>
        <v>3</v>
      </c>
      <c r="L110">
        <f>Form_Responses1[[#This Row],[Column15]]</f>
        <v>3</v>
      </c>
      <c r="M110">
        <f>Form_Responses1[[#This Row],[Column16]]</f>
        <v>4</v>
      </c>
      <c r="N110">
        <f>Form_Responses1[[#This Row],[Column17]]</f>
        <v>3</v>
      </c>
      <c r="O110">
        <f>Form_Responses1[[#This Row],[Column18]]</f>
        <v>4</v>
      </c>
      <c r="P110">
        <f>Form_Responses1[[#This Row],[Column19]]</f>
        <v>3</v>
      </c>
      <c r="Q110">
        <f>Form_Responses1[[#This Row],[Column20]]</f>
        <v>3</v>
      </c>
      <c r="R110">
        <f>Form_Responses1[[#This Row],[Column21]]</f>
        <v>4</v>
      </c>
      <c r="S110">
        <f>Form_Responses1[[#This Row],[Column22]]</f>
        <v>3</v>
      </c>
      <c r="T110">
        <f>Form_Responses1[[#This Row],[Column23]]</f>
        <v>3</v>
      </c>
      <c r="U110">
        <f>Form_Responses1[[#This Row],[Column24]]</f>
        <v>3</v>
      </c>
      <c r="V110">
        <f>Form_Responses1[[#This Row],[Column25]]</f>
        <v>4</v>
      </c>
      <c r="W110">
        <f>Form_Responses1[[#This Row],[Column26]]</f>
        <v>4</v>
      </c>
      <c r="X110">
        <f>Form_Responses1[[#This Row],[Column27]]</f>
        <v>4</v>
      </c>
      <c r="Y110">
        <f>Form_Responses1[[#This Row],[Column28]]</f>
        <v>3</v>
      </c>
      <c r="Z110">
        <f t="shared" si="1"/>
        <v>68</v>
      </c>
      <c r="AA110">
        <f>AVERAGE('Karakteristik yang Dominan'!E111,'Kepemimpinan dalam Rumah Sakit'!E111,'Pengelolaan Pegawai'!E111,'Perekat Rumah Sakit'!E111,'Strategi yang Ditekankan'!E111,'Kriteria dari Kesuksesan'!E111)</f>
        <v>31.666666666666668</v>
      </c>
      <c r="AB110">
        <f>AVERAGE('Karakteristik yang Dominan'!F111,'Kepemimpinan dalam Rumah Sakit'!F111,'Pengelolaan Pegawai'!F111,'Perekat Rumah Sakit'!F111,'Strategi yang Ditekankan'!F111,'Kriteria dari Kesuksesan'!F111)</f>
        <v>25</v>
      </c>
      <c r="AC110">
        <f>AVERAGE('Karakteristik yang Dominan'!G111,'Kepemimpinan dalam Rumah Sakit'!G111,'Pengelolaan Pegawai'!G111,'Perekat Rumah Sakit'!G111,'Strategi yang Ditekankan'!G111,'Kriteria dari Kesuksesan'!G111)</f>
        <v>25</v>
      </c>
      <c r="AD110">
        <f>AVERAGE('Karakteristik yang Dominan'!H111,'Kepemimpinan dalam Rumah Sakit'!H111,'Pengelolaan Pegawai'!H111,'Perekat Rumah Sakit'!H111,'Strategi yang Ditekankan'!H111,'Kriteria dari Kesuksesan'!H111)</f>
        <v>18.333333333333332</v>
      </c>
      <c r="AE110" s="49">
        <v>4.2300000000000004</v>
      </c>
    </row>
    <row r="111" spans="1:31">
      <c r="A111" t="str">
        <f>Sosiometri!A111</f>
        <v>Laki-Laki</v>
      </c>
      <c r="B111" t="str">
        <f>Sosiometri!B111</f>
        <v>41-50 tahun</v>
      </c>
      <c r="C111" t="str">
        <f>Sosiometri!C111</f>
        <v>S2</v>
      </c>
      <c r="D111" t="str">
        <f>Sosiometri!D111</f>
        <v>&gt; 5 tahun</v>
      </c>
      <c r="E111" t="str">
        <f>Sosiometri!E111</f>
        <v>Level2</v>
      </c>
      <c r="F111">
        <f>Form_Responses1[[#This Row],[Column9]]</f>
        <v>5</v>
      </c>
      <c r="G111">
        <f>Form_Responses1[[#This Row],[Column10]]</f>
        <v>5</v>
      </c>
      <c r="H111">
        <f>Form_Responses1[[#This Row],[Column11]]</f>
        <v>5</v>
      </c>
      <c r="I111">
        <f>Form_Responses1[[#This Row],[Column12]]</f>
        <v>5</v>
      </c>
      <c r="J111">
        <f>Form_Responses1[[#This Row],[Column13]]</f>
        <v>5</v>
      </c>
      <c r="K111">
        <f>Form_Responses1[[#This Row],[Column14]]</f>
        <v>5</v>
      </c>
      <c r="L111">
        <f>Form_Responses1[[#This Row],[Column15]]</f>
        <v>5</v>
      </c>
      <c r="M111">
        <f>Form_Responses1[[#This Row],[Column16]]</f>
        <v>5</v>
      </c>
      <c r="N111">
        <f>Form_Responses1[[#This Row],[Column17]]</f>
        <v>5</v>
      </c>
      <c r="O111">
        <f>Form_Responses1[[#This Row],[Column18]]</f>
        <v>5</v>
      </c>
      <c r="P111">
        <f>Form_Responses1[[#This Row],[Column19]]</f>
        <v>5</v>
      </c>
      <c r="Q111">
        <f>Form_Responses1[[#This Row],[Column20]]</f>
        <v>5</v>
      </c>
      <c r="R111">
        <f>Form_Responses1[[#This Row],[Column21]]</f>
        <v>5</v>
      </c>
      <c r="S111">
        <f>Form_Responses1[[#This Row],[Column22]]</f>
        <v>5</v>
      </c>
      <c r="T111">
        <f>Form_Responses1[[#This Row],[Column23]]</f>
        <v>5</v>
      </c>
      <c r="U111">
        <f>Form_Responses1[[#This Row],[Column24]]</f>
        <v>5</v>
      </c>
      <c r="V111">
        <f>Form_Responses1[[#This Row],[Column25]]</f>
        <v>5</v>
      </c>
      <c r="W111">
        <f>Form_Responses1[[#This Row],[Column26]]</f>
        <v>5</v>
      </c>
      <c r="X111">
        <f>Form_Responses1[[#This Row],[Column27]]</f>
        <v>5</v>
      </c>
      <c r="Y111">
        <f>Form_Responses1[[#This Row],[Column28]]</f>
        <v>5</v>
      </c>
      <c r="Z111">
        <f t="shared" si="1"/>
        <v>100</v>
      </c>
      <c r="AA111">
        <f>AVERAGE('Karakteristik yang Dominan'!E112,'Kepemimpinan dalam Rumah Sakit'!E112,'Pengelolaan Pegawai'!E112,'Perekat Rumah Sakit'!E112,'Strategi yang Ditekankan'!E112,'Kriteria dari Kesuksesan'!E112)</f>
        <v>20</v>
      </c>
      <c r="AB111">
        <f>AVERAGE('Karakteristik yang Dominan'!F112,'Kepemimpinan dalam Rumah Sakit'!F112,'Pengelolaan Pegawai'!F112,'Perekat Rumah Sakit'!F112,'Strategi yang Ditekankan'!F112,'Kriteria dari Kesuksesan'!F112)</f>
        <v>28.333333333333332</v>
      </c>
      <c r="AC111">
        <f>AVERAGE('Karakteristik yang Dominan'!G112,'Kepemimpinan dalam Rumah Sakit'!G112,'Pengelolaan Pegawai'!G112,'Perekat Rumah Sakit'!G112,'Strategi yang Ditekankan'!G112,'Kriteria dari Kesuksesan'!G112)</f>
        <v>25</v>
      </c>
      <c r="AD111">
        <f>AVERAGE('Karakteristik yang Dominan'!H112,'Kepemimpinan dalam Rumah Sakit'!H112,'Pengelolaan Pegawai'!H112,'Perekat Rumah Sakit'!H112,'Strategi yang Ditekankan'!H112,'Kriteria dari Kesuksesan'!H112)</f>
        <v>26.666666666666668</v>
      </c>
      <c r="AE111" s="48">
        <v>4.95</v>
      </c>
    </row>
    <row r="112" spans="1:31">
      <c r="A112" t="str">
        <f>Sosiometri!A112</f>
        <v>Perempuan</v>
      </c>
      <c r="B112" t="str">
        <f>Sosiometri!B112</f>
        <v>51-60 tahun</v>
      </c>
      <c r="C112" t="str">
        <f>Sosiometri!C112</f>
        <v>S2</v>
      </c>
      <c r="D112" t="str">
        <f>Sosiometri!D112</f>
        <v>&gt; 5 tahun</v>
      </c>
      <c r="E112" t="str">
        <f>Sosiometri!E112</f>
        <v>Level 3</v>
      </c>
      <c r="F112">
        <f>Form_Responses1[[#This Row],[Column9]]</f>
        <v>4</v>
      </c>
      <c r="G112">
        <f>Form_Responses1[[#This Row],[Column10]]</f>
        <v>4</v>
      </c>
      <c r="H112">
        <f>Form_Responses1[[#This Row],[Column11]]</f>
        <v>4</v>
      </c>
      <c r="I112">
        <f>Form_Responses1[[#This Row],[Column12]]</f>
        <v>4</v>
      </c>
      <c r="J112">
        <f>Form_Responses1[[#This Row],[Column13]]</f>
        <v>4</v>
      </c>
      <c r="K112">
        <f>Form_Responses1[[#This Row],[Column14]]</f>
        <v>4</v>
      </c>
      <c r="L112">
        <f>Form_Responses1[[#This Row],[Column15]]</f>
        <v>4</v>
      </c>
      <c r="M112">
        <f>Form_Responses1[[#This Row],[Column16]]</f>
        <v>4</v>
      </c>
      <c r="N112">
        <f>Form_Responses1[[#This Row],[Column17]]</f>
        <v>4</v>
      </c>
      <c r="O112">
        <f>Form_Responses1[[#This Row],[Column18]]</f>
        <v>4</v>
      </c>
      <c r="P112">
        <f>Form_Responses1[[#This Row],[Column19]]</f>
        <v>4</v>
      </c>
      <c r="Q112">
        <f>Form_Responses1[[#This Row],[Column20]]</f>
        <v>3</v>
      </c>
      <c r="R112">
        <f>Form_Responses1[[#This Row],[Column21]]</f>
        <v>3</v>
      </c>
      <c r="S112">
        <f>Form_Responses1[[#This Row],[Column22]]</f>
        <v>4</v>
      </c>
      <c r="T112">
        <f>Form_Responses1[[#This Row],[Column23]]</f>
        <v>3</v>
      </c>
      <c r="U112">
        <f>Form_Responses1[[#This Row],[Column24]]</f>
        <v>3</v>
      </c>
      <c r="V112">
        <f>Form_Responses1[[#This Row],[Column25]]</f>
        <v>3</v>
      </c>
      <c r="W112">
        <f>Form_Responses1[[#This Row],[Column26]]</f>
        <v>3</v>
      </c>
      <c r="X112">
        <f>Form_Responses1[[#This Row],[Column27]]</f>
        <v>3</v>
      </c>
      <c r="Y112">
        <f>Form_Responses1[[#This Row],[Column28]]</f>
        <v>3</v>
      </c>
      <c r="Z112">
        <f t="shared" si="1"/>
        <v>72</v>
      </c>
      <c r="AA112">
        <f>AVERAGE('Karakteristik yang Dominan'!E113,'Kepemimpinan dalam Rumah Sakit'!E113,'Pengelolaan Pegawai'!E113,'Perekat Rumah Sakit'!E113,'Strategi yang Ditekankan'!E113,'Kriteria dari Kesuksesan'!E113)</f>
        <v>23.333333333333332</v>
      </c>
      <c r="AB112">
        <f>AVERAGE('Karakteristik yang Dominan'!F113,'Kepemimpinan dalam Rumah Sakit'!F113,'Pengelolaan Pegawai'!F113,'Perekat Rumah Sakit'!F113,'Strategi yang Ditekankan'!F113,'Kriteria dari Kesuksesan'!F113)</f>
        <v>21.666666666666668</v>
      </c>
      <c r="AC112">
        <f>AVERAGE('Karakteristik yang Dominan'!G113,'Kepemimpinan dalam Rumah Sakit'!G113,'Pengelolaan Pegawai'!G113,'Perekat Rumah Sakit'!G113,'Strategi yang Ditekankan'!G113,'Kriteria dari Kesuksesan'!G113)</f>
        <v>26.666666666666668</v>
      </c>
      <c r="AD112">
        <f>AVERAGE('Karakteristik yang Dominan'!H113,'Kepemimpinan dalam Rumah Sakit'!H113,'Pengelolaan Pegawai'!H113,'Perekat Rumah Sakit'!H113,'Strategi yang Ditekankan'!H113,'Kriteria dari Kesuksesan'!H113)</f>
        <v>28.333333333333332</v>
      </c>
      <c r="AE112" s="49">
        <v>4.1500000000000004</v>
      </c>
    </row>
    <row r="113" spans="1:31">
      <c r="A113" t="str">
        <f>Sosiometri!A113</f>
        <v>Laki-Laki</v>
      </c>
      <c r="B113" t="str">
        <f>Sosiometri!B113</f>
        <v>21-30 tahun</v>
      </c>
      <c r="C113" t="str">
        <f>Sosiometri!C113</f>
        <v>S1</v>
      </c>
      <c r="D113" t="str">
        <f>Sosiometri!D113</f>
        <v>&lt;1 tahun</v>
      </c>
      <c r="E113" t="str">
        <f>Sosiometri!E113</f>
        <v>Staf Pelaksana</v>
      </c>
      <c r="F113">
        <f>Form_Responses1[[#This Row],[Column9]]</f>
        <v>2</v>
      </c>
      <c r="G113">
        <f>Form_Responses1[[#This Row],[Column10]]</f>
        <v>2</v>
      </c>
      <c r="H113">
        <f>Form_Responses1[[#This Row],[Column11]]</f>
        <v>2</v>
      </c>
      <c r="I113">
        <f>Form_Responses1[[#This Row],[Column12]]</f>
        <v>2</v>
      </c>
      <c r="J113">
        <f>Form_Responses1[[#This Row],[Column13]]</f>
        <v>2</v>
      </c>
      <c r="K113">
        <f>Form_Responses1[[#This Row],[Column14]]</f>
        <v>2</v>
      </c>
      <c r="L113">
        <f>Form_Responses1[[#This Row],[Column15]]</f>
        <v>2</v>
      </c>
      <c r="M113">
        <f>Form_Responses1[[#This Row],[Column16]]</f>
        <v>2</v>
      </c>
      <c r="N113">
        <f>Form_Responses1[[#This Row],[Column17]]</f>
        <v>2</v>
      </c>
      <c r="O113">
        <f>Form_Responses1[[#This Row],[Column18]]</f>
        <v>2</v>
      </c>
      <c r="P113">
        <f>Form_Responses1[[#This Row],[Column19]]</f>
        <v>2</v>
      </c>
      <c r="Q113">
        <f>Form_Responses1[[#This Row],[Column20]]</f>
        <v>2</v>
      </c>
      <c r="R113">
        <f>Form_Responses1[[#This Row],[Column21]]</f>
        <v>2</v>
      </c>
      <c r="S113">
        <f>Form_Responses1[[#This Row],[Column22]]</f>
        <v>2</v>
      </c>
      <c r="T113">
        <f>Form_Responses1[[#This Row],[Column23]]</f>
        <v>2</v>
      </c>
      <c r="U113">
        <f>Form_Responses1[[#This Row],[Column24]]</f>
        <v>2</v>
      </c>
      <c r="V113">
        <f>Form_Responses1[[#This Row],[Column25]]</f>
        <v>2</v>
      </c>
      <c r="W113">
        <f>Form_Responses1[[#This Row],[Column26]]</f>
        <v>2</v>
      </c>
      <c r="X113">
        <f>Form_Responses1[[#This Row],[Column27]]</f>
        <v>2</v>
      </c>
      <c r="Y113">
        <f>Form_Responses1[[#This Row],[Column28]]</f>
        <v>2</v>
      </c>
      <c r="Z113">
        <f t="shared" si="1"/>
        <v>40</v>
      </c>
      <c r="AA113">
        <f>AVERAGE('Karakteristik yang Dominan'!E114,'Kepemimpinan dalam Rumah Sakit'!E114,'Pengelolaan Pegawai'!E114,'Perekat Rumah Sakit'!E114,'Strategi yang Ditekankan'!E114,'Kriteria dari Kesuksesan'!E114)</f>
        <v>27.5</v>
      </c>
      <c r="AB113">
        <f>AVERAGE('Karakteristik yang Dominan'!F114,'Kepemimpinan dalam Rumah Sakit'!F114,'Pengelolaan Pegawai'!F114,'Perekat Rumah Sakit'!F114,'Strategi yang Ditekankan'!F114,'Kriteria dari Kesuksesan'!F114)</f>
        <v>20.833333333333332</v>
      </c>
      <c r="AC113">
        <f>AVERAGE('Karakteristik yang Dominan'!G114,'Kepemimpinan dalam Rumah Sakit'!G114,'Pengelolaan Pegawai'!G114,'Perekat Rumah Sakit'!G114,'Strategi yang Ditekankan'!G114,'Kriteria dari Kesuksesan'!G114)</f>
        <v>24.166666666666668</v>
      </c>
      <c r="AD113">
        <f>AVERAGE('Karakteristik yang Dominan'!H114,'Kepemimpinan dalam Rumah Sakit'!H114,'Pengelolaan Pegawai'!H114,'Perekat Rumah Sakit'!H114,'Strategi yang Ditekankan'!H114,'Kriteria dari Kesuksesan'!H114)</f>
        <v>27.5</v>
      </c>
      <c r="AE113" s="48">
        <v>3.94</v>
      </c>
    </row>
    <row r="114" spans="1:31">
      <c r="A114" t="str">
        <f>Sosiometri!A114</f>
        <v>Perempuan</v>
      </c>
      <c r="B114" t="str">
        <f>Sosiometri!B114</f>
        <v>31-40 tahun</v>
      </c>
      <c r="C114" t="str">
        <f>Sosiometri!C114</f>
        <v>S1</v>
      </c>
      <c r="D114" t="str">
        <f>Sosiometri!D114</f>
        <v>1-3 tahun</v>
      </c>
      <c r="E114" t="str">
        <f>Sosiometri!E114</f>
        <v>Staf Pelaksana</v>
      </c>
      <c r="F114">
        <f>Form_Responses1[[#This Row],[Column9]]</f>
        <v>4</v>
      </c>
      <c r="G114">
        <f>Form_Responses1[[#This Row],[Column10]]</f>
        <v>4</v>
      </c>
      <c r="H114">
        <f>Form_Responses1[[#This Row],[Column11]]</f>
        <v>4</v>
      </c>
      <c r="I114">
        <f>Form_Responses1[[#This Row],[Column12]]</f>
        <v>5</v>
      </c>
      <c r="J114">
        <f>Form_Responses1[[#This Row],[Column13]]</f>
        <v>5</v>
      </c>
      <c r="K114">
        <f>Form_Responses1[[#This Row],[Column14]]</f>
        <v>4</v>
      </c>
      <c r="L114">
        <f>Form_Responses1[[#This Row],[Column15]]</f>
        <v>4</v>
      </c>
      <c r="M114">
        <f>Form_Responses1[[#This Row],[Column16]]</f>
        <v>4</v>
      </c>
      <c r="N114">
        <f>Form_Responses1[[#This Row],[Column17]]</f>
        <v>5</v>
      </c>
      <c r="O114">
        <f>Form_Responses1[[#This Row],[Column18]]</f>
        <v>5</v>
      </c>
      <c r="P114">
        <f>Form_Responses1[[#This Row],[Column19]]</f>
        <v>5</v>
      </c>
      <c r="Q114">
        <f>Form_Responses1[[#This Row],[Column20]]</f>
        <v>4</v>
      </c>
      <c r="R114">
        <f>Form_Responses1[[#This Row],[Column21]]</f>
        <v>5</v>
      </c>
      <c r="S114">
        <f>Form_Responses1[[#This Row],[Column22]]</f>
        <v>4</v>
      </c>
      <c r="T114">
        <f>Form_Responses1[[#This Row],[Column23]]</f>
        <v>4</v>
      </c>
      <c r="U114">
        <f>Form_Responses1[[#This Row],[Column24]]</f>
        <v>5</v>
      </c>
      <c r="V114">
        <f>Form_Responses1[[#This Row],[Column25]]</f>
        <v>4</v>
      </c>
      <c r="W114">
        <f>Form_Responses1[[#This Row],[Column26]]</f>
        <v>5</v>
      </c>
      <c r="X114">
        <f>Form_Responses1[[#This Row],[Column27]]</f>
        <v>5</v>
      </c>
      <c r="Y114">
        <f>Form_Responses1[[#This Row],[Column28]]</f>
        <v>5</v>
      </c>
      <c r="Z114">
        <f t="shared" si="1"/>
        <v>90</v>
      </c>
      <c r="AA114">
        <f>AVERAGE('Karakteristik yang Dominan'!E115,'Kepemimpinan dalam Rumah Sakit'!E115,'Pengelolaan Pegawai'!E115,'Perekat Rumah Sakit'!E115,'Strategi yang Ditekankan'!E115,'Kriteria dari Kesuksesan'!E115)</f>
        <v>20</v>
      </c>
      <c r="AB114">
        <f>AVERAGE('Karakteristik yang Dominan'!F115,'Kepemimpinan dalam Rumah Sakit'!F115,'Pengelolaan Pegawai'!F115,'Perekat Rumah Sakit'!F115,'Strategi yang Ditekankan'!F115,'Kriteria dari Kesuksesan'!F115)</f>
        <v>30</v>
      </c>
      <c r="AC114">
        <f>AVERAGE('Karakteristik yang Dominan'!G115,'Kepemimpinan dalam Rumah Sakit'!G115,'Pengelolaan Pegawai'!G115,'Perekat Rumah Sakit'!G115,'Strategi yang Ditekankan'!G115,'Kriteria dari Kesuksesan'!G115)</f>
        <v>25</v>
      </c>
      <c r="AD114">
        <f>AVERAGE('Karakteristik yang Dominan'!H115,'Kepemimpinan dalam Rumah Sakit'!H115,'Pengelolaan Pegawai'!H115,'Perekat Rumah Sakit'!H115,'Strategi yang Ditekankan'!H115,'Kriteria dari Kesuksesan'!H115)</f>
        <v>25</v>
      </c>
      <c r="AE114" s="49">
        <v>4.75</v>
      </c>
    </row>
    <row r="115" spans="1:31">
      <c r="A115" t="str">
        <f>Sosiometri!A115</f>
        <v>Perempuan</v>
      </c>
      <c r="B115" t="str">
        <f>Sosiometri!B115</f>
        <v>21-30 tahun</v>
      </c>
      <c r="C115" t="str">
        <f>Sosiometri!C115</f>
        <v>D3</v>
      </c>
      <c r="D115" t="str">
        <f>Sosiometri!D115</f>
        <v>&lt;1 tahun</v>
      </c>
      <c r="E115" t="str">
        <f>Sosiometri!E115</f>
        <v>Staf Pelaksana</v>
      </c>
      <c r="F115">
        <f>Form_Responses1[[#This Row],[Column9]]</f>
        <v>4</v>
      </c>
      <c r="G115">
        <f>Form_Responses1[[#This Row],[Column10]]</f>
        <v>2</v>
      </c>
      <c r="H115">
        <f>Form_Responses1[[#This Row],[Column11]]</f>
        <v>3</v>
      </c>
      <c r="I115">
        <f>Form_Responses1[[#This Row],[Column12]]</f>
        <v>3</v>
      </c>
      <c r="J115">
        <f>Form_Responses1[[#This Row],[Column13]]</f>
        <v>4</v>
      </c>
      <c r="K115">
        <f>Form_Responses1[[#This Row],[Column14]]</f>
        <v>3</v>
      </c>
      <c r="L115">
        <f>Form_Responses1[[#This Row],[Column15]]</f>
        <v>3</v>
      </c>
      <c r="M115">
        <f>Form_Responses1[[#This Row],[Column16]]</f>
        <v>2</v>
      </c>
      <c r="N115">
        <f>Form_Responses1[[#This Row],[Column17]]</f>
        <v>4</v>
      </c>
      <c r="O115">
        <f>Form_Responses1[[#This Row],[Column18]]</f>
        <v>3</v>
      </c>
      <c r="P115">
        <f>Form_Responses1[[#This Row],[Column19]]</f>
        <v>4</v>
      </c>
      <c r="Q115">
        <f>Form_Responses1[[#This Row],[Column20]]</f>
        <v>2</v>
      </c>
      <c r="R115">
        <f>Form_Responses1[[#This Row],[Column21]]</f>
        <v>4</v>
      </c>
      <c r="S115">
        <f>Form_Responses1[[#This Row],[Column22]]</f>
        <v>2</v>
      </c>
      <c r="T115">
        <f>Form_Responses1[[#This Row],[Column23]]</f>
        <v>4</v>
      </c>
      <c r="U115">
        <f>Form_Responses1[[#This Row],[Column24]]</f>
        <v>3</v>
      </c>
      <c r="V115">
        <f>Form_Responses1[[#This Row],[Column25]]</f>
        <v>3</v>
      </c>
      <c r="W115">
        <f>Form_Responses1[[#This Row],[Column26]]</f>
        <v>4</v>
      </c>
      <c r="X115">
        <f>Form_Responses1[[#This Row],[Column27]]</f>
        <v>2</v>
      </c>
      <c r="Y115">
        <f>Form_Responses1[[#This Row],[Column28]]</f>
        <v>4</v>
      </c>
      <c r="Z115">
        <f t="shared" si="1"/>
        <v>63</v>
      </c>
      <c r="AA115">
        <f>AVERAGE('Karakteristik yang Dominan'!E116,'Kepemimpinan dalam Rumah Sakit'!E116,'Pengelolaan Pegawai'!E116,'Perekat Rumah Sakit'!E116,'Strategi yang Ditekankan'!E116,'Kriteria dari Kesuksesan'!E116)</f>
        <v>22.5</v>
      </c>
      <c r="AB115">
        <f>AVERAGE('Karakteristik yang Dominan'!F116,'Kepemimpinan dalam Rumah Sakit'!F116,'Pengelolaan Pegawai'!F116,'Perekat Rumah Sakit'!F116,'Strategi yang Ditekankan'!F116,'Kriteria dari Kesuksesan'!F116)</f>
        <v>22.5</v>
      </c>
      <c r="AC115">
        <f>AVERAGE('Karakteristik yang Dominan'!G116,'Kepemimpinan dalam Rumah Sakit'!G116,'Pengelolaan Pegawai'!G116,'Perekat Rumah Sakit'!G116,'Strategi yang Ditekankan'!G116,'Kriteria dari Kesuksesan'!G116)</f>
        <v>29.166666666666668</v>
      </c>
      <c r="AD115">
        <f>AVERAGE('Karakteristik yang Dominan'!H116,'Kepemimpinan dalam Rumah Sakit'!H116,'Pengelolaan Pegawai'!H116,'Perekat Rumah Sakit'!H116,'Strategi yang Ditekankan'!H116,'Kriteria dari Kesuksesan'!H116)</f>
        <v>25.833333333333332</v>
      </c>
      <c r="AE115" s="48">
        <v>4.04</v>
      </c>
    </row>
    <row r="116" spans="1:31">
      <c r="A116" t="str">
        <f>Sosiometri!A116</f>
        <v>Perempuan</v>
      </c>
      <c r="B116" t="str">
        <f>Sosiometri!B116</f>
        <v>21-30 tahun</v>
      </c>
      <c r="C116" t="str">
        <f>Sosiometri!C116</f>
        <v>D3</v>
      </c>
      <c r="D116" t="str">
        <f>Sosiometri!D116</f>
        <v>1-3 tahun</v>
      </c>
      <c r="E116" t="str">
        <f>Sosiometri!E116</f>
        <v>Staf Pelaksana</v>
      </c>
      <c r="F116">
        <f>Form_Responses1[[#This Row],[Column9]]</f>
        <v>4</v>
      </c>
      <c r="G116">
        <f>Form_Responses1[[#This Row],[Column10]]</f>
        <v>4</v>
      </c>
      <c r="H116">
        <f>Form_Responses1[[#This Row],[Column11]]</f>
        <v>4</v>
      </c>
      <c r="I116">
        <f>Form_Responses1[[#This Row],[Column12]]</f>
        <v>4</v>
      </c>
      <c r="J116">
        <f>Form_Responses1[[#This Row],[Column13]]</f>
        <v>4</v>
      </c>
      <c r="K116">
        <f>Form_Responses1[[#This Row],[Column14]]</f>
        <v>4</v>
      </c>
      <c r="L116">
        <f>Form_Responses1[[#This Row],[Column15]]</f>
        <v>4</v>
      </c>
      <c r="M116">
        <f>Form_Responses1[[#This Row],[Column16]]</f>
        <v>4</v>
      </c>
      <c r="N116">
        <f>Form_Responses1[[#This Row],[Column17]]</f>
        <v>4</v>
      </c>
      <c r="O116">
        <f>Form_Responses1[[#This Row],[Column18]]</f>
        <v>4</v>
      </c>
      <c r="P116">
        <f>Form_Responses1[[#This Row],[Column19]]</f>
        <v>4</v>
      </c>
      <c r="Q116">
        <f>Form_Responses1[[#This Row],[Column20]]</f>
        <v>4</v>
      </c>
      <c r="R116">
        <f>Form_Responses1[[#This Row],[Column21]]</f>
        <v>4</v>
      </c>
      <c r="S116">
        <f>Form_Responses1[[#This Row],[Column22]]</f>
        <v>4</v>
      </c>
      <c r="T116">
        <f>Form_Responses1[[#This Row],[Column23]]</f>
        <v>4</v>
      </c>
      <c r="U116">
        <f>Form_Responses1[[#This Row],[Column24]]</f>
        <v>4</v>
      </c>
      <c r="V116">
        <f>Form_Responses1[[#This Row],[Column25]]</f>
        <v>4</v>
      </c>
      <c r="W116">
        <f>Form_Responses1[[#This Row],[Column26]]</f>
        <v>4</v>
      </c>
      <c r="X116">
        <f>Form_Responses1[[#This Row],[Column27]]</f>
        <v>4</v>
      </c>
      <c r="Y116">
        <f>Form_Responses1[[#This Row],[Column28]]</f>
        <v>4</v>
      </c>
      <c r="Z116">
        <f t="shared" si="1"/>
        <v>80</v>
      </c>
      <c r="AA116">
        <f>AVERAGE('Karakteristik yang Dominan'!E117,'Kepemimpinan dalam Rumah Sakit'!E117,'Pengelolaan Pegawai'!E117,'Perekat Rumah Sakit'!E117,'Strategi yang Ditekankan'!E117,'Kriteria dari Kesuksesan'!E117)</f>
        <v>35</v>
      </c>
      <c r="AB116">
        <f>AVERAGE('Karakteristik yang Dominan'!F117,'Kepemimpinan dalam Rumah Sakit'!F117,'Pengelolaan Pegawai'!F117,'Perekat Rumah Sakit'!F117,'Strategi yang Ditekankan'!F117,'Kriteria dari Kesuksesan'!F117)</f>
        <v>21.666666666666668</v>
      </c>
      <c r="AC116">
        <f>AVERAGE('Karakteristik yang Dominan'!G117,'Kepemimpinan dalam Rumah Sakit'!G117,'Pengelolaan Pegawai'!G117,'Perekat Rumah Sakit'!G117,'Strategi yang Ditekankan'!G117,'Kriteria dari Kesuksesan'!G117)</f>
        <v>23.333333333333332</v>
      </c>
      <c r="AD116">
        <f>AVERAGE('Karakteristik yang Dominan'!H117,'Kepemimpinan dalam Rumah Sakit'!H117,'Pengelolaan Pegawai'!H117,'Perekat Rumah Sakit'!H117,'Strategi yang Ditekankan'!H117,'Kriteria dari Kesuksesan'!H117)</f>
        <v>20</v>
      </c>
      <c r="AE116" s="49">
        <v>4.37</v>
      </c>
    </row>
    <row r="117" spans="1:31">
      <c r="A117" t="str">
        <f>Sosiometri!A117</f>
        <v>Perempuan</v>
      </c>
      <c r="B117" t="str">
        <f>Sosiometri!B117</f>
        <v>21-30 tahun</v>
      </c>
      <c r="C117" t="str">
        <f>Sosiometri!C117</f>
        <v>S1</v>
      </c>
      <c r="D117" t="str">
        <f>Sosiometri!D117</f>
        <v>1-3 tahun</v>
      </c>
      <c r="E117" t="str">
        <f>Sosiometri!E117</f>
        <v>Staf Pelaksana</v>
      </c>
      <c r="F117">
        <f>Form_Responses1[[#This Row],[Column9]]</f>
        <v>5</v>
      </c>
      <c r="G117">
        <f>Form_Responses1[[#This Row],[Column10]]</f>
        <v>4</v>
      </c>
      <c r="H117">
        <f>Form_Responses1[[#This Row],[Column11]]</f>
        <v>4</v>
      </c>
      <c r="I117">
        <f>Form_Responses1[[#This Row],[Column12]]</f>
        <v>4</v>
      </c>
      <c r="J117">
        <f>Form_Responses1[[#This Row],[Column13]]</f>
        <v>4</v>
      </c>
      <c r="K117">
        <f>Form_Responses1[[#This Row],[Column14]]</f>
        <v>4</v>
      </c>
      <c r="L117">
        <f>Form_Responses1[[#This Row],[Column15]]</f>
        <v>4</v>
      </c>
      <c r="M117">
        <f>Form_Responses1[[#This Row],[Column16]]</f>
        <v>5</v>
      </c>
      <c r="N117">
        <f>Form_Responses1[[#This Row],[Column17]]</f>
        <v>4</v>
      </c>
      <c r="O117">
        <f>Form_Responses1[[#This Row],[Column18]]</f>
        <v>4</v>
      </c>
      <c r="P117">
        <f>Form_Responses1[[#This Row],[Column19]]</f>
        <v>5</v>
      </c>
      <c r="Q117">
        <f>Form_Responses1[[#This Row],[Column20]]</f>
        <v>5</v>
      </c>
      <c r="R117">
        <f>Form_Responses1[[#This Row],[Column21]]</f>
        <v>5</v>
      </c>
      <c r="S117">
        <f>Form_Responses1[[#This Row],[Column22]]</f>
        <v>4</v>
      </c>
      <c r="T117">
        <f>Form_Responses1[[#This Row],[Column23]]</f>
        <v>4</v>
      </c>
      <c r="U117">
        <f>Form_Responses1[[#This Row],[Column24]]</f>
        <v>4</v>
      </c>
      <c r="V117">
        <f>Form_Responses1[[#This Row],[Column25]]</f>
        <v>5</v>
      </c>
      <c r="W117">
        <f>Form_Responses1[[#This Row],[Column26]]</f>
        <v>5</v>
      </c>
      <c r="X117">
        <f>Form_Responses1[[#This Row],[Column27]]</f>
        <v>4</v>
      </c>
      <c r="Y117">
        <f>Form_Responses1[[#This Row],[Column28]]</f>
        <v>5</v>
      </c>
      <c r="Z117">
        <f t="shared" si="1"/>
        <v>88</v>
      </c>
      <c r="AA117">
        <f>AVERAGE('Karakteristik yang Dominan'!E118,'Kepemimpinan dalam Rumah Sakit'!E118,'Pengelolaan Pegawai'!E118,'Perekat Rumah Sakit'!E118,'Strategi yang Ditekankan'!E118,'Kriteria dari Kesuksesan'!E118)</f>
        <v>20</v>
      </c>
      <c r="AB117">
        <f>AVERAGE('Karakteristik yang Dominan'!F118,'Kepemimpinan dalam Rumah Sakit'!F118,'Pengelolaan Pegawai'!F118,'Perekat Rumah Sakit'!F118,'Strategi yang Ditekankan'!F118,'Kriteria dari Kesuksesan'!F118)</f>
        <v>16.666666666666668</v>
      </c>
      <c r="AC117">
        <f>AVERAGE('Karakteristik yang Dominan'!G118,'Kepemimpinan dalam Rumah Sakit'!G118,'Pengelolaan Pegawai'!G118,'Perekat Rumah Sakit'!G118,'Strategi yang Ditekankan'!G118,'Kriteria dari Kesuksesan'!G118)</f>
        <v>33.333333333333336</v>
      </c>
      <c r="AD117">
        <f>AVERAGE('Karakteristik yang Dominan'!H118,'Kepemimpinan dalam Rumah Sakit'!H118,'Pengelolaan Pegawai'!H118,'Perekat Rumah Sakit'!H118,'Strategi yang Ditekankan'!H118,'Kriteria dari Kesuksesan'!H118)</f>
        <v>30</v>
      </c>
      <c r="AE117" s="48">
        <v>4.9000000000000004</v>
      </c>
    </row>
    <row r="118" spans="1:31">
      <c r="A118" t="str">
        <f>Sosiometri!A118</f>
        <v>Perempuan</v>
      </c>
      <c r="B118" t="str">
        <f>Sosiometri!B118</f>
        <v>21-30 tahun</v>
      </c>
      <c r="C118" t="str">
        <f>Sosiometri!C118</f>
        <v>S1</v>
      </c>
      <c r="D118" t="str">
        <f>Sosiometri!D118</f>
        <v>1-3 tahun</v>
      </c>
      <c r="E118" t="str">
        <f>Sosiometri!E118</f>
        <v>Staf Pelaksana</v>
      </c>
      <c r="F118">
        <f>Form_Responses1[[#This Row],[Column9]]</f>
        <v>4</v>
      </c>
      <c r="G118">
        <f>Form_Responses1[[#This Row],[Column10]]</f>
        <v>4</v>
      </c>
      <c r="H118">
        <f>Form_Responses1[[#This Row],[Column11]]</f>
        <v>4</v>
      </c>
      <c r="I118">
        <f>Form_Responses1[[#This Row],[Column12]]</f>
        <v>4</v>
      </c>
      <c r="J118">
        <f>Form_Responses1[[#This Row],[Column13]]</f>
        <v>4</v>
      </c>
      <c r="K118">
        <f>Form_Responses1[[#This Row],[Column14]]</f>
        <v>4</v>
      </c>
      <c r="L118">
        <f>Form_Responses1[[#This Row],[Column15]]</f>
        <v>4</v>
      </c>
      <c r="M118">
        <f>Form_Responses1[[#This Row],[Column16]]</f>
        <v>4</v>
      </c>
      <c r="N118">
        <f>Form_Responses1[[#This Row],[Column17]]</f>
        <v>4</v>
      </c>
      <c r="O118">
        <f>Form_Responses1[[#This Row],[Column18]]</f>
        <v>4</v>
      </c>
      <c r="P118">
        <f>Form_Responses1[[#This Row],[Column19]]</f>
        <v>4</v>
      </c>
      <c r="Q118">
        <f>Form_Responses1[[#This Row],[Column20]]</f>
        <v>4</v>
      </c>
      <c r="R118">
        <f>Form_Responses1[[#This Row],[Column21]]</f>
        <v>4</v>
      </c>
      <c r="S118">
        <f>Form_Responses1[[#This Row],[Column22]]</f>
        <v>4</v>
      </c>
      <c r="T118">
        <f>Form_Responses1[[#This Row],[Column23]]</f>
        <v>4</v>
      </c>
      <c r="U118">
        <f>Form_Responses1[[#This Row],[Column24]]</f>
        <v>4</v>
      </c>
      <c r="V118">
        <f>Form_Responses1[[#This Row],[Column25]]</f>
        <v>4</v>
      </c>
      <c r="W118">
        <f>Form_Responses1[[#This Row],[Column26]]</f>
        <v>4</v>
      </c>
      <c r="X118">
        <f>Form_Responses1[[#This Row],[Column27]]</f>
        <v>4</v>
      </c>
      <c r="Y118">
        <f>Form_Responses1[[#This Row],[Column28]]</f>
        <v>4</v>
      </c>
      <c r="Z118">
        <f t="shared" si="1"/>
        <v>80</v>
      </c>
      <c r="AA118">
        <f>AVERAGE('Karakteristik yang Dominan'!E119,'Kepemimpinan dalam Rumah Sakit'!E119,'Pengelolaan Pegawai'!E119,'Perekat Rumah Sakit'!E119,'Strategi yang Ditekankan'!E119,'Kriteria dari Kesuksesan'!E119)</f>
        <v>48.333333333333336</v>
      </c>
      <c r="AB118">
        <f>AVERAGE('Karakteristik yang Dominan'!F119,'Kepemimpinan dalam Rumah Sakit'!F119,'Pengelolaan Pegawai'!F119,'Perekat Rumah Sakit'!F119,'Strategi yang Ditekankan'!F119,'Kriteria dari Kesuksesan'!F119)</f>
        <v>25</v>
      </c>
      <c r="AC118">
        <f>AVERAGE('Karakteristik yang Dominan'!G119,'Kepemimpinan dalam Rumah Sakit'!G119,'Pengelolaan Pegawai'!G119,'Perekat Rumah Sakit'!G119,'Strategi yang Ditekankan'!G119,'Kriteria dari Kesuksesan'!G119)</f>
        <v>11.666666666666666</v>
      </c>
      <c r="AD118">
        <f>AVERAGE('Karakteristik yang Dominan'!H119,'Kepemimpinan dalam Rumah Sakit'!H119,'Pengelolaan Pegawai'!H119,'Perekat Rumah Sakit'!H119,'Strategi yang Ditekankan'!H119,'Kriteria dari Kesuksesan'!H119)</f>
        <v>15</v>
      </c>
      <c r="AE118" s="49">
        <v>4.29</v>
      </c>
    </row>
    <row r="119" spans="1:31">
      <c r="A119" t="str">
        <f>Sosiometri!A119</f>
        <v>Perempuan</v>
      </c>
      <c r="B119" t="str">
        <f>Sosiometri!B119</f>
        <v>31-40 tahun</v>
      </c>
      <c r="C119" t="str">
        <f>Sosiometri!C119</f>
        <v>D3</v>
      </c>
      <c r="D119" t="str">
        <f>Sosiometri!D119</f>
        <v>1-3 tahun</v>
      </c>
      <c r="E119" t="str">
        <f>Sosiometri!E119</f>
        <v>Staf Pelaksana</v>
      </c>
      <c r="F119">
        <f>Form_Responses1[[#This Row],[Column9]]</f>
        <v>4</v>
      </c>
      <c r="G119">
        <f>Form_Responses1[[#This Row],[Column10]]</f>
        <v>4</v>
      </c>
      <c r="H119">
        <f>Form_Responses1[[#This Row],[Column11]]</f>
        <v>4</v>
      </c>
      <c r="I119">
        <f>Form_Responses1[[#This Row],[Column12]]</f>
        <v>4</v>
      </c>
      <c r="J119">
        <f>Form_Responses1[[#This Row],[Column13]]</f>
        <v>4</v>
      </c>
      <c r="K119">
        <f>Form_Responses1[[#This Row],[Column14]]</f>
        <v>4</v>
      </c>
      <c r="L119">
        <f>Form_Responses1[[#This Row],[Column15]]</f>
        <v>4</v>
      </c>
      <c r="M119">
        <f>Form_Responses1[[#This Row],[Column16]]</f>
        <v>4</v>
      </c>
      <c r="N119">
        <f>Form_Responses1[[#This Row],[Column17]]</f>
        <v>4</v>
      </c>
      <c r="O119">
        <f>Form_Responses1[[#This Row],[Column18]]</f>
        <v>4</v>
      </c>
      <c r="P119">
        <f>Form_Responses1[[#This Row],[Column19]]</f>
        <v>4</v>
      </c>
      <c r="Q119">
        <f>Form_Responses1[[#This Row],[Column20]]</f>
        <v>4</v>
      </c>
      <c r="R119">
        <f>Form_Responses1[[#This Row],[Column21]]</f>
        <v>4</v>
      </c>
      <c r="S119">
        <f>Form_Responses1[[#This Row],[Column22]]</f>
        <v>4</v>
      </c>
      <c r="T119">
        <f>Form_Responses1[[#This Row],[Column23]]</f>
        <v>4</v>
      </c>
      <c r="U119">
        <f>Form_Responses1[[#This Row],[Column24]]</f>
        <v>4</v>
      </c>
      <c r="V119">
        <f>Form_Responses1[[#This Row],[Column25]]</f>
        <v>4</v>
      </c>
      <c r="W119">
        <f>Form_Responses1[[#This Row],[Column26]]</f>
        <v>4</v>
      </c>
      <c r="X119">
        <f>Form_Responses1[[#This Row],[Column27]]</f>
        <v>4</v>
      </c>
      <c r="Y119">
        <f>Form_Responses1[[#This Row],[Column28]]</f>
        <v>4</v>
      </c>
      <c r="Z119">
        <f t="shared" si="1"/>
        <v>80</v>
      </c>
      <c r="AA119">
        <f>AVERAGE('Karakteristik yang Dominan'!E120,'Kepemimpinan dalam Rumah Sakit'!E120,'Pengelolaan Pegawai'!E120,'Perekat Rumah Sakit'!E120,'Strategi yang Ditekankan'!E120,'Kriteria dari Kesuksesan'!E120)</f>
        <v>51.666666666666664</v>
      </c>
      <c r="AB119">
        <f>AVERAGE('Karakteristik yang Dominan'!F120,'Kepemimpinan dalam Rumah Sakit'!F120,'Pengelolaan Pegawai'!F120,'Perekat Rumah Sakit'!F120,'Strategi yang Ditekankan'!F120,'Kriteria dari Kesuksesan'!F120)</f>
        <v>11.666666666666666</v>
      </c>
      <c r="AC119">
        <f>AVERAGE('Karakteristik yang Dominan'!G120,'Kepemimpinan dalam Rumah Sakit'!G120,'Pengelolaan Pegawai'!G120,'Perekat Rumah Sakit'!G120,'Strategi yang Ditekankan'!G120,'Kriteria dari Kesuksesan'!G120)</f>
        <v>20</v>
      </c>
      <c r="AD119">
        <f>AVERAGE('Karakteristik yang Dominan'!H120,'Kepemimpinan dalam Rumah Sakit'!H120,'Pengelolaan Pegawai'!H120,'Perekat Rumah Sakit'!H120,'Strategi yang Ditekankan'!H120,'Kriteria dari Kesuksesan'!H120)</f>
        <v>16.666666666666668</v>
      </c>
      <c r="AE119" s="48">
        <v>4.4000000000000004</v>
      </c>
    </row>
    <row r="120" spans="1:31">
      <c r="A120" t="str">
        <f>Sosiometri!A120</f>
        <v>Laki-Laki</v>
      </c>
      <c r="B120" t="str">
        <f>Sosiometri!B120</f>
        <v>21-30 tahun</v>
      </c>
      <c r="C120" t="str">
        <f>Sosiometri!C120</f>
        <v>D3</v>
      </c>
      <c r="D120" t="str">
        <f>Sosiometri!D120</f>
        <v>&gt; 5 tahun</v>
      </c>
      <c r="E120" t="str">
        <f>Sosiometri!E120</f>
        <v>Staf Pelaksana</v>
      </c>
      <c r="F120">
        <f>Form_Responses1[[#This Row],[Column9]]</f>
        <v>4</v>
      </c>
      <c r="G120">
        <f>Form_Responses1[[#This Row],[Column10]]</f>
        <v>4</v>
      </c>
      <c r="H120">
        <f>Form_Responses1[[#This Row],[Column11]]</f>
        <v>4</v>
      </c>
      <c r="I120">
        <f>Form_Responses1[[#This Row],[Column12]]</f>
        <v>4</v>
      </c>
      <c r="J120">
        <f>Form_Responses1[[#This Row],[Column13]]</f>
        <v>4</v>
      </c>
      <c r="K120">
        <f>Form_Responses1[[#This Row],[Column14]]</f>
        <v>4</v>
      </c>
      <c r="L120">
        <f>Form_Responses1[[#This Row],[Column15]]</f>
        <v>4</v>
      </c>
      <c r="M120">
        <f>Form_Responses1[[#This Row],[Column16]]</f>
        <v>4</v>
      </c>
      <c r="N120">
        <f>Form_Responses1[[#This Row],[Column17]]</f>
        <v>4</v>
      </c>
      <c r="O120">
        <f>Form_Responses1[[#This Row],[Column18]]</f>
        <v>4</v>
      </c>
      <c r="P120">
        <f>Form_Responses1[[#This Row],[Column19]]</f>
        <v>4</v>
      </c>
      <c r="Q120">
        <f>Form_Responses1[[#This Row],[Column20]]</f>
        <v>4</v>
      </c>
      <c r="R120">
        <f>Form_Responses1[[#This Row],[Column21]]</f>
        <v>4</v>
      </c>
      <c r="S120">
        <f>Form_Responses1[[#This Row],[Column22]]</f>
        <v>4</v>
      </c>
      <c r="T120">
        <f>Form_Responses1[[#This Row],[Column23]]</f>
        <v>4</v>
      </c>
      <c r="U120">
        <f>Form_Responses1[[#This Row],[Column24]]</f>
        <v>4</v>
      </c>
      <c r="V120">
        <f>Form_Responses1[[#This Row],[Column25]]</f>
        <v>3</v>
      </c>
      <c r="W120">
        <f>Form_Responses1[[#This Row],[Column26]]</f>
        <v>4</v>
      </c>
      <c r="X120">
        <f>Form_Responses1[[#This Row],[Column27]]</f>
        <v>4</v>
      </c>
      <c r="Y120">
        <f>Form_Responses1[[#This Row],[Column28]]</f>
        <v>4</v>
      </c>
      <c r="Z120">
        <f t="shared" si="1"/>
        <v>79</v>
      </c>
      <c r="AA120">
        <f>AVERAGE('Karakteristik yang Dominan'!E121,'Kepemimpinan dalam Rumah Sakit'!E121,'Pengelolaan Pegawai'!E121,'Perekat Rumah Sakit'!E121,'Strategi yang Ditekankan'!E121,'Kriteria dari Kesuksesan'!E121)</f>
        <v>31.666666666666668</v>
      </c>
      <c r="AB120">
        <f>AVERAGE('Karakteristik yang Dominan'!F121,'Kepemimpinan dalam Rumah Sakit'!F121,'Pengelolaan Pegawai'!F121,'Perekat Rumah Sakit'!F121,'Strategi yang Ditekankan'!F121,'Kriteria dari Kesuksesan'!F121)</f>
        <v>15</v>
      </c>
      <c r="AC120">
        <f>AVERAGE('Karakteristik yang Dominan'!G121,'Kepemimpinan dalam Rumah Sakit'!G121,'Pengelolaan Pegawai'!G121,'Perekat Rumah Sakit'!G121,'Strategi yang Ditekankan'!G121,'Kriteria dari Kesuksesan'!G121)</f>
        <v>23.333333333333332</v>
      </c>
      <c r="AD120">
        <f>AVERAGE('Karakteristik yang Dominan'!H121,'Kepemimpinan dalam Rumah Sakit'!H121,'Pengelolaan Pegawai'!H121,'Perekat Rumah Sakit'!H121,'Strategi yang Ditekankan'!H121,'Kriteria dari Kesuksesan'!H121)</f>
        <v>30</v>
      </c>
      <c r="AE120" s="49">
        <v>4.5599999999999996</v>
      </c>
    </row>
    <row r="121" spans="1:31">
      <c r="A121" t="str">
        <f>Sosiometri!A121</f>
        <v>Perempuan</v>
      </c>
      <c r="B121" t="str">
        <f>Sosiometri!B121</f>
        <v>21-30 tahun</v>
      </c>
      <c r="C121" t="str">
        <f>Sosiometri!C121</f>
        <v>S1</v>
      </c>
      <c r="D121" t="str">
        <f>Sosiometri!D121</f>
        <v>&gt;3-5 tahun</v>
      </c>
      <c r="E121" t="str">
        <f>Sosiometri!E121</f>
        <v>Staf Pelaksana</v>
      </c>
      <c r="F121">
        <f>Form_Responses1[[#This Row],[Column9]]</f>
        <v>3</v>
      </c>
      <c r="G121">
        <f>Form_Responses1[[#This Row],[Column10]]</f>
        <v>4</v>
      </c>
      <c r="H121">
        <f>Form_Responses1[[#This Row],[Column11]]</f>
        <v>3</v>
      </c>
      <c r="I121">
        <f>Form_Responses1[[#This Row],[Column12]]</f>
        <v>4</v>
      </c>
      <c r="J121">
        <f>Form_Responses1[[#This Row],[Column13]]</f>
        <v>4</v>
      </c>
      <c r="K121">
        <f>Form_Responses1[[#This Row],[Column14]]</f>
        <v>3</v>
      </c>
      <c r="L121">
        <f>Form_Responses1[[#This Row],[Column15]]</f>
        <v>4</v>
      </c>
      <c r="M121">
        <f>Form_Responses1[[#This Row],[Column16]]</f>
        <v>4</v>
      </c>
      <c r="N121">
        <f>Form_Responses1[[#This Row],[Column17]]</f>
        <v>3</v>
      </c>
      <c r="O121">
        <f>Form_Responses1[[#This Row],[Column18]]</f>
        <v>4</v>
      </c>
      <c r="P121">
        <f>Form_Responses1[[#This Row],[Column19]]</f>
        <v>3</v>
      </c>
      <c r="Q121">
        <f>Form_Responses1[[#This Row],[Column20]]</f>
        <v>3</v>
      </c>
      <c r="R121">
        <f>Form_Responses1[[#This Row],[Column21]]</f>
        <v>4</v>
      </c>
      <c r="S121">
        <f>Form_Responses1[[#This Row],[Column22]]</f>
        <v>4</v>
      </c>
      <c r="T121">
        <f>Form_Responses1[[#This Row],[Column23]]</f>
        <v>4</v>
      </c>
      <c r="U121">
        <f>Form_Responses1[[#This Row],[Column24]]</f>
        <v>3</v>
      </c>
      <c r="V121">
        <f>Form_Responses1[[#This Row],[Column25]]</f>
        <v>3</v>
      </c>
      <c r="W121">
        <f>Form_Responses1[[#This Row],[Column26]]</f>
        <v>3</v>
      </c>
      <c r="X121">
        <f>Form_Responses1[[#This Row],[Column27]]</f>
        <v>3</v>
      </c>
      <c r="Y121">
        <f>Form_Responses1[[#This Row],[Column28]]</f>
        <v>4</v>
      </c>
      <c r="Z121">
        <f t="shared" si="1"/>
        <v>70</v>
      </c>
      <c r="AA121">
        <f>AVERAGE('Karakteristik yang Dominan'!E122,'Kepemimpinan dalam Rumah Sakit'!E122,'Pengelolaan Pegawai'!E122,'Perekat Rumah Sakit'!E122,'Strategi yang Ditekankan'!E122,'Kriteria dari Kesuksesan'!E122)</f>
        <v>30</v>
      </c>
      <c r="AB121">
        <f>AVERAGE('Karakteristik yang Dominan'!F122,'Kepemimpinan dalam Rumah Sakit'!F122,'Pengelolaan Pegawai'!F122,'Perekat Rumah Sakit'!F122,'Strategi yang Ditekankan'!F122,'Kriteria dari Kesuksesan'!F122)</f>
        <v>13.333333333333334</v>
      </c>
      <c r="AC121">
        <f>AVERAGE('Karakteristik yang Dominan'!G122,'Kepemimpinan dalam Rumah Sakit'!G122,'Pengelolaan Pegawai'!G122,'Perekat Rumah Sakit'!G122,'Strategi yang Ditekankan'!G122,'Kriteria dari Kesuksesan'!G122)</f>
        <v>30</v>
      </c>
      <c r="AD121">
        <f>AVERAGE('Karakteristik yang Dominan'!H122,'Kepemimpinan dalam Rumah Sakit'!H122,'Pengelolaan Pegawai'!H122,'Perekat Rumah Sakit'!H122,'Strategi yang Ditekankan'!H122,'Kriteria dari Kesuksesan'!H122)</f>
        <v>26.666666666666668</v>
      </c>
      <c r="AE121" s="48">
        <v>4.43</v>
      </c>
    </row>
    <row r="122" spans="1:31">
      <c r="A122" t="str">
        <f>Sosiometri!A122</f>
        <v>Perempuan</v>
      </c>
      <c r="B122" t="str">
        <f>Sosiometri!B122</f>
        <v>21-30 tahun</v>
      </c>
      <c r="C122" t="str">
        <f>Sosiometri!C122</f>
        <v>S1</v>
      </c>
      <c r="D122" t="str">
        <f>Sosiometri!D122</f>
        <v>1-3 tahun</v>
      </c>
      <c r="E122" t="str">
        <f>Sosiometri!E122</f>
        <v>Staf Pelaksana</v>
      </c>
      <c r="F122">
        <f>Form_Responses1[[#This Row],[Column9]]</f>
        <v>4</v>
      </c>
      <c r="G122">
        <f>Form_Responses1[[#This Row],[Column10]]</f>
        <v>4</v>
      </c>
      <c r="H122">
        <f>Form_Responses1[[#This Row],[Column11]]</f>
        <v>3</v>
      </c>
      <c r="I122">
        <f>Form_Responses1[[#This Row],[Column12]]</f>
        <v>4</v>
      </c>
      <c r="J122">
        <f>Form_Responses1[[#This Row],[Column13]]</f>
        <v>4</v>
      </c>
      <c r="K122">
        <f>Form_Responses1[[#This Row],[Column14]]</f>
        <v>4</v>
      </c>
      <c r="L122">
        <f>Form_Responses1[[#This Row],[Column15]]</f>
        <v>4</v>
      </c>
      <c r="M122">
        <f>Form_Responses1[[#This Row],[Column16]]</f>
        <v>4</v>
      </c>
      <c r="N122">
        <f>Form_Responses1[[#This Row],[Column17]]</f>
        <v>4</v>
      </c>
      <c r="O122">
        <f>Form_Responses1[[#This Row],[Column18]]</f>
        <v>4</v>
      </c>
      <c r="P122">
        <f>Form_Responses1[[#This Row],[Column19]]</f>
        <v>4</v>
      </c>
      <c r="Q122">
        <f>Form_Responses1[[#This Row],[Column20]]</f>
        <v>4</v>
      </c>
      <c r="R122">
        <f>Form_Responses1[[#This Row],[Column21]]</f>
        <v>4</v>
      </c>
      <c r="S122">
        <f>Form_Responses1[[#This Row],[Column22]]</f>
        <v>4</v>
      </c>
      <c r="T122">
        <f>Form_Responses1[[#This Row],[Column23]]</f>
        <v>5</v>
      </c>
      <c r="U122">
        <f>Form_Responses1[[#This Row],[Column24]]</f>
        <v>4</v>
      </c>
      <c r="V122">
        <f>Form_Responses1[[#This Row],[Column25]]</f>
        <v>4</v>
      </c>
      <c r="W122">
        <f>Form_Responses1[[#This Row],[Column26]]</f>
        <v>4</v>
      </c>
      <c r="X122">
        <f>Form_Responses1[[#This Row],[Column27]]</f>
        <v>4</v>
      </c>
      <c r="Y122">
        <f>Form_Responses1[[#This Row],[Column28]]</f>
        <v>3</v>
      </c>
      <c r="Z122">
        <f t="shared" si="1"/>
        <v>79</v>
      </c>
      <c r="AA122">
        <f>AVERAGE('Karakteristik yang Dominan'!E123,'Kepemimpinan dalam Rumah Sakit'!E123,'Pengelolaan Pegawai'!E123,'Perekat Rumah Sakit'!E123,'Strategi yang Ditekankan'!E123,'Kriteria dari Kesuksesan'!E123)</f>
        <v>30</v>
      </c>
      <c r="AB122">
        <f>AVERAGE('Karakteristik yang Dominan'!F123,'Kepemimpinan dalam Rumah Sakit'!F123,'Pengelolaan Pegawai'!F123,'Perekat Rumah Sakit'!F123,'Strategi yang Ditekankan'!F123,'Kriteria dari Kesuksesan'!F123)</f>
        <v>13.333333333333334</v>
      </c>
      <c r="AC122">
        <f>AVERAGE('Karakteristik yang Dominan'!G123,'Kepemimpinan dalam Rumah Sakit'!G123,'Pengelolaan Pegawai'!G123,'Perekat Rumah Sakit'!G123,'Strategi yang Ditekankan'!G123,'Kriteria dari Kesuksesan'!G123)</f>
        <v>31.666666666666668</v>
      </c>
      <c r="AD122">
        <f>AVERAGE('Karakteristik yang Dominan'!H123,'Kepemimpinan dalam Rumah Sakit'!H123,'Pengelolaan Pegawai'!H123,'Perekat Rumah Sakit'!H123,'Strategi yang Ditekankan'!H123,'Kriteria dari Kesuksesan'!H123)</f>
        <v>25</v>
      </c>
      <c r="AE122" s="49">
        <v>4.45</v>
      </c>
    </row>
    <row r="123" spans="1:31">
      <c r="A123" t="str">
        <f>Sosiometri!A123</f>
        <v>Perempuan</v>
      </c>
      <c r="B123" t="str">
        <f>Sosiometri!B123</f>
        <v>41-50 tahun</v>
      </c>
      <c r="C123" t="str">
        <f>Sosiometri!C123</f>
        <v>SMA/SMK/SPK</v>
      </c>
      <c r="D123" t="str">
        <f>Sosiometri!D123</f>
        <v>&gt; 5 tahun</v>
      </c>
      <c r="E123" t="str">
        <f>Sosiometri!E123</f>
        <v>Staf Pelaksana</v>
      </c>
      <c r="F123">
        <f>Form_Responses1[[#This Row],[Column9]]</f>
        <v>2</v>
      </c>
      <c r="G123">
        <f>Form_Responses1[[#This Row],[Column10]]</f>
        <v>4</v>
      </c>
      <c r="H123">
        <f>Form_Responses1[[#This Row],[Column11]]</f>
        <v>4</v>
      </c>
      <c r="I123">
        <f>Form_Responses1[[#This Row],[Column12]]</f>
        <v>4</v>
      </c>
      <c r="J123">
        <f>Form_Responses1[[#This Row],[Column13]]</f>
        <v>2</v>
      </c>
      <c r="K123">
        <f>Form_Responses1[[#This Row],[Column14]]</f>
        <v>4</v>
      </c>
      <c r="L123">
        <f>Form_Responses1[[#This Row],[Column15]]</f>
        <v>2</v>
      </c>
      <c r="M123">
        <f>Form_Responses1[[#This Row],[Column16]]</f>
        <v>2</v>
      </c>
      <c r="N123">
        <f>Form_Responses1[[#This Row],[Column17]]</f>
        <v>3</v>
      </c>
      <c r="O123">
        <f>Form_Responses1[[#This Row],[Column18]]</f>
        <v>4</v>
      </c>
      <c r="P123">
        <f>Form_Responses1[[#This Row],[Column19]]</f>
        <v>3</v>
      </c>
      <c r="Q123">
        <f>Form_Responses1[[#This Row],[Column20]]</f>
        <v>4</v>
      </c>
      <c r="R123">
        <f>Form_Responses1[[#This Row],[Column21]]</f>
        <v>3</v>
      </c>
      <c r="S123">
        <f>Form_Responses1[[#This Row],[Column22]]</f>
        <v>3</v>
      </c>
      <c r="T123">
        <f>Form_Responses1[[#This Row],[Column23]]</f>
        <v>3</v>
      </c>
      <c r="U123">
        <f>Form_Responses1[[#This Row],[Column24]]</f>
        <v>3</v>
      </c>
      <c r="V123">
        <f>Form_Responses1[[#This Row],[Column25]]</f>
        <v>2</v>
      </c>
      <c r="W123">
        <f>Form_Responses1[[#This Row],[Column26]]</f>
        <v>2</v>
      </c>
      <c r="X123">
        <f>Form_Responses1[[#This Row],[Column27]]</f>
        <v>2</v>
      </c>
      <c r="Y123">
        <f>Form_Responses1[[#This Row],[Column28]]</f>
        <v>3</v>
      </c>
      <c r="Z123">
        <f t="shared" si="1"/>
        <v>59</v>
      </c>
      <c r="AA123">
        <f>AVERAGE('Karakteristik yang Dominan'!E124,'Kepemimpinan dalam Rumah Sakit'!E124,'Pengelolaan Pegawai'!E124,'Perekat Rumah Sakit'!E124,'Strategi yang Ditekankan'!E124,'Kriteria dari Kesuksesan'!E124)</f>
        <v>31.666666666666668</v>
      </c>
      <c r="AB123">
        <f>AVERAGE('Karakteristik yang Dominan'!F124,'Kepemimpinan dalam Rumah Sakit'!F124,'Pengelolaan Pegawai'!F124,'Perekat Rumah Sakit'!F124,'Strategi yang Ditekankan'!F124,'Kriteria dari Kesuksesan'!F124)</f>
        <v>25</v>
      </c>
      <c r="AC123">
        <f>AVERAGE('Karakteristik yang Dominan'!G124,'Kepemimpinan dalam Rumah Sakit'!G124,'Pengelolaan Pegawai'!G124,'Perekat Rumah Sakit'!G124,'Strategi yang Ditekankan'!G124,'Kriteria dari Kesuksesan'!G124)</f>
        <v>25.833333333333332</v>
      </c>
      <c r="AD123">
        <f>AVERAGE('Karakteristik yang Dominan'!H124,'Kepemimpinan dalam Rumah Sakit'!H124,'Pengelolaan Pegawai'!H124,'Perekat Rumah Sakit'!H124,'Strategi yang Ditekankan'!H124,'Kriteria dari Kesuksesan'!H124)</f>
        <v>17.5</v>
      </c>
      <c r="AE123" s="48">
        <v>4.01</v>
      </c>
    </row>
    <row r="124" spans="1:31">
      <c r="A124" t="str">
        <f>Sosiometri!A124</f>
        <v>Perempuan</v>
      </c>
      <c r="B124" t="str">
        <f>Sosiometri!B124</f>
        <v>31-40 tahun</v>
      </c>
      <c r="C124" t="str">
        <f>Sosiometri!C124</f>
        <v>SMA/SMK/SPK</v>
      </c>
      <c r="D124" t="str">
        <f>Sosiometri!D124</f>
        <v>&gt; 5 tahun</v>
      </c>
      <c r="E124" t="str">
        <f>Sosiometri!E124</f>
        <v>Staf Pelaksana</v>
      </c>
      <c r="F124">
        <f>Form_Responses1[[#This Row],[Column9]]</f>
        <v>4</v>
      </c>
      <c r="G124">
        <f>Form_Responses1[[#This Row],[Column10]]</f>
        <v>3</v>
      </c>
      <c r="H124">
        <f>Form_Responses1[[#This Row],[Column11]]</f>
        <v>2</v>
      </c>
      <c r="I124">
        <f>Form_Responses1[[#This Row],[Column12]]</f>
        <v>2</v>
      </c>
      <c r="J124">
        <f>Form_Responses1[[#This Row],[Column13]]</f>
        <v>4</v>
      </c>
      <c r="K124">
        <f>Form_Responses1[[#This Row],[Column14]]</f>
        <v>2</v>
      </c>
      <c r="L124">
        <f>Form_Responses1[[#This Row],[Column15]]</f>
        <v>2</v>
      </c>
      <c r="M124">
        <f>Form_Responses1[[#This Row],[Column16]]</f>
        <v>3</v>
      </c>
      <c r="N124">
        <f>Form_Responses1[[#This Row],[Column17]]</f>
        <v>3</v>
      </c>
      <c r="O124">
        <f>Form_Responses1[[#This Row],[Column18]]</f>
        <v>4</v>
      </c>
      <c r="P124">
        <f>Form_Responses1[[#This Row],[Column19]]</f>
        <v>2</v>
      </c>
      <c r="Q124">
        <f>Form_Responses1[[#This Row],[Column20]]</f>
        <v>4</v>
      </c>
      <c r="R124">
        <f>Form_Responses1[[#This Row],[Column21]]</f>
        <v>4</v>
      </c>
      <c r="S124">
        <f>Form_Responses1[[#This Row],[Column22]]</f>
        <v>4</v>
      </c>
      <c r="T124">
        <f>Form_Responses1[[#This Row],[Column23]]</f>
        <v>4</v>
      </c>
      <c r="U124">
        <f>Form_Responses1[[#This Row],[Column24]]</f>
        <v>2</v>
      </c>
      <c r="V124">
        <f>Form_Responses1[[#This Row],[Column25]]</f>
        <v>4</v>
      </c>
      <c r="W124">
        <f>Form_Responses1[[#This Row],[Column26]]</f>
        <v>4</v>
      </c>
      <c r="X124">
        <f>Form_Responses1[[#This Row],[Column27]]</f>
        <v>2</v>
      </c>
      <c r="Y124">
        <f>Form_Responses1[[#This Row],[Column28]]</f>
        <v>3</v>
      </c>
      <c r="Z124">
        <f t="shared" si="1"/>
        <v>62</v>
      </c>
      <c r="AA124">
        <f>AVERAGE('Karakteristik yang Dominan'!E125,'Kepemimpinan dalam Rumah Sakit'!E125,'Pengelolaan Pegawai'!E125,'Perekat Rumah Sakit'!E125,'Strategi yang Ditekankan'!E125,'Kriteria dari Kesuksesan'!E125)</f>
        <v>20</v>
      </c>
      <c r="AB124">
        <f>AVERAGE('Karakteristik yang Dominan'!F125,'Kepemimpinan dalam Rumah Sakit'!F125,'Pengelolaan Pegawai'!F125,'Perekat Rumah Sakit'!F125,'Strategi yang Ditekankan'!F125,'Kriteria dari Kesuksesan'!F125)</f>
        <v>23.333333333333332</v>
      </c>
      <c r="AC124">
        <f>AVERAGE('Karakteristik yang Dominan'!G125,'Kepemimpinan dalam Rumah Sakit'!G125,'Pengelolaan Pegawai'!G125,'Perekat Rumah Sakit'!G125,'Strategi yang Ditekankan'!G125,'Kriteria dari Kesuksesan'!G125)</f>
        <v>21.666666666666668</v>
      </c>
      <c r="AD124">
        <f>AVERAGE('Karakteristik yang Dominan'!H125,'Kepemimpinan dalam Rumah Sakit'!H125,'Pengelolaan Pegawai'!H125,'Perekat Rumah Sakit'!H125,'Strategi yang Ditekankan'!H125,'Kriteria dari Kesuksesan'!H125)</f>
        <v>35</v>
      </c>
      <c r="AE124" s="49">
        <v>4.0999999999999996</v>
      </c>
    </row>
    <row r="125" spans="1:31">
      <c r="A125" t="str">
        <f>Sosiometri!A125</f>
        <v>Perempuan</v>
      </c>
      <c r="B125" t="str">
        <f>Sosiometri!B125</f>
        <v>31-40 tahun</v>
      </c>
      <c r="C125" t="str">
        <f>Sosiometri!C125</f>
        <v>SMA/SMK/SPK</v>
      </c>
      <c r="D125" t="str">
        <f>Sosiometri!D125</f>
        <v>&gt; 5 tahun</v>
      </c>
      <c r="E125" t="str">
        <f>Sosiometri!E125</f>
        <v>Staf Pelaksana</v>
      </c>
      <c r="F125">
        <f>Form_Responses1[[#This Row],[Column9]]</f>
        <v>4</v>
      </c>
      <c r="G125">
        <f>Form_Responses1[[#This Row],[Column10]]</f>
        <v>4</v>
      </c>
      <c r="H125">
        <f>Form_Responses1[[#This Row],[Column11]]</f>
        <v>4</v>
      </c>
      <c r="I125">
        <f>Form_Responses1[[#This Row],[Column12]]</f>
        <v>4</v>
      </c>
      <c r="J125">
        <f>Form_Responses1[[#This Row],[Column13]]</f>
        <v>4</v>
      </c>
      <c r="K125">
        <f>Form_Responses1[[#This Row],[Column14]]</f>
        <v>4</v>
      </c>
      <c r="L125">
        <f>Form_Responses1[[#This Row],[Column15]]</f>
        <v>4</v>
      </c>
      <c r="M125">
        <f>Form_Responses1[[#This Row],[Column16]]</f>
        <v>4</v>
      </c>
      <c r="N125">
        <f>Form_Responses1[[#This Row],[Column17]]</f>
        <v>4</v>
      </c>
      <c r="O125">
        <f>Form_Responses1[[#This Row],[Column18]]</f>
        <v>4</v>
      </c>
      <c r="P125">
        <f>Form_Responses1[[#This Row],[Column19]]</f>
        <v>4</v>
      </c>
      <c r="Q125">
        <f>Form_Responses1[[#This Row],[Column20]]</f>
        <v>4</v>
      </c>
      <c r="R125">
        <f>Form_Responses1[[#This Row],[Column21]]</f>
        <v>4</v>
      </c>
      <c r="S125">
        <f>Form_Responses1[[#This Row],[Column22]]</f>
        <v>4</v>
      </c>
      <c r="T125">
        <f>Form_Responses1[[#This Row],[Column23]]</f>
        <v>4</v>
      </c>
      <c r="U125">
        <f>Form_Responses1[[#This Row],[Column24]]</f>
        <v>4</v>
      </c>
      <c r="V125">
        <f>Form_Responses1[[#This Row],[Column25]]</f>
        <v>4</v>
      </c>
      <c r="W125">
        <f>Form_Responses1[[#This Row],[Column26]]</f>
        <v>4</v>
      </c>
      <c r="X125">
        <f>Form_Responses1[[#This Row],[Column27]]</f>
        <v>4</v>
      </c>
      <c r="Y125">
        <f>Form_Responses1[[#This Row],[Column28]]</f>
        <v>4</v>
      </c>
      <c r="Z125">
        <f t="shared" si="1"/>
        <v>80</v>
      </c>
      <c r="AA125">
        <f>AVERAGE('Karakteristik yang Dominan'!E126,'Kepemimpinan dalam Rumah Sakit'!E126,'Pengelolaan Pegawai'!E126,'Perekat Rumah Sakit'!E126,'Strategi yang Ditekankan'!E126,'Kriteria dari Kesuksesan'!E126)</f>
        <v>30</v>
      </c>
      <c r="AB125">
        <f>AVERAGE('Karakteristik yang Dominan'!F126,'Kepemimpinan dalam Rumah Sakit'!F126,'Pengelolaan Pegawai'!F126,'Perekat Rumah Sakit'!F126,'Strategi yang Ditekankan'!F126,'Kriteria dari Kesuksesan'!F126)</f>
        <v>15</v>
      </c>
      <c r="AC125">
        <f>AVERAGE('Karakteristik yang Dominan'!G126,'Kepemimpinan dalam Rumah Sakit'!G126,'Pengelolaan Pegawai'!G126,'Perekat Rumah Sakit'!G126,'Strategi yang Ditekankan'!G126,'Kriteria dari Kesuksesan'!G126)</f>
        <v>26.666666666666668</v>
      </c>
      <c r="AD125">
        <f>AVERAGE('Karakteristik yang Dominan'!H126,'Kepemimpinan dalam Rumah Sakit'!H126,'Pengelolaan Pegawai'!H126,'Perekat Rumah Sakit'!H126,'Strategi yang Ditekankan'!H126,'Kriteria dari Kesuksesan'!H126)</f>
        <v>28.333333333333332</v>
      </c>
      <c r="AE125" s="48">
        <v>4.4000000000000004</v>
      </c>
    </row>
    <row r="126" spans="1:31">
      <c r="A126" t="str">
        <f>Sosiometri!A126</f>
        <v>Perempuan</v>
      </c>
      <c r="B126" t="str">
        <f>Sosiometri!B126</f>
        <v>21-30 tahun</v>
      </c>
      <c r="C126" t="str">
        <f>Sosiometri!C126</f>
        <v>S1</v>
      </c>
      <c r="D126" t="str">
        <f>Sosiometri!D126</f>
        <v>1-3 tahun</v>
      </c>
      <c r="E126" t="str">
        <f>Sosiometri!E126</f>
        <v>Staf Pelaksana</v>
      </c>
      <c r="F126">
        <f>Form_Responses1[[#This Row],[Column9]]</f>
        <v>2</v>
      </c>
      <c r="G126">
        <f>Form_Responses1[[#This Row],[Column10]]</f>
        <v>3</v>
      </c>
      <c r="H126">
        <f>Form_Responses1[[#This Row],[Column11]]</f>
        <v>4</v>
      </c>
      <c r="I126">
        <f>Form_Responses1[[#This Row],[Column12]]</f>
        <v>4</v>
      </c>
      <c r="J126">
        <f>Form_Responses1[[#This Row],[Column13]]</f>
        <v>4</v>
      </c>
      <c r="K126">
        <f>Form_Responses1[[#This Row],[Column14]]</f>
        <v>2</v>
      </c>
      <c r="L126">
        <f>Form_Responses1[[#This Row],[Column15]]</f>
        <v>4</v>
      </c>
      <c r="M126">
        <f>Form_Responses1[[#This Row],[Column16]]</f>
        <v>3</v>
      </c>
      <c r="N126">
        <f>Form_Responses1[[#This Row],[Column17]]</f>
        <v>3</v>
      </c>
      <c r="O126">
        <f>Form_Responses1[[#This Row],[Column18]]</f>
        <v>4</v>
      </c>
      <c r="P126">
        <f>Form_Responses1[[#This Row],[Column19]]</f>
        <v>4</v>
      </c>
      <c r="Q126">
        <f>Form_Responses1[[#This Row],[Column20]]</f>
        <v>3</v>
      </c>
      <c r="R126">
        <f>Form_Responses1[[#This Row],[Column21]]</f>
        <v>4</v>
      </c>
      <c r="S126">
        <f>Form_Responses1[[#This Row],[Column22]]</f>
        <v>4</v>
      </c>
      <c r="T126">
        <f>Form_Responses1[[#This Row],[Column23]]</f>
        <v>2</v>
      </c>
      <c r="U126">
        <f>Form_Responses1[[#This Row],[Column24]]</f>
        <v>2</v>
      </c>
      <c r="V126">
        <f>Form_Responses1[[#This Row],[Column25]]</f>
        <v>3</v>
      </c>
      <c r="W126">
        <f>Form_Responses1[[#This Row],[Column26]]</f>
        <v>4</v>
      </c>
      <c r="X126">
        <f>Form_Responses1[[#This Row],[Column27]]</f>
        <v>4</v>
      </c>
      <c r="Y126">
        <f>Form_Responses1[[#This Row],[Column28]]</f>
        <v>4</v>
      </c>
      <c r="Z126">
        <f t="shared" si="1"/>
        <v>67</v>
      </c>
      <c r="AA126">
        <f>AVERAGE('Karakteristik yang Dominan'!E127,'Kepemimpinan dalam Rumah Sakit'!E127,'Pengelolaan Pegawai'!E127,'Perekat Rumah Sakit'!E127,'Strategi yang Ditekankan'!E127,'Kriteria dari Kesuksesan'!E127)</f>
        <v>31.666666666666668</v>
      </c>
      <c r="AB126">
        <f>AVERAGE('Karakteristik yang Dominan'!F127,'Kepemimpinan dalam Rumah Sakit'!F127,'Pengelolaan Pegawai'!F127,'Perekat Rumah Sakit'!F127,'Strategi yang Ditekankan'!F127,'Kriteria dari Kesuksesan'!F127)</f>
        <v>25</v>
      </c>
      <c r="AC126">
        <f>AVERAGE('Karakteristik yang Dominan'!G127,'Kepemimpinan dalam Rumah Sakit'!G127,'Pengelolaan Pegawai'!G127,'Perekat Rumah Sakit'!G127,'Strategi yang Ditekankan'!G127,'Kriteria dari Kesuksesan'!G127)</f>
        <v>23.333333333333332</v>
      </c>
      <c r="AD126">
        <f>AVERAGE('Karakteristik yang Dominan'!H127,'Kepemimpinan dalam Rumah Sakit'!H127,'Pengelolaan Pegawai'!H127,'Perekat Rumah Sakit'!H127,'Strategi yang Ditekankan'!H127,'Kriteria dari Kesuksesan'!H127)</f>
        <v>20</v>
      </c>
      <c r="AE126" s="49">
        <v>4.07</v>
      </c>
    </row>
    <row r="127" spans="1:31">
      <c r="A127" t="str">
        <f>Sosiometri!A127</f>
        <v>Perempuan</v>
      </c>
      <c r="B127" t="str">
        <f>Sosiometri!B127</f>
        <v>41-50 tahun</v>
      </c>
      <c r="C127" t="str">
        <f>Sosiometri!C127</f>
        <v>SMA/SMK/SPK</v>
      </c>
      <c r="D127" t="str">
        <f>Sosiometri!D127</f>
        <v>&gt; 5 tahun</v>
      </c>
      <c r="E127" t="str">
        <f>Sosiometri!E127</f>
        <v>Staf Pelaksana</v>
      </c>
      <c r="F127">
        <f>Form_Responses1[[#This Row],[Column9]]</f>
        <v>3</v>
      </c>
      <c r="G127">
        <f>Form_Responses1[[#This Row],[Column10]]</f>
        <v>2</v>
      </c>
      <c r="H127">
        <f>Form_Responses1[[#This Row],[Column11]]</f>
        <v>1</v>
      </c>
      <c r="I127">
        <f>Form_Responses1[[#This Row],[Column12]]</f>
        <v>2</v>
      </c>
      <c r="J127">
        <f>Form_Responses1[[#This Row],[Column13]]</f>
        <v>3</v>
      </c>
      <c r="K127">
        <f>Form_Responses1[[#This Row],[Column14]]</f>
        <v>3</v>
      </c>
      <c r="L127">
        <f>Form_Responses1[[#This Row],[Column15]]</f>
        <v>4</v>
      </c>
      <c r="M127">
        <f>Form_Responses1[[#This Row],[Column16]]</f>
        <v>3</v>
      </c>
      <c r="N127">
        <f>Form_Responses1[[#This Row],[Column17]]</f>
        <v>4</v>
      </c>
      <c r="O127">
        <f>Form_Responses1[[#This Row],[Column18]]</f>
        <v>3</v>
      </c>
      <c r="P127">
        <f>Form_Responses1[[#This Row],[Column19]]</f>
        <v>4</v>
      </c>
      <c r="Q127">
        <f>Form_Responses1[[#This Row],[Column20]]</f>
        <v>3</v>
      </c>
      <c r="R127">
        <f>Form_Responses1[[#This Row],[Column21]]</f>
        <v>3</v>
      </c>
      <c r="S127">
        <f>Form_Responses1[[#This Row],[Column22]]</f>
        <v>2</v>
      </c>
      <c r="T127">
        <f>Form_Responses1[[#This Row],[Column23]]</f>
        <v>3</v>
      </c>
      <c r="U127">
        <f>Form_Responses1[[#This Row],[Column24]]</f>
        <v>2</v>
      </c>
      <c r="V127">
        <f>Form_Responses1[[#This Row],[Column25]]</f>
        <v>3</v>
      </c>
      <c r="W127">
        <f>Form_Responses1[[#This Row],[Column26]]</f>
        <v>3</v>
      </c>
      <c r="X127">
        <f>Form_Responses1[[#This Row],[Column27]]</f>
        <v>3</v>
      </c>
      <c r="Y127">
        <f>Form_Responses1[[#This Row],[Column28]]</f>
        <v>2</v>
      </c>
      <c r="Z127">
        <f t="shared" si="1"/>
        <v>56</v>
      </c>
      <c r="AA127">
        <f>AVERAGE('Karakteristik yang Dominan'!E128,'Kepemimpinan dalam Rumah Sakit'!E128,'Pengelolaan Pegawai'!E128,'Perekat Rumah Sakit'!E128,'Strategi yang Ditekankan'!E128,'Kriteria dari Kesuksesan'!E128)</f>
        <v>28.333333333333332</v>
      </c>
      <c r="AB127">
        <f>AVERAGE('Karakteristik yang Dominan'!F128,'Kepemimpinan dalam Rumah Sakit'!F128,'Pengelolaan Pegawai'!F128,'Perekat Rumah Sakit'!F128,'Strategi yang Ditekankan'!F128,'Kriteria dari Kesuksesan'!F128)</f>
        <v>25.833333333333332</v>
      </c>
      <c r="AC127">
        <f>AVERAGE('Karakteristik yang Dominan'!G128,'Kepemimpinan dalam Rumah Sakit'!G128,'Pengelolaan Pegawai'!G128,'Perekat Rumah Sakit'!G128,'Strategi yang Ditekankan'!G128,'Kriteria dari Kesuksesan'!G128)</f>
        <v>25.833333333333332</v>
      </c>
      <c r="AD127">
        <f>AVERAGE('Karakteristik yang Dominan'!H128,'Kepemimpinan dalam Rumah Sakit'!H128,'Pengelolaan Pegawai'!H128,'Perekat Rumah Sakit'!H128,'Strategi yang Ditekankan'!H128,'Kriteria dari Kesuksesan'!H128)</f>
        <v>20</v>
      </c>
      <c r="AE127" s="48">
        <v>4.26</v>
      </c>
    </row>
    <row r="128" spans="1:31">
      <c r="A128" t="str">
        <f>Sosiometri!A128</f>
        <v>Perempuan</v>
      </c>
      <c r="B128" t="str">
        <f>Sosiometri!B128</f>
        <v>41-50 tahun</v>
      </c>
      <c r="C128" t="str">
        <f>Sosiometri!C128</f>
        <v>SMA/SMK/SPK</v>
      </c>
      <c r="D128" t="str">
        <f>Sosiometri!D128</f>
        <v>&gt; 5 tahun</v>
      </c>
      <c r="E128" t="str">
        <f>Sosiometri!E128</f>
        <v>Staf Pelaksana</v>
      </c>
      <c r="F128">
        <f>Form_Responses1[[#This Row],[Column9]]</f>
        <v>4</v>
      </c>
      <c r="G128">
        <f>Form_Responses1[[#This Row],[Column10]]</f>
        <v>4</v>
      </c>
      <c r="H128">
        <f>Form_Responses1[[#This Row],[Column11]]</f>
        <v>3</v>
      </c>
      <c r="I128">
        <f>Form_Responses1[[#This Row],[Column12]]</f>
        <v>4</v>
      </c>
      <c r="J128">
        <f>Form_Responses1[[#This Row],[Column13]]</f>
        <v>4</v>
      </c>
      <c r="K128">
        <f>Form_Responses1[[#This Row],[Column14]]</f>
        <v>4</v>
      </c>
      <c r="L128">
        <f>Form_Responses1[[#This Row],[Column15]]</f>
        <v>4</v>
      </c>
      <c r="M128">
        <f>Form_Responses1[[#This Row],[Column16]]</f>
        <v>4</v>
      </c>
      <c r="N128">
        <f>Form_Responses1[[#This Row],[Column17]]</f>
        <v>4</v>
      </c>
      <c r="O128">
        <f>Form_Responses1[[#This Row],[Column18]]</f>
        <v>4</v>
      </c>
      <c r="P128">
        <f>Form_Responses1[[#This Row],[Column19]]</f>
        <v>4</v>
      </c>
      <c r="Q128">
        <f>Form_Responses1[[#This Row],[Column20]]</f>
        <v>3</v>
      </c>
      <c r="R128">
        <f>Form_Responses1[[#This Row],[Column21]]</f>
        <v>3</v>
      </c>
      <c r="S128">
        <f>Form_Responses1[[#This Row],[Column22]]</f>
        <v>4</v>
      </c>
      <c r="T128">
        <f>Form_Responses1[[#This Row],[Column23]]</f>
        <v>3</v>
      </c>
      <c r="U128">
        <f>Form_Responses1[[#This Row],[Column24]]</f>
        <v>3</v>
      </c>
      <c r="V128">
        <f>Form_Responses1[[#This Row],[Column25]]</f>
        <v>4</v>
      </c>
      <c r="W128">
        <f>Form_Responses1[[#This Row],[Column26]]</f>
        <v>4</v>
      </c>
      <c r="X128">
        <f>Form_Responses1[[#This Row],[Column27]]</f>
        <v>3</v>
      </c>
      <c r="Y128">
        <f>Form_Responses1[[#This Row],[Column28]]</f>
        <v>3</v>
      </c>
      <c r="Z128">
        <f t="shared" si="1"/>
        <v>73</v>
      </c>
      <c r="AA128">
        <f>AVERAGE('Karakteristik yang Dominan'!E129,'Kepemimpinan dalam Rumah Sakit'!E129,'Pengelolaan Pegawai'!E129,'Perekat Rumah Sakit'!E129,'Strategi yang Ditekankan'!E129,'Kriteria dari Kesuksesan'!E129)</f>
        <v>23.333333333333332</v>
      </c>
      <c r="AB128">
        <f>AVERAGE('Karakteristik yang Dominan'!F129,'Kepemimpinan dalam Rumah Sakit'!F129,'Pengelolaan Pegawai'!F129,'Perekat Rumah Sakit'!F129,'Strategi yang Ditekankan'!F129,'Kriteria dari Kesuksesan'!F129)</f>
        <v>25</v>
      </c>
      <c r="AC128">
        <f>AVERAGE('Karakteristik yang Dominan'!G129,'Kepemimpinan dalam Rumah Sakit'!G129,'Pengelolaan Pegawai'!G129,'Perekat Rumah Sakit'!G129,'Strategi yang Ditekankan'!G129,'Kriteria dari Kesuksesan'!G129)</f>
        <v>23.333333333333332</v>
      </c>
      <c r="AD128">
        <f>AVERAGE('Karakteristik yang Dominan'!H129,'Kepemimpinan dalam Rumah Sakit'!H129,'Pengelolaan Pegawai'!H129,'Perekat Rumah Sakit'!H129,'Strategi yang Ditekankan'!H129,'Kriteria dari Kesuksesan'!H129)</f>
        <v>28.333333333333332</v>
      </c>
      <c r="AE128" s="49">
        <v>4.3499999999999996</v>
      </c>
    </row>
    <row r="129" spans="1:31">
      <c r="A129" t="str">
        <f>Sosiometri!A129</f>
        <v>Perempuan</v>
      </c>
      <c r="B129" t="str">
        <f>Sosiometri!B129</f>
        <v>41-50 tahun</v>
      </c>
      <c r="C129" t="str">
        <f>Sosiometri!C129</f>
        <v>SMA/SMK/SPK</v>
      </c>
      <c r="D129" t="str">
        <f>Sosiometri!D129</f>
        <v>&gt; 5 tahun</v>
      </c>
      <c r="E129" t="str">
        <f>Sosiometri!E129</f>
        <v>Staf Pelaksana</v>
      </c>
      <c r="F129">
        <f>Form_Responses1[[#This Row],[Column9]]</f>
        <v>4</v>
      </c>
      <c r="G129">
        <f>Form_Responses1[[#This Row],[Column10]]</f>
        <v>4</v>
      </c>
      <c r="H129">
        <f>Form_Responses1[[#This Row],[Column11]]</f>
        <v>4</v>
      </c>
      <c r="I129">
        <f>Form_Responses1[[#This Row],[Column12]]</f>
        <v>4</v>
      </c>
      <c r="J129">
        <f>Form_Responses1[[#This Row],[Column13]]</f>
        <v>4</v>
      </c>
      <c r="K129">
        <f>Form_Responses1[[#This Row],[Column14]]</f>
        <v>4</v>
      </c>
      <c r="L129">
        <f>Form_Responses1[[#This Row],[Column15]]</f>
        <v>4</v>
      </c>
      <c r="M129">
        <f>Form_Responses1[[#This Row],[Column16]]</f>
        <v>4</v>
      </c>
      <c r="N129">
        <f>Form_Responses1[[#This Row],[Column17]]</f>
        <v>4</v>
      </c>
      <c r="O129">
        <f>Form_Responses1[[#This Row],[Column18]]</f>
        <v>4</v>
      </c>
      <c r="P129">
        <f>Form_Responses1[[#This Row],[Column19]]</f>
        <v>3</v>
      </c>
      <c r="Q129">
        <f>Form_Responses1[[#This Row],[Column20]]</f>
        <v>3</v>
      </c>
      <c r="R129">
        <f>Form_Responses1[[#This Row],[Column21]]</f>
        <v>4</v>
      </c>
      <c r="S129">
        <f>Form_Responses1[[#This Row],[Column22]]</f>
        <v>4</v>
      </c>
      <c r="T129">
        <f>Form_Responses1[[#This Row],[Column23]]</f>
        <v>3</v>
      </c>
      <c r="U129">
        <f>Form_Responses1[[#This Row],[Column24]]</f>
        <v>3</v>
      </c>
      <c r="V129">
        <f>Form_Responses1[[#This Row],[Column25]]</f>
        <v>3</v>
      </c>
      <c r="W129">
        <f>Form_Responses1[[#This Row],[Column26]]</f>
        <v>4</v>
      </c>
      <c r="X129">
        <f>Form_Responses1[[#This Row],[Column27]]</f>
        <v>3</v>
      </c>
      <c r="Y129">
        <f>Form_Responses1[[#This Row],[Column28]]</f>
        <v>3</v>
      </c>
      <c r="Z129">
        <f t="shared" si="1"/>
        <v>73</v>
      </c>
      <c r="AA129">
        <f>AVERAGE('Karakteristik yang Dominan'!E130,'Kepemimpinan dalam Rumah Sakit'!E130,'Pengelolaan Pegawai'!E130,'Perekat Rumah Sakit'!E130,'Strategi yang Ditekankan'!E130,'Kriteria dari Kesuksesan'!E130)</f>
        <v>51.666666666666664</v>
      </c>
      <c r="AB129">
        <f>AVERAGE('Karakteristik yang Dominan'!F130,'Kepemimpinan dalam Rumah Sakit'!F130,'Pengelolaan Pegawai'!F130,'Perekat Rumah Sakit'!F130,'Strategi yang Ditekankan'!F130,'Kriteria dari Kesuksesan'!F130)</f>
        <v>22.5</v>
      </c>
      <c r="AC129">
        <f>AVERAGE('Karakteristik yang Dominan'!G130,'Kepemimpinan dalam Rumah Sakit'!G130,'Pengelolaan Pegawai'!G130,'Perekat Rumah Sakit'!G130,'Strategi yang Ditekankan'!G130,'Kriteria dari Kesuksesan'!G130)</f>
        <v>11.666666666666666</v>
      </c>
      <c r="AD129">
        <f>AVERAGE('Karakteristik yang Dominan'!H130,'Kepemimpinan dalam Rumah Sakit'!H130,'Pengelolaan Pegawai'!H130,'Perekat Rumah Sakit'!H130,'Strategi yang Ditekankan'!H130,'Kriteria dari Kesuksesan'!H130)</f>
        <v>14.166666666666666</v>
      </c>
      <c r="AE129" s="48">
        <v>4.55</v>
      </c>
    </row>
    <row r="130" spans="1:31">
      <c r="A130" t="str">
        <f>Sosiometri!A130</f>
        <v>Perempuan</v>
      </c>
      <c r="B130" t="str">
        <f>Sosiometri!B130</f>
        <v>31-40 tahun</v>
      </c>
      <c r="C130" t="str">
        <f>Sosiometri!C130</f>
        <v>D3</v>
      </c>
      <c r="D130" t="str">
        <f>Sosiometri!D130</f>
        <v>&gt;3-5 tahun</v>
      </c>
      <c r="E130" t="str">
        <f>Sosiometri!E130</f>
        <v>Staf Pelaksana</v>
      </c>
      <c r="F130">
        <f>Form_Responses1[[#This Row],[Column9]]</f>
        <v>4</v>
      </c>
      <c r="G130">
        <f>Form_Responses1[[#This Row],[Column10]]</f>
        <v>5</v>
      </c>
      <c r="H130">
        <f>Form_Responses1[[#This Row],[Column11]]</f>
        <v>4</v>
      </c>
      <c r="I130">
        <f>Form_Responses1[[#This Row],[Column12]]</f>
        <v>5</v>
      </c>
      <c r="J130">
        <f>Form_Responses1[[#This Row],[Column13]]</f>
        <v>5</v>
      </c>
      <c r="K130">
        <f>Form_Responses1[[#This Row],[Column14]]</f>
        <v>5</v>
      </c>
      <c r="L130">
        <f>Form_Responses1[[#This Row],[Column15]]</f>
        <v>5</v>
      </c>
      <c r="M130">
        <f>Form_Responses1[[#This Row],[Column16]]</f>
        <v>4</v>
      </c>
      <c r="N130">
        <f>Form_Responses1[[#This Row],[Column17]]</f>
        <v>4</v>
      </c>
      <c r="O130">
        <f>Form_Responses1[[#This Row],[Column18]]</f>
        <v>4</v>
      </c>
      <c r="P130">
        <f>Form_Responses1[[#This Row],[Column19]]</f>
        <v>5</v>
      </c>
      <c r="Q130">
        <f>Form_Responses1[[#This Row],[Column20]]</f>
        <v>4</v>
      </c>
      <c r="R130">
        <f>Form_Responses1[[#This Row],[Column21]]</f>
        <v>4</v>
      </c>
      <c r="S130">
        <f>Form_Responses1[[#This Row],[Column22]]</f>
        <v>4</v>
      </c>
      <c r="T130">
        <f>Form_Responses1[[#This Row],[Column23]]</f>
        <v>5</v>
      </c>
      <c r="U130">
        <f>Form_Responses1[[#This Row],[Column24]]</f>
        <v>4</v>
      </c>
      <c r="V130">
        <f>Form_Responses1[[#This Row],[Column25]]</f>
        <v>4</v>
      </c>
      <c r="W130">
        <f>Form_Responses1[[#This Row],[Column26]]</f>
        <v>4</v>
      </c>
      <c r="X130">
        <f>Form_Responses1[[#This Row],[Column27]]</f>
        <v>4</v>
      </c>
      <c r="Y130">
        <f>Form_Responses1[[#This Row],[Column28]]</f>
        <v>4</v>
      </c>
      <c r="Z130">
        <f t="shared" si="1"/>
        <v>87</v>
      </c>
      <c r="AA130">
        <f>AVERAGE('Karakteristik yang Dominan'!E131,'Kepemimpinan dalam Rumah Sakit'!E131,'Pengelolaan Pegawai'!E131,'Perekat Rumah Sakit'!E131,'Strategi yang Ditekankan'!E131,'Kriteria dari Kesuksesan'!E131)</f>
        <v>30</v>
      </c>
      <c r="AB130">
        <f>AVERAGE('Karakteristik yang Dominan'!F131,'Kepemimpinan dalam Rumah Sakit'!F131,'Pengelolaan Pegawai'!F131,'Perekat Rumah Sakit'!F131,'Strategi yang Ditekankan'!F131,'Kriteria dari Kesuksesan'!F131)</f>
        <v>10</v>
      </c>
      <c r="AC130">
        <f>AVERAGE('Karakteristik yang Dominan'!G131,'Kepemimpinan dalam Rumah Sakit'!G131,'Pengelolaan Pegawai'!G131,'Perekat Rumah Sakit'!G131,'Strategi yang Ditekankan'!G131,'Kriteria dari Kesuksesan'!G131)</f>
        <v>20</v>
      </c>
      <c r="AD130">
        <f>AVERAGE('Karakteristik yang Dominan'!H131,'Kepemimpinan dalam Rumah Sakit'!H131,'Pengelolaan Pegawai'!H131,'Perekat Rumah Sakit'!H131,'Strategi yang Ditekankan'!H131,'Kriteria dari Kesuksesan'!H131)</f>
        <v>40</v>
      </c>
      <c r="AE130" s="49">
        <v>4.42</v>
      </c>
    </row>
    <row r="131" spans="1:31">
      <c r="A131" t="str">
        <f>Sosiometri!A131</f>
        <v>Laki-Laki</v>
      </c>
      <c r="B131" t="str">
        <f>Sosiometri!B131</f>
        <v>31-40 tahun</v>
      </c>
      <c r="C131" t="str">
        <f>Sosiometri!C131</f>
        <v>D4</v>
      </c>
      <c r="D131" t="str">
        <f>Sosiometri!D131</f>
        <v>&gt;3-5 tahun</v>
      </c>
      <c r="E131" t="str">
        <f>Sosiometri!E131</f>
        <v>Staf Pelaksana</v>
      </c>
      <c r="F131">
        <f>Form_Responses1[[#This Row],[Column9]]</f>
        <v>2</v>
      </c>
      <c r="G131">
        <f>Form_Responses1[[#This Row],[Column10]]</f>
        <v>3</v>
      </c>
      <c r="H131">
        <f>Form_Responses1[[#This Row],[Column11]]</f>
        <v>3</v>
      </c>
      <c r="I131">
        <f>Form_Responses1[[#This Row],[Column12]]</f>
        <v>2</v>
      </c>
      <c r="J131">
        <f>Form_Responses1[[#This Row],[Column13]]</f>
        <v>2</v>
      </c>
      <c r="K131">
        <f>Form_Responses1[[#This Row],[Column14]]</f>
        <v>3</v>
      </c>
      <c r="L131">
        <f>Form_Responses1[[#This Row],[Column15]]</f>
        <v>3</v>
      </c>
      <c r="M131">
        <f>Form_Responses1[[#This Row],[Column16]]</f>
        <v>3</v>
      </c>
      <c r="N131">
        <f>Form_Responses1[[#This Row],[Column17]]</f>
        <v>3</v>
      </c>
      <c r="O131">
        <f>Form_Responses1[[#This Row],[Column18]]</f>
        <v>3</v>
      </c>
      <c r="P131">
        <f>Form_Responses1[[#This Row],[Column19]]</f>
        <v>3</v>
      </c>
      <c r="Q131">
        <f>Form_Responses1[[#This Row],[Column20]]</f>
        <v>2</v>
      </c>
      <c r="R131">
        <f>Form_Responses1[[#This Row],[Column21]]</f>
        <v>2</v>
      </c>
      <c r="S131">
        <f>Form_Responses1[[#This Row],[Column22]]</f>
        <v>3</v>
      </c>
      <c r="T131">
        <f>Form_Responses1[[#This Row],[Column23]]</f>
        <v>3</v>
      </c>
      <c r="U131">
        <f>Form_Responses1[[#This Row],[Column24]]</f>
        <v>2</v>
      </c>
      <c r="V131">
        <f>Form_Responses1[[#This Row],[Column25]]</f>
        <v>2</v>
      </c>
      <c r="W131">
        <f>Form_Responses1[[#This Row],[Column26]]</f>
        <v>2</v>
      </c>
      <c r="X131">
        <f>Form_Responses1[[#This Row],[Column27]]</f>
        <v>3</v>
      </c>
      <c r="Y131">
        <f>Form_Responses1[[#This Row],[Column28]]</f>
        <v>2</v>
      </c>
      <c r="Z131">
        <f t="shared" ref="Z131:Z132" si="2">SUM(F131:Y131)</f>
        <v>51</v>
      </c>
      <c r="AA131">
        <f>AVERAGE('Karakteristik yang Dominan'!E132,'Kepemimpinan dalam Rumah Sakit'!E132,'Pengelolaan Pegawai'!E132,'Perekat Rumah Sakit'!E132,'Strategi yang Ditekankan'!E132,'Kriteria dari Kesuksesan'!E132)</f>
        <v>55</v>
      </c>
      <c r="AB131">
        <f>AVERAGE('Karakteristik yang Dominan'!F132,'Kepemimpinan dalam Rumah Sakit'!F132,'Pengelolaan Pegawai'!F132,'Perekat Rumah Sakit'!F132,'Strategi yang Ditekankan'!F132,'Kriteria dari Kesuksesan'!F132)</f>
        <v>21.666666666666668</v>
      </c>
      <c r="AC131">
        <f>AVERAGE('Karakteristik yang Dominan'!G132,'Kepemimpinan dalam Rumah Sakit'!G132,'Pengelolaan Pegawai'!G132,'Perekat Rumah Sakit'!G132,'Strategi yang Ditekankan'!G132,'Kriteria dari Kesuksesan'!G132)</f>
        <v>11.666666666666666</v>
      </c>
      <c r="AD131">
        <f>AVERAGE('Karakteristik yang Dominan'!H132,'Kepemimpinan dalam Rumah Sakit'!H132,'Pengelolaan Pegawai'!H132,'Perekat Rumah Sakit'!H132,'Strategi yang Ditekankan'!H132,'Kriteria dari Kesuksesan'!H132)</f>
        <v>11.666666666666666</v>
      </c>
      <c r="AE131" s="48">
        <v>3.88</v>
      </c>
    </row>
    <row r="132" spans="1:31">
      <c r="A132" t="str">
        <f>Sosiometri!A132</f>
        <v>Perempuan</v>
      </c>
      <c r="B132" t="str">
        <f>Sosiometri!B132</f>
        <v>41-50 tahun</v>
      </c>
      <c r="C132" t="str">
        <f>Sosiometri!C132</f>
        <v>SMA/SMK/SPK</v>
      </c>
      <c r="D132" t="str">
        <f>Sosiometri!D132</f>
        <v>&gt; 5 tahun</v>
      </c>
      <c r="E132" t="str">
        <f>Sosiometri!E132</f>
        <v>Staf Pelaksana</v>
      </c>
      <c r="F132">
        <f>Form_Responses1[[#This Row],[Column9]]</f>
        <v>2</v>
      </c>
      <c r="G132">
        <f>Form_Responses1[[#This Row],[Column10]]</f>
        <v>3</v>
      </c>
      <c r="H132">
        <f>Form_Responses1[[#This Row],[Column11]]</f>
        <v>4</v>
      </c>
      <c r="I132">
        <f>Form_Responses1[[#This Row],[Column12]]</f>
        <v>4</v>
      </c>
      <c r="J132">
        <f>Form_Responses1[[#This Row],[Column13]]</f>
        <v>3</v>
      </c>
      <c r="K132">
        <f>Form_Responses1[[#This Row],[Column14]]</f>
        <v>4</v>
      </c>
      <c r="L132">
        <f>Form_Responses1[[#This Row],[Column15]]</f>
        <v>3</v>
      </c>
      <c r="M132">
        <f>Form_Responses1[[#This Row],[Column16]]</f>
        <v>4</v>
      </c>
      <c r="N132">
        <f>Form_Responses1[[#This Row],[Column17]]</f>
        <v>4</v>
      </c>
      <c r="O132">
        <f>Form_Responses1[[#This Row],[Column18]]</f>
        <v>3</v>
      </c>
      <c r="P132">
        <f>Form_Responses1[[#This Row],[Column19]]</f>
        <v>2</v>
      </c>
      <c r="Q132">
        <f>Form_Responses1[[#This Row],[Column20]]</f>
        <v>2</v>
      </c>
      <c r="R132">
        <f>Form_Responses1[[#This Row],[Column21]]</f>
        <v>2</v>
      </c>
      <c r="S132">
        <f>Form_Responses1[[#This Row],[Column22]]</f>
        <v>4</v>
      </c>
      <c r="T132">
        <f>Form_Responses1[[#This Row],[Column23]]</f>
        <v>3</v>
      </c>
      <c r="U132">
        <f>Form_Responses1[[#This Row],[Column24]]</f>
        <v>2</v>
      </c>
      <c r="V132">
        <f>Form_Responses1[[#This Row],[Column25]]</f>
        <v>3</v>
      </c>
      <c r="W132">
        <f>Form_Responses1[[#This Row],[Column26]]</f>
        <v>2</v>
      </c>
      <c r="X132">
        <f>Form_Responses1[[#This Row],[Column27]]</f>
        <v>2</v>
      </c>
      <c r="Y132">
        <f>Form_Responses1[[#This Row],[Column28]]</f>
        <v>3</v>
      </c>
      <c r="Z132">
        <f t="shared" si="2"/>
        <v>59</v>
      </c>
      <c r="AA132">
        <f>AVERAGE('Karakteristik yang Dominan'!E133,'Kepemimpinan dalam Rumah Sakit'!E133,'Pengelolaan Pegawai'!E133,'Perekat Rumah Sakit'!E133,'Strategi yang Ditekankan'!E133,'Kriteria dari Kesuksesan'!E133)</f>
        <v>26.666666666666668</v>
      </c>
      <c r="AB132">
        <f>AVERAGE('Karakteristik yang Dominan'!F133,'Kepemimpinan dalam Rumah Sakit'!F133,'Pengelolaan Pegawai'!F133,'Perekat Rumah Sakit'!F133,'Strategi yang Ditekankan'!F133,'Kriteria dari Kesuksesan'!F133)</f>
        <v>23.333333333333332</v>
      </c>
      <c r="AC132">
        <f>AVERAGE('Karakteristik yang Dominan'!G133,'Kepemimpinan dalam Rumah Sakit'!G133,'Pengelolaan Pegawai'!G133,'Perekat Rumah Sakit'!G133,'Strategi yang Ditekankan'!G133,'Kriteria dari Kesuksesan'!G133)</f>
        <v>26.666666666666668</v>
      </c>
      <c r="AD132">
        <f>AVERAGE('Karakteristik yang Dominan'!H133,'Kepemimpinan dalam Rumah Sakit'!H133,'Pengelolaan Pegawai'!H133,'Perekat Rumah Sakit'!H133,'Strategi yang Ditekankan'!H133,'Kriteria dari Kesuksesan'!H133)</f>
        <v>23.333333333333332</v>
      </c>
      <c r="AE132" s="49">
        <v>4.07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72B6-4B60-480C-835C-0ECEFA306505}">
  <dimension ref="A1:E185"/>
  <sheetViews>
    <sheetView workbookViewId="0">
      <selection activeCell="D12" sqref="D12"/>
    </sheetView>
  </sheetViews>
  <sheetFormatPr defaultRowHeight="14.5"/>
  <cols>
    <col min="1" max="2" width="18.81640625" customWidth="1"/>
    <col min="3" max="3" width="9.453125" customWidth="1"/>
    <col min="4" max="5" width="18.81640625" customWidth="1"/>
  </cols>
  <sheetData>
    <row r="1" spans="1: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</row>
    <row r="2" spans="1:5">
      <c r="A2" s="5" t="s">
        <v>11</v>
      </c>
      <c r="B2" s="5" t="s">
        <v>12</v>
      </c>
      <c r="C2" s="5" t="s">
        <v>13</v>
      </c>
      <c r="D2" s="5" t="s">
        <v>14</v>
      </c>
      <c r="E2" s="5" t="s">
        <v>15</v>
      </c>
    </row>
    <row r="3" spans="1:5">
      <c r="A3" s="9" t="s">
        <v>11</v>
      </c>
      <c r="B3" s="9" t="s">
        <v>17</v>
      </c>
      <c r="C3" s="9" t="s">
        <v>18</v>
      </c>
      <c r="D3" s="9" t="s">
        <v>14</v>
      </c>
      <c r="E3" s="9" t="s">
        <v>19</v>
      </c>
    </row>
    <row r="4" spans="1:5">
      <c r="A4" s="5" t="s">
        <v>11</v>
      </c>
      <c r="B4" s="5" t="s">
        <v>17</v>
      </c>
      <c r="C4" s="5" t="s">
        <v>18</v>
      </c>
      <c r="D4" s="5" t="s">
        <v>14</v>
      </c>
      <c r="E4" s="5" t="s">
        <v>20</v>
      </c>
    </row>
    <row r="5" spans="1:5">
      <c r="A5" s="9" t="s">
        <v>11</v>
      </c>
      <c r="B5" s="9" t="s">
        <v>17</v>
      </c>
      <c r="C5" s="9" t="s">
        <v>18</v>
      </c>
      <c r="D5" s="9" t="s">
        <v>14</v>
      </c>
      <c r="E5" s="9" t="s">
        <v>19</v>
      </c>
    </row>
    <row r="6" spans="1:5">
      <c r="A6" s="5" t="s">
        <v>21</v>
      </c>
      <c r="B6" s="5" t="s">
        <v>22</v>
      </c>
      <c r="C6" s="5" t="s">
        <v>18</v>
      </c>
      <c r="D6" s="5" t="s">
        <v>23</v>
      </c>
      <c r="E6" s="5" t="s">
        <v>19</v>
      </c>
    </row>
    <row r="7" spans="1:5">
      <c r="A7" s="9" t="s">
        <v>21</v>
      </c>
      <c r="B7" s="9" t="s">
        <v>24</v>
      </c>
      <c r="C7" s="9" t="s">
        <v>18</v>
      </c>
      <c r="D7" s="9" t="s">
        <v>25</v>
      </c>
      <c r="E7" s="9" t="s">
        <v>19</v>
      </c>
    </row>
    <row r="8" spans="1:5">
      <c r="A8" s="5" t="s">
        <v>11</v>
      </c>
      <c r="B8" s="5" t="s">
        <v>24</v>
      </c>
      <c r="C8" s="5" t="s">
        <v>13</v>
      </c>
      <c r="D8" s="5" t="s">
        <v>25</v>
      </c>
      <c r="E8" s="5" t="s">
        <v>19</v>
      </c>
    </row>
    <row r="9" spans="1:5">
      <c r="A9" s="9" t="s">
        <v>11</v>
      </c>
      <c r="B9" s="9" t="s">
        <v>24</v>
      </c>
      <c r="C9" s="9" t="s">
        <v>13</v>
      </c>
      <c r="D9" s="9" t="s">
        <v>23</v>
      </c>
      <c r="E9" s="9" t="s">
        <v>19</v>
      </c>
    </row>
    <row r="10" spans="1:5">
      <c r="A10" s="5" t="s">
        <v>21</v>
      </c>
      <c r="B10" s="5" t="s">
        <v>24</v>
      </c>
      <c r="C10" s="5" t="s">
        <v>13</v>
      </c>
      <c r="D10" s="5" t="s">
        <v>25</v>
      </c>
      <c r="E10" s="5" t="s">
        <v>19</v>
      </c>
    </row>
    <row r="11" spans="1:5">
      <c r="A11" s="9" t="s">
        <v>21</v>
      </c>
      <c r="B11" s="9" t="s">
        <v>24</v>
      </c>
      <c r="C11" s="9" t="s">
        <v>13</v>
      </c>
      <c r="D11" s="9" t="s">
        <v>25</v>
      </c>
      <c r="E11" s="9" t="s">
        <v>19</v>
      </c>
    </row>
    <row r="12" spans="1:5">
      <c r="A12" s="5" t="s">
        <v>11</v>
      </c>
      <c r="B12" s="5" t="s">
        <v>24</v>
      </c>
      <c r="C12" s="5" t="s">
        <v>13</v>
      </c>
      <c r="D12" s="5" t="s">
        <v>23</v>
      </c>
      <c r="E12" s="5" t="s">
        <v>27</v>
      </c>
    </row>
    <row r="13" spans="1:5">
      <c r="A13" s="9" t="s">
        <v>11</v>
      </c>
      <c r="B13" s="9" t="s">
        <v>24</v>
      </c>
      <c r="C13" s="9" t="s">
        <v>18</v>
      </c>
      <c r="D13" s="9" t="s">
        <v>29</v>
      </c>
      <c r="E13" s="9" t="s">
        <v>19</v>
      </c>
    </row>
    <row r="14" spans="1:5">
      <c r="A14" s="5" t="s">
        <v>21</v>
      </c>
      <c r="B14" s="5" t="s">
        <v>24</v>
      </c>
      <c r="C14" s="5" t="s">
        <v>18</v>
      </c>
      <c r="D14" s="5" t="s">
        <v>29</v>
      </c>
      <c r="E14" s="5" t="s">
        <v>19</v>
      </c>
    </row>
    <row r="15" spans="1:5">
      <c r="A15" s="9" t="s">
        <v>11</v>
      </c>
      <c r="B15" s="9" t="s">
        <v>24</v>
      </c>
      <c r="C15" s="9" t="s">
        <v>18</v>
      </c>
      <c r="D15" s="9" t="s">
        <v>29</v>
      </c>
      <c r="E15" s="9" t="s">
        <v>19</v>
      </c>
    </row>
    <row r="16" spans="1:5">
      <c r="A16" s="5" t="s">
        <v>11</v>
      </c>
      <c r="B16" s="5" t="s">
        <v>17</v>
      </c>
      <c r="C16" s="5" t="s">
        <v>13</v>
      </c>
      <c r="D16" s="5" t="s">
        <v>29</v>
      </c>
      <c r="E16" s="5" t="s">
        <v>19</v>
      </c>
    </row>
    <row r="17" spans="1:5">
      <c r="A17" s="9" t="s">
        <v>11</v>
      </c>
      <c r="B17" s="9" t="s">
        <v>17</v>
      </c>
      <c r="C17" s="9" t="s">
        <v>13</v>
      </c>
      <c r="D17" s="9" t="s">
        <v>29</v>
      </c>
      <c r="E17" s="9" t="s">
        <v>19</v>
      </c>
    </row>
    <row r="18" spans="1:5">
      <c r="A18" s="5" t="s">
        <v>11</v>
      </c>
      <c r="B18" s="5" t="s">
        <v>24</v>
      </c>
      <c r="C18" s="5" t="s">
        <v>13</v>
      </c>
      <c r="D18" s="5" t="s">
        <v>29</v>
      </c>
      <c r="E18" s="5" t="s">
        <v>19</v>
      </c>
    </row>
    <row r="19" spans="1:5">
      <c r="A19" s="9" t="s">
        <v>11</v>
      </c>
      <c r="B19" s="9" t="s">
        <v>12</v>
      </c>
      <c r="C19" s="9" t="s">
        <v>30</v>
      </c>
      <c r="D19" s="9" t="s">
        <v>14</v>
      </c>
      <c r="E19" s="9" t="s">
        <v>19</v>
      </c>
    </row>
    <row r="20" spans="1:5">
      <c r="A20" s="5" t="s">
        <v>11</v>
      </c>
      <c r="B20" s="5" t="s">
        <v>12</v>
      </c>
      <c r="C20" s="5" t="s">
        <v>18</v>
      </c>
      <c r="D20" s="5" t="s">
        <v>14</v>
      </c>
      <c r="E20" s="5" t="s">
        <v>19</v>
      </c>
    </row>
    <row r="21" spans="1:5">
      <c r="A21" s="9" t="s">
        <v>21</v>
      </c>
      <c r="B21" s="9" t="s">
        <v>24</v>
      </c>
      <c r="C21" s="9" t="s">
        <v>13</v>
      </c>
      <c r="D21" s="9" t="s">
        <v>25</v>
      </c>
      <c r="E21" s="9" t="s">
        <v>19</v>
      </c>
    </row>
    <row r="22" spans="1:5">
      <c r="A22" s="5" t="s">
        <v>11</v>
      </c>
      <c r="B22" s="5" t="s">
        <v>17</v>
      </c>
      <c r="C22" s="5" t="s">
        <v>30</v>
      </c>
      <c r="D22" s="5" t="s">
        <v>29</v>
      </c>
      <c r="E22" s="5" t="s">
        <v>27</v>
      </c>
    </row>
    <row r="23" spans="1:5">
      <c r="A23" s="9" t="s">
        <v>11</v>
      </c>
      <c r="B23" s="9" t="s">
        <v>24</v>
      </c>
      <c r="C23" s="9" t="s">
        <v>13</v>
      </c>
      <c r="D23" s="9" t="s">
        <v>29</v>
      </c>
      <c r="E23" s="9" t="s">
        <v>19</v>
      </c>
    </row>
    <row r="24" spans="1:5">
      <c r="A24" s="5" t="s">
        <v>11</v>
      </c>
      <c r="B24" s="5" t="s">
        <v>17</v>
      </c>
      <c r="C24" s="5" t="s">
        <v>30</v>
      </c>
      <c r="D24" s="5" t="s">
        <v>14</v>
      </c>
      <c r="E24" s="5" t="s">
        <v>19</v>
      </c>
    </row>
    <row r="25" spans="1:5">
      <c r="A25" s="9" t="s">
        <v>11</v>
      </c>
      <c r="B25" s="9" t="s">
        <v>24</v>
      </c>
      <c r="C25" s="9" t="s">
        <v>13</v>
      </c>
      <c r="D25" s="9" t="s">
        <v>25</v>
      </c>
      <c r="E25" s="9" t="s">
        <v>27</v>
      </c>
    </row>
    <row r="26" spans="1:5">
      <c r="A26" s="5" t="s">
        <v>11</v>
      </c>
      <c r="B26" s="5" t="s">
        <v>24</v>
      </c>
      <c r="C26" s="5" t="s">
        <v>13</v>
      </c>
      <c r="D26" s="5" t="s">
        <v>23</v>
      </c>
      <c r="E26" s="5" t="s">
        <v>19</v>
      </c>
    </row>
    <row r="27" spans="1:5">
      <c r="A27" s="9" t="s">
        <v>21</v>
      </c>
      <c r="B27" s="9" t="s">
        <v>12</v>
      </c>
      <c r="C27" s="9" t="s">
        <v>13</v>
      </c>
      <c r="D27" s="9" t="s">
        <v>14</v>
      </c>
      <c r="E27" s="9" t="s">
        <v>20</v>
      </c>
    </row>
    <row r="28" spans="1:5">
      <c r="A28" s="5" t="s">
        <v>21</v>
      </c>
      <c r="B28" s="5" t="s">
        <v>24</v>
      </c>
      <c r="C28" s="5" t="s">
        <v>18</v>
      </c>
      <c r="D28" s="5" t="s">
        <v>23</v>
      </c>
      <c r="E28" s="5" t="s">
        <v>27</v>
      </c>
    </row>
    <row r="29" spans="1:5">
      <c r="A29" s="9" t="s">
        <v>21</v>
      </c>
      <c r="B29" s="9" t="s">
        <v>17</v>
      </c>
      <c r="C29" s="9" t="s">
        <v>30</v>
      </c>
      <c r="D29" s="9" t="s">
        <v>14</v>
      </c>
      <c r="E29" s="9" t="s">
        <v>19</v>
      </c>
    </row>
    <row r="30" spans="1:5">
      <c r="A30" s="5" t="s">
        <v>11</v>
      </c>
      <c r="B30" s="5" t="s">
        <v>24</v>
      </c>
      <c r="C30" s="5" t="s">
        <v>30</v>
      </c>
      <c r="D30" s="5" t="s">
        <v>29</v>
      </c>
      <c r="E30" s="5" t="s">
        <v>19</v>
      </c>
    </row>
    <row r="31" spans="1:5">
      <c r="A31" s="9" t="s">
        <v>11</v>
      </c>
      <c r="B31" s="9" t="s">
        <v>17</v>
      </c>
      <c r="C31" s="9" t="s">
        <v>30</v>
      </c>
      <c r="D31" s="9" t="s">
        <v>14</v>
      </c>
      <c r="E31" s="9" t="s">
        <v>19</v>
      </c>
    </row>
    <row r="32" spans="1:5">
      <c r="A32" s="5" t="s">
        <v>11</v>
      </c>
      <c r="B32" s="5" t="s">
        <v>17</v>
      </c>
      <c r="C32" s="5" t="s">
        <v>18</v>
      </c>
      <c r="D32" s="5" t="s">
        <v>14</v>
      </c>
      <c r="E32" s="5" t="s">
        <v>19</v>
      </c>
    </row>
    <row r="33" spans="1:5">
      <c r="A33" s="9" t="s">
        <v>21</v>
      </c>
      <c r="B33" s="9" t="s">
        <v>24</v>
      </c>
      <c r="C33" s="9" t="s">
        <v>30</v>
      </c>
      <c r="D33" s="9" t="s">
        <v>14</v>
      </c>
      <c r="E33" s="9" t="s">
        <v>27</v>
      </c>
    </row>
    <row r="34" spans="1:5">
      <c r="A34" s="5" t="s">
        <v>11</v>
      </c>
      <c r="B34" s="5" t="s">
        <v>12</v>
      </c>
      <c r="C34" s="5" t="s">
        <v>18</v>
      </c>
      <c r="D34" s="5" t="s">
        <v>14</v>
      </c>
      <c r="E34" s="5" t="s">
        <v>19</v>
      </c>
    </row>
    <row r="35" spans="1:5">
      <c r="A35" s="9" t="s">
        <v>21</v>
      </c>
      <c r="B35" s="9" t="s">
        <v>17</v>
      </c>
      <c r="C35" s="9" t="s">
        <v>30</v>
      </c>
      <c r="D35" s="9" t="s">
        <v>14</v>
      </c>
      <c r="E35" s="9" t="s">
        <v>19</v>
      </c>
    </row>
    <row r="36" spans="1:5">
      <c r="A36" s="5" t="s">
        <v>21</v>
      </c>
      <c r="B36" s="5" t="s">
        <v>24</v>
      </c>
      <c r="C36" s="5" t="s">
        <v>18</v>
      </c>
      <c r="D36" s="5" t="s">
        <v>25</v>
      </c>
      <c r="E36" s="5" t="s">
        <v>19</v>
      </c>
    </row>
    <row r="37" spans="1:5">
      <c r="A37" s="9" t="s">
        <v>21</v>
      </c>
      <c r="B37" s="9" t="s">
        <v>24</v>
      </c>
      <c r="C37" s="9" t="s">
        <v>30</v>
      </c>
      <c r="D37" s="9" t="s">
        <v>25</v>
      </c>
      <c r="E37" s="9" t="s">
        <v>19</v>
      </c>
    </row>
    <row r="38" spans="1:5">
      <c r="A38" s="5" t="s">
        <v>21</v>
      </c>
      <c r="B38" s="5" t="s">
        <v>24</v>
      </c>
      <c r="C38" s="5" t="s">
        <v>30</v>
      </c>
      <c r="D38" s="5" t="s">
        <v>14</v>
      </c>
      <c r="E38" s="5" t="s">
        <v>19</v>
      </c>
    </row>
    <row r="39" spans="1:5">
      <c r="A39" s="9" t="s">
        <v>11</v>
      </c>
      <c r="B39" s="9" t="s">
        <v>24</v>
      </c>
      <c r="C39" s="9" t="s">
        <v>18</v>
      </c>
      <c r="D39" s="9" t="s">
        <v>29</v>
      </c>
      <c r="E39" s="9" t="s">
        <v>19</v>
      </c>
    </row>
    <row r="40" spans="1:5">
      <c r="A40" s="5" t="s">
        <v>11</v>
      </c>
      <c r="B40" s="5" t="s">
        <v>24</v>
      </c>
      <c r="C40" s="5" t="s">
        <v>13</v>
      </c>
      <c r="D40" s="5" t="s">
        <v>29</v>
      </c>
      <c r="E40" s="5" t="s">
        <v>19</v>
      </c>
    </row>
    <row r="41" spans="1:5">
      <c r="A41" s="9" t="s">
        <v>11</v>
      </c>
      <c r="B41" s="9" t="s">
        <v>17</v>
      </c>
      <c r="C41" s="9" t="s">
        <v>13</v>
      </c>
      <c r="D41" s="9" t="s">
        <v>23</v>
      </c>
      <c r="E41" s="9" t="s">
        <v>20</v>
      </c>
    </row>
    <row r="42" spans="1:5">
      <c r="A42" s="5" t="s">
        <v>11</v>
      </c>
      <c r="B42" s="5" t="s">
        <v>24</v>
      </c>
      <c r="C42" s="5" t="s">
        <v>13</v>
      </c>
      <c r="D42" s="5" t="s">
        <v>25</v>
      </c>
      <c r="E42" s="5" t="s">
        <v>19</v>
      </c>
    </row>
    <row r="43" spans="1:5">
      <c r="A43" s="9" t="s">
        <v>11</v>
      </c>
      <c r="B43" s="9" t="s">
        <v>17</v>
      </c>
      <c r="C43" s="9" t="s">
        <v>18</v>
      </c>
      <c r="D43" s="9" t="s">
        <v>23</v>
      </c>
      <c r="E43" s="9" t="s">
        <v>19</v>
      </c>
    </row>
    <row r="44" spans="1:5">
      <c r="A44" s="5" t="s">
        <v>11</v>
      </c>
      <c r="B44" s="5" t="s">
        <v>12</v>
      </c>
      <c r="C44" s="5" t="s">
        <v>30</v>
      </c>
      <c r="D44" s="5" t="s">
        <v>14</v>
      </c>
      <c r="E44" s="5" t="s">
        <v>19</v>
      </c>
    </row>
    <row r="45" spans="1:5">
      <c r="A45" s="9" t="s">
        <v>21</v>
      </c>
      <c r="B45" s="9" t="s">
        <v>17</v>
      </c>
      <c r="C45" s="9" t="s">
        <v>18</v>
      </c>
      <c r="D45" s="9" t="s">
        <v>14</v>
      </c>
      <c r="E45" s="9" t="s">
        <v>27</v>
      </c>
    </row>
    <row r="46" spans="1:5">
      <c r="A46" s="5" t="s">
        <v>21</v>
      </c>
      <c r="B46" s="5" t="s">
        <v>24</v>
      </c>
      <c r="C46" s="5" t="s">
        <v>30</v>
      </c>
      <c r="D46" s="5" t="s">
        <v>29</v>
      </c>
      <c r="E46" s="5" t="s">
        <v>19</v>
      </c>
    </row>
    <row r="47" spans="1:5">
      <c r="A47" s="9" t="s">
        <v>11</v>
      </c>
      <c r="B47" s="9" t="s">
        <v>24</v>
      </c>
      <c r="C47" s="9" t="s">
        <v>30</v>
      </c>
      <c r="D47" s="9" t="s">
        <v>14</v>
      </c>
      <c r="E47" s="9" t="s">
        <v>19</v>
      </c>
    </row>
    <row r="48" spans="1:5">
      <c r="A48" s="5" t="s">
        <v>11</v>
      </c>
      <c r="B48" s="5" t="s">
        <v>12</v>
      </c>
      <c r="C48" s="5" t="s">
        <v>30</v>
      </c>
      <c r="D48" s="5" t="s">
        <v>14</v>
      </c>
      <c r="E48" s="5" t="s">
        <v>19</v>
      </c>
    </row>
    <row r="49" spans="1:5">
      <c r="A49" s="9" t="s">
        <v>11</v>
      </c>
      <c r="B49" s="9" t="s">
        <v>24</v>
      </c>
      <c r="C49" s="9" t="s">
        <v>18</v>
      </c>
      <c r="D49" s="9" t="s">
        <v>23</v>
      </c>
      <c r="E49" s="9" t="s">
        <v>27</v>
      </c>
    </row>
    <row r="50" spans="1:5">
      <c r="A50" s="5" t="s">
        <v>21</v>
      </c>
      <c r="B50" s="5" t="s">
        <v>24</v>
      </c>
      <c r="C50" s="5" t="s">
        <v>13</v>
      </c>
      <c r="D50" s="5" t="s">
        <v>23</v>
      </c>
      <c r="E50" s="5" t="s">
        <v>19</v>
      </c>
    </row>
    <row r="51" spans="1:5">
      <c r="A51" s="9" t="s">
        <v>11</v>
      </c>
      <c r="B51" s="9" t="s">
        <v>12</v>
      </c>
      <c r="C51" s="9" t="s">
        <v>18</v>
      </c>
      <c r="D51" s="9" t="s">
        <v>14</v>
      </c>
      <c r="E51" s="9" t="s">
        <v>19</v>
      </c>
    </row>
    <row r="52" spans="1:5">
      <c r="A52" s="5" t="s">
        <v>21</v>
      </c>
      <c r="B52" s="5" t="s">
        <v>24</v>
      </c>
      <c r="C52" s="5" t="s">
        <v>13</v>
      </c>
      <c r="D52" s="5" t="s">
        <v>23</v>
      </c>
      <c r="E52" s="5" t="s">
        <v>19</v>
      </c>
    </row>
    <row r="53" spans="1:5">
      <c r="A53" s="9" t="s">
        <v>11</v>
      </c>
      <c r="B53" s="9" t="s">
        <v>24</v>
      </c>
      <c r="C53" s="9" t="s">
        <v>30</v>
      </c>
      <c r="D53" s="9" t="s">
        <v>25</v>
      </c>
      <c r="E53" s="9" t="s">
        <v>19</v>
      </c>
    </row>
    <row r="54" spans="1:5">
      <c r="A54" s="5" t="s">
        <v>11</v>
      </c>
      <c r="B54" s="5" t="s">
        <v>24</v>
      </c>
      <c r="C54" s="5" t="s">
        <v>13</v>
      </c>
      <c r="D54" s="5" t="s">
        <v>29</v>
      </c>
      <c r="E54" s="5" t="s">
        <v>19</v>
      </c>
    </row>
    <row r="55" spans="1:5">
      <c r="A55" s="9" t="s">
        <v>11</v>
      </c>
      <c r="B55" s="9" t="s">
        <v>24</v>
      </c>
      <c r="C55" s="9" t="s">
        <v>13</v>
      </c>
      <c r="D55" s="9" t="s">
        <v>29</v>
      </c>
      <c r="E55" s="9" t="s">
        <v>19</v>
      </c>
    </row>
    <row r="56" spans="1:5">
      <c r="A56" s="5" t="s">
        <v>21</v>
      </c>
      <c r="B56" s="5" t="s">
        <v>17</v>
      </c>
      <c r="C56" s="5" t="s">
        <v>13</v>
      </c>
      <c r="D56" s="5" t="s">
        <v>23</v>
      </c>
      <c r="E56" s="5" t="s">
        <v>19</v>
      </c>
    </row>
    <row r="57" spans="1:5">
      <c r="A57" s="9" t="s">
        <v>11</v>
      </c>
      <c r="B57" s="9" t="s">
        <v>24</v>
      </c>
      <c r="C57" s="9" t="s">
        <v>13</v>
      </c>
      <c r="D57" s="9" t="s">
        <v>29</v>
      </c>
      <c r="E57" s="9" t="s">
        <v>19</v>
      </c>
    </row>
    <row r="58" spans="1:5">
      <c r="A58" s="5" t="s">
        <v>21</v>
      </c>
      <c r="B58" s="5" t="s">
        <v>17</v>
      </c>
      <c r="C58" s="5" t="s">
        <v>13</v>
      </c>
      <c r="D58" s="5" t="s">
        <v>29</v>
      </c>
      <c r="E58" s="5" t="s">
        <v>19</v>
      </c>
    </row>
    <row r="59" spans="1:5">
      <c r="A59" s="9" t="s">
        <v>11</v>
      </c>
      <c r="B59" s="9" t="s">
        <v>24</v>
      </c>
      <c r="C59" s="9" t="s">
        <v>18</v>
      </c>
      <c r="D59" s="9" t="s">
        <v>14</v>
      </c>
      <c r="E59" s="9" t="s">
        <v>19</v>
      </c>
    </row>
    <row r="60" spans="1:5">
      <c r="A60" s="5" t="s">
        <v>21</v>
      </c>
      <c r="B60" s="5" t="s">
        <v>24</v>
      </c>
      <c r="C60" s="5" t="s">
        <v>13</v>
      </c>
      <c r="D60" s="5" t="s">
        <v>29</v>
      </c>
      <c r="E60" s="5" t="s">
        <v>19</v>
      </c>
    </row>
    <row r="61" spans="1:5">
      <c r="A61" s="9" t="s">
        <v>11</v>
      </c>
      <c r="B61" s="9" t="s">
        <v>24</v>
      </c>
      <c r="C61" s="9" t="s">
        <v>13</v>
      </c>
      <c r="D61" s="9" t="s">
        <v>25</v>
      </c>
      <c r="E61" s="9" t="s">
        <v>19</v>
      </c>
    </row>
    <row r="62" spans="1:5">
      <c r="A62" s="5" t="s">
        <v>11</v>
      </c>
      <c r="B62" s="5" t="s">
        <v>24</v>
      </c>
      <c r="C62" s="5" t="s">
        <v>13</v>
      </c>
      <c r="D62" s="5" t="s">
        <v>23</v>
      </c>
      <c r="E62" s="5" t="s">
        <v>19</v>
      </c>
    </row>
    <row r="63" spans="1:5">
      <c r="A63" s="9" t="s">
        <v>21</v>
      </c>
      <c r="B63" s="9" t="s">
        <v>24</v>
      </c>
      <c r="C63" s="9" t="s">
        <v>13</v>
      </c>
      <c r="D63" s="9" t="s">
        <v>14</v>
      </c>
      <c r="E63" s="9" t="s">
        <v>19</v>
      </c>
    </row>
    <row r="64" spans="1:5">
      <c r="A64" s="5" t="s">
        <v>21</v>
      </c>
      <c r="B64" s="5" t="s">
        <v>12</v>
      </c>
      <c r="C64" s="5" t="s">
        <v>36</v>
      </c>
      <c r="D64" s="5" t="s">
        <v>14</v>
      </c>
      <c r="E64" s="5" t="s">
        <v>20</v>
      </c>
    </row>
    <row r="65" spans="1:5">
      <c r="A65" s="9" t="s">
        <v>11</v>
      </c>
      <c r="B65" s="9" t="s">
        <v>24</v>
      </c>
      <c r="C65" s="9" t="s">
        <v>13</v>
      </c>
      <c r="D65" s="9" t="s">
        <v>14</v>
      </c>
      <c r="E65" s="9" t="s">
        <v>19</v>
      </c>
    </row>
    <row r="66" spans="1:5">
      <c r="A66" s="5" t="s">
        <v>11</v>
      </c>
      <c r="B66" s="5" t="s">
        <v>24</v>
      </c>
      <c r="C66" s="5" t="s">
        <v>13</v>
      </c>
      <c r="D66" s="5" t="s">
        <v>14</v>
      </c>
      <c r="E66" s="5" t="s">
        <v>19</v>
      </c>
    </row>
    <row r="67" spans="1:5">
      <c r="A67" s="9" t="s">
        <v>11</v>
      </c>
      <c r="B67" s="9" t="s">
        <v>22</v>
      </c>
      <c r="C67" s="9" t="s">
        <v>13</v>
      </c>
      <c r="D67" s="9" t="s">
        <v>14</v>
      </c>
      <c r="E67" s="9" t="s">
        <v>20</v>
      </c>
    </row>
    <row r="68" spans="1:5">
      <c r="A68" s="5" t="s">
        <v>11</v>
      </c>
      <c r="B68" s="5" t="s">
        <v>17</v>
      </c>
      <c r="C68" s="5" t="s">
        <v>18</v>
      </c>
      <c r="D68" s="5" t="s">
        <v>14</v>
      </c>
      <c r="E68" s="5" t="s">
        <v>19</v>
      </c>
    </row>
    <row r="69" spans="1:5">
      <c r="A69" s="9" t="s">
        <v>11</v>
      </c>
      <c r="B69" s="9" t="s">
        <v>24</v>
      </c>
      <c r="C69" s="9" t="s">
        <v>13</v>
      </c>
      <c r="D69" s="9" t="s">
        <v>25</v>
      </c>
      <c r="E69" s="9" t="s">
        <v>19</v>
      </c>
    </row>
    <row r="70" spans="1:5">
      <c r="A70" s="5" t="s">
        <v>11</v>
      </c>
      <c r="B70" s="5" t="s">
        <v>24</v>
      </c>
      <c r="C70" s="5" t="s">
        <v>13</v>
      </c>
      <c r="D70" s="5" t="s">
        <v>29</v>
      </c>
      <c r="E70" s="5" t="s">
        <v>19</v>
      </c>
    </row>
    <row r="71" spans="1:5">
      <c r="A71" s="9" t="s">
        <v>11</v>
      </c>
      <c r="B71" s="9" t="s">
        <v>17</v>
      </c>
      <c r="C71" s="9" t="s">
        <v>18</v>
      </c>
      <c r="D71" s="9" t="s">
        <v>25</v>
      </c>
      <c r="E71" s="9" t="s">
        <v>19</v>
      </c>
    </row>
    <row r="72" spans="1:5">
      <c r="A72" s="5" t="s">
        <v>11</v>
      </c>
      <c r="B72" s="5" t="s">
        <v>24</v>
      </c>
      <c r="C72" s="5" t="s">
        <v>30</v>
      </c>
      <c r="D72" s="5" t="s">
        <v>29</v>
      </c>
      <c r="E72" s="5" t="s">
        <v>19</v>
      </c>
    </row>
    <row r="73" spans="1:5">
      <c r="A73" s="9" t="s">
        <v>21</v>
      </c>
      <c r="B73" s="9" t="s">
        <v>24</v>
      </c>
      <c r="C73" s="9" t="s">
        <v>13</v>
      </c>
      <c r="D73" s="9" t="s">
        <v>23</v>
      </c>
      <c r="E73" s="9" t="s">
        <v>19</v>
      </c>
    </row>
    <row r="74" spans="1:5">
      <c r="A74" s="5" t="s">
        <v>11</v>
      </c>
      <c r="B74" s="5" t="s">
        <v>22</v>
      </c>
      <c r="C74" s="5" t="s">
        <v>30</v>
      </c>
      <c r="D74" s="5" t="s">
        <v>14</v>
      </c>
      <c r="E74" s="5" t="s">
        <v>19</v>
      </c>
    </row>
    <row r="75" spans="1:5">
      <c r="A75" s="9" t="s">
        <v>11</v>
      </c>
      <c r="B75" s="9" t="s">
        <v>24</v>
      </c>
      <c r="C75" s="9" t="s">
        <v>13</v>
      </c>
      <c r="D75" s="9" t="s">
        <v>25</v>
      </c>
      <c r="E75" s="9" t="s">
        <v>27</v>
      </c>
    </row>
    <row r="76" spans="1:5">
      <c r="A76" s="5" t="s">
        <v>11</v>
      </c>
      <c r="B76" s="5" t="s">
        <v>24</v>
      </c>
      <c r="C76" s="5" t="s">
        <v>18</v>
      </c>
      <c r="D76" s="5" t="s">
        <v>23</v>
      </c>
      <c r="E76" s="5" t="s">
        <v>19</v>
      </c>
    </row>
    <row r="77" spans="1:5">
      <c r="A77" s="9" t="s">
        <v>21</v>
      </c>
      <c r="B77" s="9" t="s">
        <v>24</v>
      </c>
      <c r="C77" s="9" t="s">
        <v>18</v>
      </c>
      <c r="D77" s="9" t="s">
        <v>29</v>
      </c>
      <c r="E77" s="9" t="s">
        <v>19</v>
      </c>
    </row>
    <row r="78" spans="1:5">
      <c r="A78" s="5" t="s">
        <v>11</v>
      </c>
      <c r="B78" s="5" t="s">
        <v>12</v>
      </c>
      <c r="C78" s="5" t="s">
        <v>30</v>
      </c>
      <c r="D78" s="5" t="s">
        <v>14</v>
      </c>
      <c r="E78" s="5" t="s">
        <v>19</v>
      </c>
    </row>
    <row r="79" spans="1:5">
      <c r="A79" s="9" t="s">
        <v>11</v>
      </c>
      <c r="B79" s="9" t="s">
        <v>24</v>
      </c>
      <c r="C79" s="9" t="s">
        <v>13</v>
      </c>
      <c r="D79" s="9" t="s">
        <v>29</v>
      </c>
      <c r="E79" s="9" t="s">
        <v>19</v>
      </c>
    </row>
    <row r="80" spans="1:5">
      <c r="A80" s="5" t="s">
        <v>11</v>
      </c>
      <c r="B80" s="5" t="s">
        <v>24</v>
      </c>
      <c r="C80" s="5" t="s">
        <v>13</v>
      </c>
      <c r="D80" s="5" t="s">
        <v>29</v>
      </c>
      <c r="E80" s="5" t="s">
        <v>19</v>
      </c>
    </row>
    <row r="81" spans="1:5">
      <c r="A81" s="9" t="s">
        <v>11</v>
      </c>
      <c r="B81" s="9" t="s">
        <v>12</v>
      </c>
      <c r="C81" s="9" t="s">
        <v>13</v>
      </c>
      <c r="D81" s="9" t="s">
        <v>14</v>
      </c>
      <c r="E81" s="9" t="s">
        <v>19</v>
      </c>
    </row>
    <row r="82" spans="1:5">
      <c r="A82" s="5" t="s">
        <v>11</v>
      </c>
      <c r="B82" s="5" t="s">
        <v>17</v>
      </c>
      <c r="C82" s="5" t="s">
        <v>13</v>
      </c>
      <c r="D82" s="5" t="s">
        <v>29</v>
      </c>
      <c r="E82" s="5" t="s">
        <v>20</v>
      </c>
    </row>
    <row r="83" spans="1:5">
      <c r="A83" s="9" t="s">
        <v>11</v>
      </c>
      <c r="B83" s="9" t="s">
        <v>24</v>
      </c>
      <c r="C83" s="9" t="s">
        <v>13</v>
      </c>
      <c r="D83" s="9" t="s">
        <v>29</v>
      </c>
      <c r="E83" s="9" t="s">
        <v>19</v>
      </c>
    </row>
    <row r="84" spans="1:5">
      <c r="A84" s="5" t="s">
        <v>11</v>
      </c>
      <c r="B84" s="5" t="s">
        <v>24</v>
      </c>
      <c r="C84" s="5" t="s">
        <v>13</v>
      </c>
      <c r="D84" s="5" t="s">
        <v>23</v>
      </c>
      <c r="E84" s="5" t="s">
        <v>19</v>
      </c>
    </row>
    <row r="85" spans="1:5">
      <c r="A85" s="9" t="s">
        <v>21</v>
      </c>
      <c r="B85" s="9" t="s">
        <v>24</v>
      </c>
      <c r="C85" s="9" t="s">
        <v>13</v>
      </c>
      <c r="D85" s="9" t="s">
        <v>25</v>
      </c>
      <c r="E85" s="9" t="s">
        <v>19</v>
      </c>
    </row>
    <row r="86" spans="1:5">
      <c r="A86" s="5" t="s">
        <v>11</v>
      </c>
      <c r="B86" s="5" t="s">
        <v>24</v>
      </c>
      <c r="C86" s="5" t="s">
        <v>18</v>
      </c>
      <c r="D86" s="5" t="s">
        <v>14</v>
      </c>
      <c r="E86" s="5" t="s">
        <v>19</v>
      </c>
    </row>
    <row r="87" spans="1:5">
      <c r="A87" s="9" t="s">
        <v>11</v>
      </c>
      <c r="B87" s="9" t="s">
        <v>24</v>
      </c>
      <c r="C87" s="9" t="s">
        <v>13</v>
      </c>
      <c r="D87" s="9" t="s">
        <v>29</v>
      </c>
      <c r="E87" s="9" t="s">
        <v>19</v>
      </c>
    </row>
    <row r="88" spans="1:5">
      <c r="A88" s="5" t="s">
        <v>11</v>
      </c>
      <c r="B88" s="5" t="s">
        <v>24</v>
      </c>
      <c r="C88" s="5" t="s">
        <v>18</v>
      </c>
      <c r="D88" s="5" t="s">
        <v>14</v>
      </c>
      <c r="E88" s="5" t="s">
        <v>19</v>
      </c>
    </row>
    <row r="89" spans="1:5">
      <c r="A89" s="9" t="s">
        <v>11</v>
      </c>
      <c r="B89" s="9" t="s">
        <v>24</v>
      </c>
      <c r="C89" s="9" t="s">
        <v>13</v>
      </c>
      <c r="D89" s="9" t="s">
        <v>29</v>
      </c>
      <c r="E89" s="9" t="s">
        <v>19</v>
      </c>
    </row>
    <row r="90" spans="1:5">
      <c r="A90" s="5" t="s">
        <v>11</v>
      </c>
      <c r="B90" s="5" t="s">
        <v>24</v>
      </c>
      <c r="C90" s="5" t="s">
        <v>30</v>
      </c>
      <c r="D90" s="5" t="s">
        <v>29</v>
      </c>
      <c r="E90" s="5" t="s">
        <v>19</v>
      </c>
    </row>
    <row r="91" spans="1:5">
      <c r="A91" s="9" t="s">
        <v>11</v>
      </c>
      <c r="B91" s="9" t="s">
        <v>17</v>
      </c>
      <c r="C91" s="9" t="s">
        <v>18</v>
      </c>
      <c r="D91" s="9" t="s">
        <v>14</v>
      </c>
      <c r="E91" s="9" t="s">
        <v>27</v>
      </c>
    </row>
    <row r="92" spans="1:5">
      <c r="A92" s="5" t="s">
        <v>11</v>
      </c>
      <c r="B92" s="5" t="s">
        <v>17</v>
      </c>
      <c r="C92" s="5" t="s">
        <v>18</v>
      </c>
      <c r="D92" s="5" t="s">
        <v>14</v>
      </c>
      <c r="E92" s="5" t="s">
        <v>19</v>
      </c>
    </row>
    <row r="93" spans="1:5">
      <c r="A93" s="9" t="s">
        <v>21</v>
      </c>
      <c r="B93" s="9" t="s">
        <v>12</v>
      </c>
      <c r="C93" s="9" t="s">
        <v>30</v>
      </c>
      <c r="D93" s="9" t="s">
        <v>14</v>
      </c>
      <c r="E93" s="9" t="s">
        <v>27</v>
      </c>
    </row>
    <row r="94" spans="1:5">
      <c r="A94" s="5" t="s">
        <v>21</v>
      </c>
      <c r="B94" s="5" t="s">
        <v>17</v>
      </c>
      <c r="C94" s="5" t="s">
        <v>30</v>
      </c>
      <c r="D94" s="5" t="s">
        <v>14</v>
      </c>
      <c r="E94" s="5" t="s">
        <v>27</v>
      </c>
    </row>
    <row r="95" spans="1:5">
      <c r="A95" s="9" t="s">
        <v>21</v>
      </c>
      <c r="B95" s="9" t="s">
        <v>24</v>
      </c>
      <c r="C95" s="9" t="s">
        <v>30</v>
      </c>
      <c r="D95" s="9" t="s">
        <v>29</v>
      </c>
      <c r="E95" s="9" t="s">
        <v>19</v>
      </c>
    </row>
    <row r="96" spans="1:5">
      <c r="A96" s="5" t="s">
        <v>11</v>
      </c>
      <c r="B96" s="5" t="s">
        <v>17</v>
      </c>
      <c r="C96" s="5" t="s">
        <v>13</v>
      </c>
      <c r="D96" s="5" t="s">
        <v>29</v>
      </c>
      <c r="E96" s="5" t="s">
        <v>19</v>
      </c>
    </row>
    <row r="97" spans="1:5">
      <c r="A97" s="9" t="s">
        <v>11</v>
      </c>
      <c r="B97" s="9" t="s">
        <v>17</v>
      </c>
      <c r="C97" s="9" t="s">
        <v>18</v>
      </c>
      <c r="D97" s="9" t="s">
        <v>14</v>
      </c>
      <c r="E97" s="9" t="s">
        <v>19</v>
      </c>
    </row>
    <row r="98" spans="1:5">
      <c r="A98" s="5" t="s">
        <v>21</v>
      </c>
      <c r="B98" s="5" t="s">
        <v>17</v>
      </c>
      <c r="C98" s="5" t="s">
        <v>13</v>
      </c>
      <c r="D98" s="5" t="s">
        <v>14</v>
      </c>
      <c r="E98" s="5" t="s">
        <v>19</v>
      </c>
    </row>
    <row r="99" spans="1:5">
      <c r="A99" s="9" t="s">
        <v>21</v>
      </c>
      <c r="B99" s="9" t="s">
        <v>12</v>
      </c>
      <c r="C99" s="9" t="s">
        <v>18</v>
      </c>
      <c r="D99" s="9" t="s">
        <v>14</v>
      </c>
      <c r="E99" s="9" t="s">
        <v>27</v>
      </c>
    </row>
    <row r="100" spans="1:5">
      <c r="A100" s="5" t="s">
        <v>21</v>
      </c>
      <c r="B100" s="5" t="s">
        <v>17</v>
      </c>
      <c r="C100" s="5" t="s">
        <v>30</v>
      </c>
      <c r="D100" s="5" t="s">
        <v>29</v>
      </c>
      <c r="E100" s="5" t="s">
        <v>19</v>
      </c>
    </row>
    <row r="101" spans="1:5">
      <c r="A101" s="9" t="s">
        <v>21</v>
      </c>
      <c r="B101" s="9" t="s">
        <v>17</v>
      </c>
      <c r="C101" s="9" t="s">
        <v>18</v>
      </c>
      <c r="D101" s="9" t="s">
        <v>14</v>
      </c>
      <c r="E101" s="9" t="s">
        <v>19</v>
      </c>
    </row>
    <row r="102" spans="1:5">
      <c r="A102" s="5" t="s">
        <v>21</v>
      </c>
      <c r="B102" s="5" t="s">
        <v>17</v>
      </c>
      <c r="C102" s="5" t="s">
        <v>30</v>
      </c>
      <c r="D102" s="5" t="s">
        <v>14</v>
      </c>
      <c r="E102" s="5" t="s">
        <v>19</v>
      </c>
    </row>
    <row r="103" spans="1:5">
      <c r="A103" s="9" t="s">
        <v>21</v>
      </c>
      <c r="B103" s="9" t="s">
        <v>17</v>
      </c>
      <c r="C103" s="9" t="s">
        <v>30</v>
      </c>
      <c r="D103" s="9" t="s">
        <v>14</v>
      </c>
      <c r="E103" s="9" t="s">
        <v>19</v>
      </c>
    </row>
    <row r="104" spans="1:5">
      <c r="A104" s="5" t="s">
        <v>11</v>
      </c>
      <c r="B104" s="5" t="s">
        <v>24</v>
      </c>
      <c r="C104" s="5" t="s">
        <v>13</v>
      </c>
      <c r="D104" s="5" t="s">
        <v>25</v>
      </c>
      <c r="E104" s="5" t="s">
        <v>19</v>
      </c>
    </row>
    <row r="105" spans="1:5">
      <c r="A105" s="9" t="s">
        <v>11</v>
      </c>
      <c r="B105" s="9" t="s">
        <v>24</v>
      </c>
      <c r="C105" s="9" t="s">
        <v>13</v>
      </c>
      <c r="D105" s="9" t="s">
        <v>23</v>
      </c>
      <c r="E105" s="9" t="s">
        <v>20</v>
      </c>
    </row>
    <row r="106" spans="1:5">
      <c r="A106" s="5" t="s">
        <v>11</v>
      </c>
      <c r="B106" s="5" t="s">
        <v>24</v>
      </c>
      <c r="C106" s="5" t="s">
        <v>13</v>
      </c>
      <c r="D106" s="5" t="s">
        <v>29</v>
      </c>
      <c r="E106" s="5" t="s">
        <v>19</v>
      </c>
    </row>
    <row r="107" spans="1:5">
      <c r="A107" s="9" t="s">
        <v>11</v>
      </c>
      <c r="B107" s="9" t="s">
        <v>24</v>
      </c>
      <c r="C107" s="9" t="s">
        <v>13</v>
      </c>
      <c r="D107" s="9" t="s">
        <v>23</v>
      </c>
      <c r="E107" s="9" t="s">
        <v>19</v>
      </c>
    </row>
    <row r="108" spans="1:5">
      <c r="A108" s="5" t="s">
        <v>11</v>
      </c>
      <c r="B108" s="5" t="s">
        <v>24</v>
      </c>
      <c r="C108" s="5" t="s">
        <v>30</v>
      </c>
      <c r="D108" s="5" t="s">
        <v>14</v>
      </c>
      <c r="E108" s="5" t="s">
        <v>19</v>
      </c>
    </row>
    <row r="109" spans="1:5">
      <c r="A109" s="9" t="s">
        <v>11</v>
      </c>
      <c r="B109" s="9" t="s">
        <v>22</v>
      </c>
      <c r="C109" s="9" t="s">
        <v>13</v>
      </c>
      <c r="D109" s="9" t="s">
        <v>25</v>
      </c>
      <c r="E109" s="9" t="s">
        <v>15</v>
      </c>
    </row>
    <row r="110" spans="1:5">
      <c r="A110" s="5" t="s">
        <v>11</v>
      </c>
      <c r="B110" s="5" t="s">
        <v>24</v>
      </c>
      <c r="C110" s="5" t="s">
        <v>30</v>
      </c>
      <c r="D110" s="5" t="s">
        <v>25</v>
      </c>
      <c r="E110" s="5" t="s">
        <v>19</v>
      </c>
    </row>
    <row r="111" spans="1:5">
      <c r="A111" s="9" t="s">
        <v>21</v>
      </c>
      <c r="B111" s="9" t="s">
        <v>12</v>
      </c>
      <c r="C111" s="9" t="s">
        <v>36</v>
      </c>
      <c r="D111" s="9" t="s">
        <v>14</v>
      </c>
      <c r="E111" s="9" t="s">
        <v>41</v>
      </c>
    </row>
    <row r="112" spans="1:5">
      <c r="A112" s="5" t="s">
        <v>11</v>
      </c>
      <c r="B112" s="5" t="s">
        <v>22</v>
      </c>
      <c r="C112" s="5" t="s">
        <v>36</v>
      </c>
      <c r="D112" s="5" t="s">
        <v>14</v>
      </c>
      <c r="E112" s="5" t="s">
        <v>20</v>
      </c>
    </row>
    <row r="113" spans="1:5">
      <c r="A113" s="9" t="s">
        <v>21</v>
      </c>
      <c r="B113" s="9" t="s">
        <v>24</v>
      </c>
      <c r="C113" s="9" t="s">
        <v>13</v>
      </c>
      <c r="D113" s="9" t="s">
        <v>25</v>
      </c>
      <c r="E113" s="9" t="s">
        <v>19</v>
      </c>
    </row>
    <row r="114" spans="1:5">
      <c r="A114" s="5" t="s">
        <v>11</v>
      </c>
      <c r="B114" s="5" t="s">
        <v>17</v>
      </c>
      <c r="C114" s="5" t="s">
        <v>13</v>
      </c>
      <c r="D114" s="5" t="s">
        <v>29</v>
      </c>
      <c r="E114" s="5" t="s">
        <v>19</v>
      </c>
    </row>
    <row r="115" spans="1:5">
      <c r="A115" s="9" t="s">
        <v>11</v>
      </c>
      <c r="B115" s="9" t="s">
        <v>24</v>
      </c>
      <c r="C115" s="9" t="s">
        <v>18</v>
      </c>
      <c r="D115" s="9" t="s">
        <v>25</v>
      </c>
      <c r="E115" s="9" t="s">
        <v>19</v>
      </c>
    </row>
    <row r="116" spans="1:5">
      <c r="A116" s="5" t="s">
        <v>11</v>
      </c>
      <c r="B116" s="5" t="s">
        <v>24</v>
      </c>
      <c r="C116" s="5" t="s">
        <v>18</v>
      </c>
      <c r="D116" s="5" t="s">
        <v>29</v>
      </c>
      <c r="E116" s="5" t="s">
        <v>19</v>
      </c>
    </row>
    <row r="117" spans="1:5">
      <c r="A117" s="9" t="s">
        <v>11</v>
      </c>
      <c r="B117" s="9" t="s">
        <v>24</v>
      </c>
      <c r="C117" s="9" t="s">
        <v>13</v>
      </c>
      <c r="D117" s="9" t="s">
        <v>29</v>
      </c>
      <c r="E117" s="9" t="s">
        <v>19</v>
      </c>
    </row>
    <row r="118" spans="1:5">
      <c r="A118" s="5" t="s">
        <v>11</v>
      </c>
      <c r="B118" s="5" t="s">
        <v>24</v>
      </c>
      <c r="C118" s="5" t="s">
        <v>13</v>
      </c>
      <c r="D118" s="36" t="s">
        <v>29</v>
      </c>
      <c r="E118" s="5" t="s">
        <v>19</v>
      </c>
    </row>
    <row r="119" spans="1:5">
      <c r="A119" s="9" t="s">
        <v>11</v>
      </c>
      <c r="B119" s="9" t="s">
        <v>17</v>
      </c>
      <c r="C119" s="9" t="s">
        <v>18</v>
      </c>
      <c r="D119" s="36" t="s">
        <v>29</v>
      </c>
      <c r="E119" s="9" t="s">
        <v>19</v>
      </c>
    </row>
    <row r="120" spans="1:5">
      <c r="A120" s="5" t="s">
        <v>21</v>
      </c>
      <c r="B120" s="5" t="s">
        <v>24</v>
      </c>
      <c r="C120" s="5" t="s">
        <v>18</v>
      </c>
      <c r="D120" s="36" t="s">
        <v>14</v>
      </c>
      <c r="E120" s="5" t="s">
        <v>19</v>
      </c>
    </row>
    <row r="121" spans="1:5">
      <c r="A121" s="36" t="s">
        <v>11</v>
      </c>
      <c r="B121" s="9" t="s">
        <v>24</v>
      </c>
      <c r="C121" s="9" t="s">
        <v>13</v>
      </c>
      <c r="D121" s="36" t="s">
        <v>23</v>
      </c>
      <c r="E121" s="9" t="s">
        <v>19</v>
      </c>
    </row>
    <row r="122" spans="1:5">
      <c r="A122" s="5" t="s">
        <v>11</v>
      </c>
      <c r="B122" s="5" t="s">
        <v>24</v>
      </c>
      <c r="C122" s="5" t="s">
        <v>13</v>
      </c>
      <c r="D122" s="36" t="s">
        <v>29</v>
      </c>
      <c r="E122" s="5" t="s">
        <v>19</v>
      </c>
    </row>
    <row r="123" spans="1:5">
      <c r="A123" s="9" t="s">
        <v>11</v>
      </c>
      <c r="B123" s="9" t="s">
        <v>12</v>
      </c>
      <c r="C123" s="9" t="s">
        <v>30</v>
      </c>
      <c r="D123" s="36" t="s">
        <v>14</v>
      </c>
      <c r="E123" s="9" t="s">
        <v>19</v>
      </c>
    </row>
    <row r="124" spans="1:5">
      <c r="A124" s="5" t="s">
        <v>11</v>
      </c>
      <c r="B124" s="5" t="s">
        <v>17</v>
      </c>
      <c r="C124" s="5" t="s">
        <v>30</v>
      </c>
      <c r="D124" s="36" t="s">
        <v>14</v>
      </c>
      <c r="E124" s="5" t="s">
        <v>19</v>
      </c>
    </row>
    <row r="125" spans="1:5">
      <c r="A125" s="9" t="s">
        <v>11</v>
      </c>
      <c r="B125" s="9" t="s">
        <v>17</v>
      </c>
      <c r="C125" s="9" t="s">
        <v>30</v>
      </c>
      <c r="D125" s="36" t="s">
        <v>14</v>
      </c>
      <c r="E125" s="9" t="s">
        <v>19</v>
      </c>
    </row>
    <row r="126" spans="1:5">
      <c r="A126" s="5" t="s">
        <v>11</v>
      </c>
      <c r="B126" s="5" t="s">
        <v>24</v>
      </c>
      <c r="C126" s="5" t="s">
        <v>13</v>
      </c>
      <c r="D126" s="36" t="s">
        <v>29</v>
      </c>
      <c r="E126" s="5" t="s">
        <v>19</v>
      </c>
    </row>
    <row r="127" spans="1:5">
      <c r="A127" s="9" t="s">
        <v>11</v>
      </c>
      <c r="B127" s="9" t="s">
        <v>12</v>
      </c>
      <c r="C127" s="9" t="s">
        <v>30</v>
      </c>
      <c r="D127" s="36" t="s">
        <v>14</v>
      </c>
      <c r="E127" s="9" t="s">
        <v>19</v>
      </c>
    </row>
    <row r="128" spans="1:5">
      <c r="A128" s="5" t="s">
        <v>11</v>
      </c>
      <c r="B128" s="5" t="s">
        <v>12</v>
      </c>
      <c r="C128" s="5" t="s">
        <v>30</v>
      </c>
      <c r="D128" s="36" t="s">
        <v>14</v>
      </c>
      <c r="E128" s="5" t="s">
        <v>19</v>
      </c>
    </row>
    <row r="129" spans="1:5">
      <c r="A129" s="9" t="s">
        <v>11</v>
      </c>
      <c r="B129" s="9" t="s">
        <v>12</v>
      </c>
      <c r="C129" s="9" t="s">
        <v>30</v>
      </c>
      <c r="D129" s="36" t="s">
        <v>14</v>
      </c>
      <c r="E129" s="9" t="s">
        <v>19</v>
      </c>
    </row>
    <row r="130" spans="1:5">
      <c r="A130" s="5" t="s">
        <v>11</v>
      </c>
      <c r="B130" s="5" t="s">
        <v>17</v>
      </c>
      <c r="C130" s="5" t="s">
        <v>18</v>
      </c>
      <c r="D130" s="36" t="s">
        <v>23</v>
      </c>
      <c r="E130" s="5" t="s">
        <v>19</v>
      </c>
    </row>
    <row r="131" spans="1:5">
      <c r="A131" s="9" t="s">
        <v>21</v>
      </c>
      <c r="B131" s="9" t="s">
        <v>17</v>
      </c>
      <c r="C131" s="9" t="s">
        <v>43</v>
      </c>
      <c r="D131" s="36" t="s">
        <v>23</v>
      </c>
      <c r="E131" s="9" t="s">
        <v>19</v>
      </c>
    </row>
    <row r="132" spans="1:5">
      <c r="A132" s="5" t="s">
        <v>11</v>
      </c>
      <c r="B132" s="5" t="s">
        <v>12</v>
      </c>
      <c r="C132" s="5" t="s">
        <v>30</v>
      </c>
      <c r="D132" s="36" t="s">
        <v>14</v>
      </c>
      <c r="E132" s="5" t="s">
        <v>19</v>
      </c>
    </row>
    <row r="133" spans="1:5">
      <c r="A133" s="9"/>
      <c r="B133" s="9"/>
      <c r="C133" s="9"/>
      <c r="D133" s="36"/>
      <c r="E133" s="9"/>
    </row>
    <row r="134" spans="1:5">
      <c r="A134" s="5"/>
      <c r="B134" s="5"/>
      <c r="C134" s="5"/>
      <c r="D134" s="36"/>
      <c r="E134" s="5"/>
    </row>
    <row r="135" spans="1:5">
      <c r="A135" s="9"/>
      <c r="B135" s="9"/>
      <c r="C135" s="9"/>
      <c r="D135" s="36"/>
      <c r="E135" s="9"/>
    </row>
    <row r="136" spans="1:5">
      <c r="A136" s="5"/>
      <c r="B136" s="5"/>
      <c r="C136" s="5"/>
      <c r="D136" s="36"/>
      <c r="E136" s="5"/>
    </row>
    <row r="137" spans="1:5">
      <c r="A137" s="9"/>
      <c r="B137" s="9"/>
      <c r="C137" s="9"/>
      <c r="D137" s="37"/>
      <c r="E137" s="9"/>
    </row>
    <row r="138" spans="1:5">
      <c r="A138" s="5"/>
      <c r="B138" s="5"/>
      <c r="C138" s="5"/>
      <c r="D138" s="36"/>
      <c r="E138" s="5"/>
    </row>
    <row r="139" spans="1:5">
      <c r="A139" s="9"/>
      <c r="B139" s="9"/>
      <c r="C139" s="9"/>
      <c r="D139" s="37"/>
      <c r="E139" s="9"/>
    </row>
    <row r="140" spans="1:5">
      <c r="A140" s="5"/>
      <c r="B140" s="5"/>
      <c r="C140" s="5"/>
      <c r="D140" s="36"/>
      <c r="E140" s="5"/>
    </row>
    <row r="141" spans="1:5">
      <c r="A141" s="9"/>
      <c r="B141" s="9"/>
      <c r="C141" s="9"/>
      <c r="D141" s="37"/>
      <c r="E141" s="9"/>
    </row>
    <row r="142" spans="1:5">
      <c r="A142" s="5"/>
      <c r="B142" s="5"/>
      <c r="C142" s="5"/>
      <c r="D142" s="36"/>
      <c r="E142" s="5"/>
    </row>
    <row r="143" spans="1:5">
      <c r="A143" s="9"/>
      <c r="B143" s="9"/>
      <c r="C143" s="9"/>
      <c r="D143" s="37"/>
      <c r="E143" s="9"/>
    </row>
    <row r="144" spans="1:5">
      <c r="A144" s="5"/>
      <c r="B144" s="5"/>
      <c r="C144" s="5"/>
      <c r="D144" s="36"/>
      <c r="E144" s="5"/>
    </row>
    <row r="145" spans="1:5">
      <c r="A145" s="9"/>
      <c r="B145" s="9"/>
      <c r="C145" s="9"/>
      <c r="D145" s="37"/>
      <c r="E145" s="9"/>
    </row>
    <row r="146" spans="1:5">
      <c r="A146" s="5"/>
      <c r="B146" s="5"/>
      <c r="C146" s="5"/>
      <c r="D146" s="36"/>
      <c r="E146" s="5"/>
    </row>
    <row r="147" spans="1:5">
      <c r="A147" s="9"/>
      <c r="B147" s="9"/>
      <c r="C147" s="9"/>
      <c r="D147" s="37"/>
      <c r="E147" s="9"/>
    </row>
    <row r="148" spans="1:5">
      <c r="A148" s="5"/>
      <c r="B148" s="5"/>
      <c r="C148" s="5"/>
      <c r="D148" s="36"/>
      <c r="E148" s="5"/>
    </row>
    <row r="149" spans="1:5">
      <c r="A149" s="9"/>
      <c r="B149" s="9"/>
      <c r="C149" s="9"/>
      <c r="D149" s="37"/>
      <c r="E149" s="9"/>
    </row>
    <row r="150" spans="1:5">
      <c r="A150" s="5"/>
      <c r="B150" s="5"/>
      <c r="C150" s="5"/>
      <c r="D150" s="36"/>
      <c r="E150" s="5"/>
    </row>
    <row r="151" spans="1:5">
      <c r="A151" s="9"/>
      <c r="B151" s="9"/>
      <c r="C151" s="9"/>
      <c r="D151" s="37"/>
      <c r="E151" s="9"/>
    </row>
    <row r="152" spans="1:5">
      <c r="A152" s="5"/>
      <c r="B152" s="5"/>
      <c r="C152" s="5"/>
      <c r="D152" s="36"/>
      <c r="E152" s="5"/>
    </row>
    <row r="153" spans="1:5">
      <c r="A153" s="9"/>
      <c r="B153" s="9"/>
      <c r="C153" s="9"/>
      <c r="D153" s="37"/>
      <c r="E153" s="9"/>
    </row>
    <row r="154" spans="1:5">
      <c r="A154" s="5"/>
      <c r="B154" s="5"/>
      <c r="C154" s="5"/>
      <c r="D154" s="36"/>
      <c r="E154" s="5"/>
    </row>
    <row r="155" spans="1:5">
      <c r="A155" s="9"/>
      <c r="B155" s="9"/>
      <c r="C155" s="9"/>
      <c r="D155" s="37"/>
      <c r="E155" s="9"/>
    </row>
    <row r="156" spans="1:5">
      <c r="A156" s="5"/>
      <c r="B156" s="5"/>
      <c r="C156" s="5"/>
      <c r="D156" s="36"/>
      <c r="E156" s="5"/>
    </row>
    <row r="157" spans="1:5">
      <c r="A157" s="9"/>
      <c r="B157" s="9"/>
      <c r="C157" s="9"/>
      <c r="D157" s="37"/>
      <c r="E157" s="9"/>
    </row>
    <row r="158" spans="1:5">
      <c r="A158" s="5"/>
      <c r="B158" s="5"/>
      <c r="C158" s="5"/>
      <c r="D158" s="36"/>
      <c r="E158" s="5"/>
    </row>
    <row r="159" spans="1:5">
      <c r="A159" s="9"/>
      <c r="B159" s="9"/>
      <c r="C159" s="9"/>
      <c r="D159" s="37"/>
      <c r="E159" s="9"/>
    </row>
    <row r="160" spans="1:5">
      <c r="A160" s="5"/>
      <c r="B160" s="5"/>
      <c r="C160" s="5"/>
      <c r="D160" s="36"/>
      <c r="E160" s="5"/>
    </row>
    <row r="161" spans="1:5">
      <c r="A161" s="9"/>
      <c r="B161" s="9"/>
      <c r="C161" s="9"/>
      <c r="D161" s="37"/>
      <c r="E161" s="9"/>
    </row>
    <row r="162" spans="1:5">
      <c r="A162" s="5"/>
      <c r="B162" s="5"/>
      <c r="C162" s="5"/>
      <c r="D162" s="36"/>
      <c r="E162" s="5"/>
    </row>
    <row r="163" spans="1:5">
      <c r="A163" s="9"/>
      <c r="B163" s="9"/>
      <c r="C163" s="9"/>
      <c r="D163" s="37"/>
      <c r="E163" s="9"/>
    </row>
    <row r="164" spans="1:5">
      <c r="A164" s="5"/>
      <c r="B164" s="5"/>
      <c r="C164" s="5"/>
      <c r="D164" s="36"/>
      <c r="E164" s="5"/>
    </row>
    <row r="165" spans="1:5">
      <c r="A165" s="9"/>
      <c r="B165" s="9"/>
      <c r="C165" s="9"/>
      <c r="D165" s="37"/>
      <c r="E165" s="9"/>
    </row>
    <row r="166" spans="1:5">
      <c r="A166" s="5"/>
      <c r="B166" s="5"/>
      <c r="C166" s="5"/>
      <c r="D166" s="36"/>
      <c r="E166" s="5"/>
    </row>
    <row r="167" spans="1:5">
      <c r="A167" s="9"/>
      <c r="B167" s="9"/>
      <c r="C167" s="9"/>
      <c r="D167" s="37"/>
      <c r="E167" s="9"/>
    </row>
    <row r="168" spans="1:5">
      <c r="A168" s="5"/>
      <c r="B168" s="5"/>
      <c r="C168" s="5"/>
      <c r="D168" s="36"/>
      <c r="E168" s="5"/>
    </row>
    <row r="169" spans="1:5">
      <c r="A169" s="9"/>
      <c r="B169" s="9"/>
      <c r="C169" s="9"/>
      <c r="D169" s="37"/>
      <c r="E169" s="9"/>
    </row>
    <row r="170" spans="1:5">
      <c r="A170" s="5"/>
      <c r="B170" s="5"/>
      <c r="C170" s="5"/>
      <c r="D170" s="36"/>
      <c r="E170" s="5"/>
    </row>
    <row r="171" spans="1:5">
      <c r="A171" s="9"/>
      <c r="B171" s="9"/>
      <c r="C171" s="9"/>
      <c r="D171" s="37"/>
      <c r="E171" s="9"/>
    </row>
    <row r="172" spans="1:5">
      <c r="A172" s="5"/>
      <c r="B172" s="5"/>
      <c r="C172" s="5"/>
      <c r="D172" s="36"/>
      <c r="E172" s="5"/>
    </row>
    <row r="173" spans="1:5">
      <c r="A173" s="9"/>
      <c r="B173" s="9"/>
      <c r="C173" s="9"/>
      <c r="D173" s="37"/>
      <c r="E173" s="9"/>
    </row>
    <row r="174" spans="1:5">
      <c r="A174" s="5"/>
      <c r="B174" s="5"/>
      <c r="C174" s="5"/>
      <c r="D174" s="36"/>
      <c r="E174" s="5"/>
    </row>
    <row r="175" spans="1:5">
      <c r="A175" s="9"/>
      <c r="B175" s="9"/>
      <c r="C175" s="9"/>
      <c r="D175" s="37"/>
      <c r="E175" s="9"/>
    </row>
    <row r="176" spans="1:5">
      <c r="A176" s="5"/>
      <c r="B176" s="5"/>
      <c r="C176" s="5"/>
      <c r="D176" s="36"/>
      <c r="E176" s="5"/>
    </row>
    <row r="177" spans="1:5">
      <c r="A177" s="9"/>
      <c r="B177" s="9"/>
      <c r="C177" s="9"/>
      <c r="D177" s="37"/>
      <c r="E177" s="9"/>
    </row>
    <row r="178" spans="1:5">
      <c r="A178" s="5"/>
      <c r="B178" s="5"/>
      <c r="C178" s="5"/>
      <c r="D178" s="36"/>
      <c r="E178" s="5"/>
    </row>
    <row r="179" spans="1:5">
      <c r="A179" s="9"/>
      <c r="B179" s="9"/>
      <c r="C179" s="9"/>
      <c r="D179" s="37"/>
      <c r="E179" s="9"/>
    </row>
    <row r="180" spans="1:5">
      <c r="A180" s="5"/>
      <c r="B180" s="5"/>
      <c r="C180" s="5"/>
      <c r="D180" s="36"/>
      <c r="E180" s="5"/>
    </row>
    <row r="181" spans="1:5">
      <c r="A181" s="9"/>
      <c r="B181" s="9"/>
      <c r="C181" s="9"/>
      <c r="D181" s="37"/>
      <c r="E181" s="9"/>
    </row>
    <row r="182" spans="1:5">
      <c r="A182" s="38"/>
      <c r="B182" s="38"/>
      <c r="C182" s="38"/>
      <c r="D182" s="39"/>
      <c r="E182" s="38"/>
    </row>
    <row r="185" spans="1:5">
      <c r="A185" s="42"/>
      <c r="B185" s="42"/>
      <c r="C185" s="42"/>
      <c r="D185" s="43"/>
      <c r="E185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2CF0-1960-4FAE-A47A-E64ED1F59F3E}">
  <dimension ref="A1:U185"/>
  <sheetViews>
    <sheetView workbookViewId="0">
      <selection activeCell="D3" sqref="D3"/>
    </sheetView>
  </sheetViews>
  <sheetFormatPr defaultColWidth="12.54296875" defaultRowHeight="14.5"/>
  <cols>
    <col min="1" max="9" width="2.6328125" bestFit="1" customWidth="1"/>
    <col min="10" max="20" width="3.54296875" bestFit="1" customWidth="1"/>
    <col min="21" max="21" width="12.26953125" bestFit="1" customWidth="1"/>
  </cols>
  <sheetData>
    <row r="1" spans="1:21">
      <c r="A1" s="2" t="s">
        <v>44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58</v>
      </c>
      <c r="P1" s="2" t="s">
        <v>59</v>
      </c>
      <c r="Q1" s="2" t="s">
        <v>60</v>
      </c>
      <c r="R1" s="2" t="s">
        <v>61</v>
      </c>
      <c r="S1" s="2" t="s">
        <v>62</v>
      </c>
      <c r="T1" s="2" t="s">
        <v>63</v>
      </c>
      <c r="U1" s="2" t="s">
        <v>0</v>
      </c>
    </row>
    <row r="2" spans="1:21">
      <c r="A2" s="5">
        <v>4</v>
      </c>
      <c r="B2" s="5">
        <v>5</v>
      </c>
      <c r="C2" s="5">
        <v>4</v>
      </c>
      <c r="D2" s="5">
        <v>5</v>
      </c>
      <c r="E2" s="5">
        <v>4</v>
      </c>
      <c r="F2" s="5">
        <v>5</v>
      </c>
      <c r="G2" s="5">
        <v>5</v>
      </c>
      <c r="H2" s="5">
        <v>5</v>
      </c>
      <c r="I2" s="5">
        <v>5</v>
      </c>
      <c r="J2" s="5">
        <v>5</v>
      </c>
      <c r="K2" s="5">
        <v>5</v>
      </c>
      <c r="L2" s="5">
        <v>5</v>
      </c>
      <c r="M2" s="5">
        <v>4</v>
      </c>
      <c r="N2" s="5">
        <v>4</v>
      </c>
      <c r="O2" s="5">
        <v>4</v>
      </c>
      <c r="P2" s="5">
        <v>4</v>
      </c>
      <c r="Q2" s="5">
        <v>5</v>
      </c>
      <c r="R2" s="5">
        <v>5</v>
      </c>
      <c r="S2" s="5">
        <v>5</v>
      </c>
      <c r="T2" s="5">
        <v>4</v>
      </c>
      <c r="U2" s="5">
        <f>SUM(Form_Responses1[[#This Row],[Column9]:[Column28]])</f>
        <v>92</v>
      </c>
    </row>
    <row r="3" spans="1:21">
      <c r="A3" s="9">
        <v>4</v>
      </c>
      <c r="B3" s="9">
        <v>4</v>
      </c>
      <c r="C3" s="9">
        <v>2</v>
      </c>
      <c r="D3" s="9">
        <v>3</v>
      </c>
      <c r="E3" s="9">
        <v>3</v>
      </c>
      <c r="F3" s="9">
        <v>4</v>
      </c>
      <c r="G3" s="9">
        <v>3</v>
      </c>
      <c r="H3" s="9">
        <v>2</v>
      </c>
      <c r="I3" s="9">
        <v>2</v>
      </c>
      <c r="J3" s="9">
        <v>3</v>
      </c>
      <c r="K3" s="9">
        <v>2</v>
      </c>
      <c r="L3" s="9">
        <v>2</v>
      </c>
      <c r="M3" s="9">
        <v>2</v>
      </c>
      <c r="N3" s="9">
        <v>3</v>
      </c>
      <c r="O3" s="9">
        <v>3</v>
      </c>
      <c r="P3" s="9">
        <v>3</v>
      </c>
      <c r="Q3" s="9">
        <v>2</v>
      </c>
      <c r="R3" s="9">
        <v>3</v>
      </c>
      <c r="S3" s="9">
        <v>4</v>
      </c>
      <c r="T3" s="9">
        <v>3</v>
      </c>
      <c r="U3" s="5">
        <f>SUM(Form_Responses1[[#This Row],[Column9]:[Column28]])</f>
        <v>57</v>
      </c>
    </row>
    <row r="4" spans="1:21">
      <c r="A4" s="5">
        <v>5</v>
      </c>
      <c r="B4" s="5">
        <v>5</v>
      </c>
      <c r="C4" s="5">
        <v>5</v>
      </c>
      <c r="D4" s="5">
        <v>4</v>
      </c>
      <c r="E4" s="5">
        <v>5</v>
      </c>
      <c r="F4" s="5">
        <v>5</v>
      </c>
      <c r="G4" s="5">
        <v>4</v>
      </c>
      <c r="H4" s="5">
        <v>5</v>
      </c>
      <c r="I4" s="5">
        <v>5</v>
      </c>
      <c r="J4" s="5">
        <v>5</v>
      </c>
      <c r="K4" s="5">
        <v>5</v>
      </c>
      <c r="L4" s="5">
        <v>5</v>
      </c>
      <c r="M4" s="5">
        <v>5</v>
      </c>
      <c r="N4" s="5">
        <v>5</v>
      </c>
      <c r="O4" s="5">
        <v>5</v>
      </c>
      <c r="P4" s="5">
        <v>5</v>
      </c>
      <c r="Q4" s="5">
        <v>5</v>
      </c>
      <c r="R4" s="5">
        <v>5</v>
      </c>
      <c r="S4" s="5">
        <v>5</v>
      </c>
      <c r="T4" s="5">
        <v>5</v>
      </c>
      <c r="U4" s="5">
        <f>SUM(Form_Responses1[[#This Row],[Column9]:[Column28]])</f>
        <v>98</v>
      </c>
    </row>
    <row r="5" spans="1:21">
      <c r="A5" s="9">
        <v>3</v>
      </c>
      <c r="B5" s="9">
        <v>4</v>
      </c>
      <c r="C5" s="9">
        <v>3</v>
      </c>
      <c r="D5" s="9">
        <v>4</v>
      </c>
      <c r="E5" s="9">
        <v>4</v>
      </c>
      <c r="F5" s="9">
        <v>4</v>
      </c>
      <c r="G5" s="9">
        <v>4</v>
      </c>
      <c r="H5" s="9">
        <v>4</v>
      </c>
      <c r="I5" s="9">
        <v>4</v>
      </c>
      <c r="J5" s="9">
        <v>4</v>
      </c>
      <c r="K5" s="9">
        <v>4</v>
      </c>
      <c r="L5" s="9">
        <v>4</v>
      </c>
      <c r="M5" s="9">
        <v>4</v>
      </c>
      <c r="N5" s="9">
        <v>4</v>
      </c>
      <c r="O5" s="9">
        <v>4</v>
      </c>
      <c r="P5" s="9">
        <v>3</v>
      </c>
      <c r="Q5" s="9">
        <v>4</v>
      </c>
      <c r="R5" s="9">
        <v>3</v>
      </c>
      <c r="S5" s="9">
        <v>3</v>
      </c>
      <c r="T5" s="9">
        <v>3</v>
      </c>
      <c r="U5" s="5">
        <f>SUM(Form_Responses1[[#This Row],[Column9]:[Column28]])</f>
        <v>74</v>
      </c>
    </row>
    <row r="6" spans="1:21">
      <c r="A6" s="5">
        <v>4</v>
      </c>
      <c r="B6" s="5">
        <v>4</v>
      </c>
      <c r="C6" s="5">
        <v>4</v>
      </c>
      <c r="D6" s="5">
        <v>4</v>
      </c>
      <c r="E6" s="5">
        <v>4</v>
      </c>
      <c r="F6" s="5">
        <v>4</v>
      </c>
      <c r="G6" s="5">
        <v>4</v>
      </c>
      <c r="H6" s="5">
        <v>4</v>
      </c>
      <c r="I6" s="5">
        <v>4</v>
      </c>
      <c r="J6" s="5">
        <v>4</v>
      </c>
      <c r="K6" s="5">
        <v>4</v>
      </c>
      <c r="L6" s="5">
        <v>3</v>
      </c>
      <c r="M6" s="5">
        <v>4</v>
      </c>
      <c r="N6" s="5">
        <v>3</v>
      </c>
      <c r="O6" s="5">
        <v>4</v>
      </c>
      <c r="P6" s="5">
        <v>4</v>
      </c>
      <c r="Q6" s="5">
        <v>4</v>
      </c>
      <c r="R6" s="5">
        <v>4</v>
      </c>
      <c r="S6" s="5">
        <v>4</v>
      </c>
      <c r="T6" s="5">
        <v>4</v>
      </c>
      <c r="U6" s="5">
        <f>SUM(Form_Responses1[[#This Row],[Column9]:[Column28]])</f>
        <v>78</v>
      </c>
    </row>
    <row r="7" spans="1:21">
      <c r="A7" s="9">
        <v>5</v>
      </c>
      <c r="B7" s="9">
        <v>5</v>
      </c>
      <c r="C7" s="9">
        <v>4</v>
      </c>
      <c r="D7" s="9">
        <v>4</v>
      </c>
      <c r="E7" s="9">
        <v>5</v>
      </c>
      <c r="F7" s="9">
        <v>5</v>
      </c>
      <c r="G7" s="9">
        <v>5</v>
      </c>
      <c r="H7" s="9">
        <v>4</v>
      </c>
      <c r="I7" s="9">
        <v>4</v>
      </c>
      <c r="J7" s="9">
        <v>5</v>
      </c>
      <c r="K7" s="9">
        <v>5</v>
      </c>
      <c r="L7" s="9">
        <v>4</v>
      </c>
      <c r="M7" s="9">
        <v>5</v>
      </c>
      <c r="N7" s="9">
        <v>5</v>
      </c>
      <c r="O7" s="9">
        <v>5</v>
      </c>
      <c r="P7" s="9">
        <v>4</v>
      </c>
      <c r="Q7" s="9">
        <v>5</v>
      </c>
      <c r="R7" s="9">
        <v>5</v>
      </c>
      <c r="S7" s="9">
        <v>5</v>
      </c>
      <c r="T7" s="9">
        <v>5</v>
      </c>
      <c r="U7" s="5">
        <f>SUM(Form_Responses1[[#This Row],[Column9]:[Column28]])</f>
        <v>94</v>
      </c>
    </row>
    <row r="8" spans="1:21">
      <c r="A8" s="5">
        <v>4</v>
      </c>
      <c r="B8" s="5">
        <v>4</v>
      </c>
      <c r="C8" s="5">
        <v>4</v>
      </c>
      <c r="D8" s="5">
        <v>4</v>
      </c>
      <c r="E8" s="5">
        <v>5</v>
      </c>
      <c r="F8" s="5">
        <v>5</v>
      </c>
      <c r="G8" s="5">
        <v>4</v>
      </c>
      <c r="H8" s="5">
        <v>4</v>
      </c>
      <c r="I8" s="5">
        <v>4</v>
      </c>
      <c r="J8" s="5">
        <v>4</v>
      </c>
      <c r="K8" s="5">
        <v>5</v>
      </c>
      <c r="L8" s="5">
        <v>4</v>
      </c>
      <c r="M8" s="5">
        <v>5</v>
      </c>
      <c r="N8" s="5">
        <v>4</v>
      </c>
      <c r="O8" s="5">
        <v>5</v>
      </c>
      <c r="P8" s="5">
        <v>5</v>
      </c>
      <c r="Q8" s="5">
        <v>5</v>
      </c>
      <c r="R8" s="5">
        <v>4</v>
      </c>
      <c r="S8" s="5">
        <v>5</v>
      </c>
      <c r="T8" s="5">
        <v>4</v>
      </c>
      <c r="U8" s="5">
        <f>SUM(Form_Responses1[[#This Row],[Column9]:[Column28]])</f>
        <v>88</v>
      </c>
    </row>
    <row r="9" spans="1:21">
      <c r="A9" s="9">
        <v>2</v>
      </c>
      <c r="B9" s="9">
        <v>4</v>
      </c>
      <c r="C9" s="9">
        <v>3</v>
      </c>
      <c r="D9" s="9">
        <v>2</v>
      </c>
      <c r="E9" s="9">
        <v>3</v>
      </c>
      <c r="F9" s="9">
        <v>4</v>
      </c>
      <c r="G9" s="9">
        <v>3</v>
      </c>
      <c r="H9" s="9">
        <v>4</v>
      </c>
      <c r="I9" s="9">
        <v>4</v>
      </c>
      <c r="J9" s="9">
        <v>4</v>
      </c>
      <c r="K9" s="9">
        <v>3</v>
      </c>
      <c r="L9" s="9">
        <v>3</v>
      </c>
      <c r="M9" s="9">
        <v>2</v>
      </c>
      <c r="N9" s="9">
        <v>3</v>
      </c>
      <c r="O9" s="9">
        <v>3</v>
      </c>
      <c r="P9" s="9">
        <v>3</v>
      </c>
      <c r="Q9" s="9">
        <v>3</v>
      </c>
      <c r="R9" s="9">
        <v>3</v>
      </c>
      <c r="S9" s="9">
        <v>3</v>
      </c>
      <c r="T9" s="9">
        <v>2</v>
      </c>
      <c r="U9" s="5">
        <f>SUM(Form_Responses1[[#This Row],[Column9]:[Column28]])</f>
        <v>61</v>
      </c>
    </row>
    <row r="10" spans="1:21">
      <c r="A10" s="5">
        <v>3</v>
      </c>
      <c r="B10" s="5">
        <v>3</v>
      </c>
      <c r="C10" s="5">
        <v>3</v>
      </c>
      <c r="D10" s="5">
        <v>2</v>
      </c>
      <c r="E10" s="5">
        <v>2</v>
      </c>
      <c r="F10" s="5">
        <v>3</v>
      </c>
      <c r="G10" s="5">
        <v>2</v>
      </c>
      <c r="H10" s="5">
        <v>2</v>
      </c>
      <c r="I10" s="5">
        <v>3</v>
      </c>
      <c r="J10" s="5">
        <v>3</v>
      </c>
      <c r="K10" s="5">
        <v>3</v>
      </c>
      <c r="L10" s="5">
        <v>3</v>
      </c>
      <c r="M10" s="5">
        <v>3</v>
      </c>
      <c r="N10" s="5">
        <v>2</v>
      </c>
      <c r="O10" s="5">
        <v>3</v>
      </c>
      <c r="P10" s="5">
        <v>2</v>
      </c>
      <c r="Q10" s="5">
        <v>3</v>
      </c>
      <c r="R10" s="5">
        <v>3</v>
      </c>
      <c r="S10" s="5">
        <v>2</v>
      </c>
      <c r="T10" s="5">
        <v>2</v>
      </c>
      <c r="U10" s="5">
        <f>SUM(Form_Responses1[[#This Row],[Column9]:[Column28]])</f>
        <v>52</v>
      </c>
    </row>
    <row r="11" spans="1:21">
      <c r="A11" s="9">
        <v>2</v>
      </c>
      <c r="B11" s="9">
        <v>2</v>
      </c>
      <c r="C11" s="9">
        <v>3</v>
      </c>
      <c r="D11" s="9">
        <v>2</v>
      </c>
      <c r="E11" s="9">
        <v>3</v>
      </c>
      <c r="F11" s="9">
        <v>2</v>
      </c>
      <c r="G11" s="9">
        <v>2</v>
      </c>
      <c r="H11" s="9">
        <v>2</v>
      </c>
      <c r="I11" s="9">
        <v>3</v>
      </c>
      <c r="J11" s="9">
        <v>4</v>
      </c>
      <c r="K11" s="9">
        <v>2</v>
      </c>
      <c r="L11" s="9">
        <v>3</v>
      </c>
      <c r="M11" s="9">
        <v>4</v>
      </c>
      <c r="N11" s="9">
        <v>2</v>
      </c>
      <c r="O11" s="9">
        <v>4</v>
      </c>
      <c r="P11" s="9">
        <v>3</v>
      </c>
      <c r="Q11" s="9">
        <v>4</v>
      </c>
      <c r="R11" s="9">
        <v>2</v>
      </c>
      <c r="S11" s="9">
        <v>3</v>
      </c>
      <c r="T11" s="9">
        <v>2</v>
      </c>
      <c r="U11" s="5">
        <f>SUM(Form_Responses1[[#This Row],[Column9]:[Column28]])</f>
        <v>54</v>
      </c>
    </row>
    <row r="12" spans="1:21">
      <c r="A12" s="5">
        <v>5</v>
      </c>
      <c r="B12" s="5">
        <v>5</v>
      </c>
      <c r="C12" s="5">
        <v>5</v>
      </c>
      <c r="D12" s="5">
        <v>5</v>
      </c>
      <c r="E12" s="5">
        <v>5</v>
      </c>
      <c r="F12" s="5">
        <v>5</v>
      </c>
      <c r="G12" s="5">
        <v>5</v>
      </c>
      <c r="H12" s="5">
        <v>5</v>
      </c>
      <c r="I12" s="5">
        <v>5</v>
      </c>
      <c r="J12" s="5">
        <v>5</v>
      </c>
      <c r="K12" s="5">
        <v>5</v>
      </c>
      <c r="L12" s="5">
        <v>5</v>
      </c>
      <c r="M12" s="5">
        <v>5</v>
      </c>
      <c r="N12" s="5">
        <v>5</v>
      </c>
      <c r="O12" s="5">
        <v>5</v>
      </c>
      <c r="P12" s="5">
        <v>5</v>
      </c>
      <c r="Q12" s="5">
        <v>5</v>
      </c>
      <c r="R12" s="5">
        <v>5</v>
      </c>
      <c r="S12" s="5">
        <v>5</v>
      </c>
      <c r="T12" s="5">
        <v>5</v>
      </c>
      <c r="U12" s="5">
        <f>SUM(Form_Responses1[[#This Row],[Column9]:[Column28]])</f>
        <v>100</v>
      </c>
    </row>
    <row r="13" spans="1:21" ht="15.75" customHeight="1">
      <c r="A13" s="9">
        <v>4</v>
      </c>
      <c r="B13" s="9">
        <v>4</v>
      </c>
      <c r="C13" s="9">
        <v>4</v>
      </c>
      <c r="D13" s="9">
        <v>5</v>
      </c>
      <c r="E13" s="9">
        <v>5</v>
      </c>
      <c r="F13" s="9">
        <v>4</v>
      </c>
      <c r="G13" s="9">
        <v>4</v>
      </c>
      <c r="H13" s="9">
        <v>4</v>
      </c>
      <c r="I13" s="9">
        <v>5</v>
      </c>
      <c r="J13" s="9">
        <v>5</v>
      </c>
      <c r="K13" s="9">
        <v>5</v>
      </c>
      <c r="L13" s="9">
        <v>4</v>
      </c>
      <c r="M13" s="9">
        <v>5</v>
      </c>
      <c r="N13" s="9">
        <v>5</v>
      </c>
      <c r="O13" s="9">
        <v>4</v>
      </c>
      <c r="P13" s="9">
        <v>5</v>
      </c>
      <c r="Q13" s="9">
        <v>4</v>
      </c>
      <c r="R13" s="9">
        <v>5</v>
      </c>
      <c r="S13" s="9">
        <v>5</v>
      </c>
      <c r="T13" s="9">
        <v>5</v>
      </c>
      <c r="U13" s="5">
        <f>SUM(Form_Responses1[[#This Row],[Column9]:[Column28]])</f>
        <v>91</v>
      </c>
    </row>
    <row r="14" spans="1:21">
      <c r="A14" s="5">
        <v>4</v>
      </c>
      <c r="B14" s="5">
        <v>5</v>
      </c>
      <c r="C14" s="5">
        <v>4</v>
      </c>
      <c r="D14" s="5">
        <v>5</v>
      </c>
      <c r="E14" s="5">
        <v>5</v>
      </c>
      <c r="F14" s="5">
        <v>5</v>
      </c>
      <c r="G14" s="5">
        <v>5</v>
      </c>
      <c r="H14" s="5">
        <v>4</v>
      </c>
      <c r="I14" s="5">
        <v>4</v>
      </c>
      <c r="J14" s="5">
        <v>4</v>
      </c>
      <c r="K14" s="5">
        <v>5</v>
      </c>
      <c r="L14" s="5">
        <v>4</v>
      </c>
      <c r="M14" s="5">
        <v>5</v>
      </c>
      <c r="N14" s="5">
        <v>5</v>
      </c>
      <c r="O14" s="5">
        <v>5</v>
      </c>
      <c r="P14" s="5">
        <v>4</v>
      </c>
      <c r="Q14" s="5">
        <v>4</v>
      </c>
      <c r="R14" s="5">
        <v>4</v>
      </c>
      <c r="S14" s="5">
        <v>4</v>
      </c>
      <c r="T14" s="5">
        <v>4</v>
      </c>
      <c r="U14" s="5">
        <f>SUM(Form_Responses1[[#This Row],[Column9]:[Column28]])</f>
        <v>89</v>
      </c>
    </row>
    <row r="15" spans="1:21">
      <c r="A15" s="9">
        <v>3</v>
      </c>
      <c r="B15" s="9">
        <v>4</v>
      </c>
      <c r="C15" s="9">
        <v>4</v>
      </c>
      <c r="D15" s="9">
        <v>3</v>
      </c>
      <c r="E15" s="9">
        <v>2</v>
      </c>
      <c r="F15" s="9">
        <v>4</v>
      </c>
      <c r="G15" s="9">
        <v>4</v>
      </c>
      <c r="H15" s="9">
        <v>4</v>
      </c>
      <c r="I15" s="9">
        <v>2</v>
      </c>
      <c r="J15" s="9">
        <v>2</v>
      </c>
      <c r="K15" s="9">
        <v>3</v>
      </c>
      <c r="L15" s="9">
        <v>2</v>
      </c>
      <c r="M15" s="9">
        <v>2</v>
      </c>
      <c r="N15" s="9">
        <v>2</v>
      </c>
      <c r="O15" s="9">
        <v>3</v>
      </c>
      <c r="P15" s="9">
        <v>3</v>
      </c>
      <c r="Q15" s="9">
        <v>3</v>
      </c>
      <c r="R15" s="9">
        <v>4</v>
      </c>
      <c r="S15" s="9">
        <v>4</v>
      </c>
      <c r="T15" s="9">
        <v>3</v>
      </c>
      <c r="U15" s="5">
        <f>SUM(Form_Responses1[[#This Row],[Column9]:[Column28]])</f>
        <v>61</v>
      </c>
    </row>
    <row r="16" spans="1:21">
      <c r="A16" s="5">
        <v>5</v>
      </c>
      <c r="B16" s="5">
        <v>5</v>
      </c>
      <c r="C16" s="5">
        <v>5</v>
      </c>
      <c r="D16" s="5">
        <v>5</v>
      </c>
      <c r="E16" s="5">
        <v>5</v>
      </c>
      <c r="F16" s="5">
        <v>4</v>
      </c>
      <c r="G16" s="5">
        <v>5</v>
      </c>
      <c r="H16" s="5">
        <v>5</v>
      </c>
      <c r="I16" s="5">
        <v>5</v>
      </c>
      <c r="J16" s="5">
        <v>4</v>
      </c>
      <c r="K16" s="5">
        <v>4</v>
      </c>
      <c r="L16" s="5">
        <v>4</v>
      </c>
      <c r="M16" s="5">
        <v>5</v>
      </c>
      <c r="N16" s="5">
        <v>5</v>
      </c>
      <c r="O16" s="5">
        <v>4</v>
      </c>
      <c r="P16" s="5">
        <v>4</v>
      </c>
      <c r="Q16" s="5">
        <v>5</v>
      </c>
      <c r="R16" s="5">
        <v>5</v>
      </c>
      <c r="S16" s="5">
        <v>5</v>
      </c>
      <c r="T16" s="5">
        <v>5</v>
      </c>
      <c r="U16" s="5">
        <f>SUM(Form_Responses1[[#This Row],[Column9]:[Column28]])</f>
        <v>94</v>
      </c>
    </row>
    <row r="17" spans="1:21">
      <c r="A17" s="9">
        <v>2</v>
      </c>
      <c r="B17" s="9">
        <v>2</v>
      </c>
      <c r="C17" s="9">
        <v>2</v>
      </c>
      <c r="D17" s="9">
        <v>2</v>
      </c>
      <c r="E17" s="9">
        <v>2</v>
      </c>
      <c r="F17" s="9">
        <v>2</v>
      </c>
      <c r="G17" s="9">
        <v>3</v>
      </c>
      <c r="H17" s="9">
        <v>3</v>
      </c>
      <c r="I17" s="9">
        <v>3</v>
      </c>
      <c r="J17" s="9">
        <v>2</v>
      </c>
      <c r="K17" s="9">
        <v>3</v>
      </c>
      <c r="L17" s="9">
        <v>2</v>
      </c>
      <c r="M17" s="9">
        <v>2</v>
      </c>
      <c r="N17" s="9">
        <v>3</v>
      </c>
      <c r="O17" s="9">
        <v>2</v>
      </c>
      <c r="P17" s="9">
        <v>2</v>
      </c>
      <c r="Q17" s="9">
        <v>2</v>
      </c>
      <c r="R17" s="9">
        <v>2</v>
      </c>
      <c r="S17" s="9">
        <v>2</v>
      </c>
      <c r="T17" s="9">
        <v>2</v>
      </c>
      <c r="U17" s="5">
        <f>SUM(Form_Responses1[[#This Row],[Column9]:[Column28]])</f>
        <v>45</v>
      </c>
    </row>
    <row r="18" spans="1:21">
      <c r="A18" s="5">
        <v>4</v>
      </c>
      <c r="B18" s="5">
        <v>2</v>
      </c>
      <c r="C18" s="5">
        <v>3</v>
      </c>
      <c r="D18" s="5">
        <v>2</v>
      </c>
      <c r="E18" s="5">
        <v>3</v>
      </c>
      <c r="F18" s="5">
        <v>2</v>
      </c>
      <c r="G18" s="5">
        <v>3</v>
      </c>
      <c r="H18" s="5">
        <v>2</v>
      </c>
      <c r="I18" s="5">
        <v>3</v>
      </c>
      <c r="J18" s="5">
        <v>3</v>
      </c>
      <c r="K18" s="5">
        <v>4</v>
      </c>
      <c r="L18" s="5">
        <v>2</v>
      </c>
      <c r="M18" s="5">
        <v>3</v>
      </c>
      <c r="N18" s="5">
        <v>2</v>
      </c>
      <c r="O18" s="5">
        <v>4</v>
      </c>
      <c r="P18" s="5">
        <v>2</v>
      </c>
      <c r="Q18" s="5">
        <v>2</v>
      </c>
      <c r="R18" s="5">
        <v>3</v>
      </c>
      <c r="S18" s="5">
        <v>4</v>
      </c>
      <c r="T18" s="5">
        <v>4</v>
      </c>
      <c r="U18" s="5">
        <f>SUM(Form_Responses1[[#This Row],[Column9]:[Column28]])</f>
        <v>57</v>
      </c>
    </row>
    <row r="19" spans="1:21">
      <c r="A19" s="9">
        <v>3</v>
      </c>
      <c r="B19" s="9">
        <v>3</v>
      </c>
      <c r="C19" s="9">
        <v>4</v>
      </c>
      <c r="D19" s="9">
        <v>3</v>
      </c>
      <c r="E19" s="9">
        <v>3</v>
      </c>
      <c r="F19" s="9">
        <v>3</v>
      </c>
      <c r="G19" s="9">
        <v>3</v>
      </c>
      <c r="H19" s="9">
        <v>3</v>
      </c>
      <c r="I19" s="9">
        <v>3</v>
      </c>
      <c r="J19" s="9">
        <v>3</v>
      </c>
      <c r="K19" s="9">
        <v>3</v>
      </c>
      <c r="L19" s="9">
        <v>3</v>
      </c>
      <c r="M19" s="9">
        <v>3</v>
      </c>
      <c r="N19" s="9">
        <v>3</v>
      </c>
      <c r="O19" s="9">
        <v>3</v>
      </c>
      <c r="P19" s="9">
        <v>3</v>
      </c>
      <c r="Q19" s="9">
        <v>4</v>
      </c>
      <c r="R19" s="9">
        <v>4</v>
      </c>
      <c r="S19" s="9">
        <v>4</v>
      </c>
      <c r="T19" s="9">
        <v>3</v>
      </c>
      <c r="U19" s="5">
        <f>SUM(Form_Responses1[[#This Row],[Column9]:[Column28]])</f>
        <v>64</v>
      </c>
    </row>
    <row r="20" spans="1:21">
      <c r="A20" s="5">
        <v>2</v>
      </c>
      <c r="B20" s="5">
        <v>3</v>
      </c>
      <c r="C20" s="5">
        <v>2</v>
      </c>
      <c r="D20" s="5">
        <v>3</v>
      </c>
      <c r="E20" s="5">
        <v>3</v>
      </c>
      <c r="F20" s="5">
        <v>3</v>
      </c>
      <c r="G20" s="5">
        <v>3</v>
      </c>
      <c r="H20" s="5">
        <v>3</v>
      </c>
      <c r="I20" s="5">
        <v>2</v>
      </c>
      <c r="J20" s="5">
        <v>2</v>
      </c>
      <c r="K20" s="5">
        <v>3</v>
      </c>
      <c r="L20" s="5">
        <v>3</v>
      </c>
      <c r="M20" s="5">
        <v>3</v>
      </c>
      <c r="N20" s="5">
        <v>3</v>
      </c>
      <c r="O20" s="5">
        <v>3</v>
      </c>
      <c r="P20" s="5">
        <v>2</v>
      </c>
      <c r="Q20" s="5">
        <v>2</v>
      </c>
      <c r="R20" s="5">
        <v>2</v>
      </c>
      <c r="S20" s="5">
        <v>3</v>
      </c>
      <c r="T20" s="5">
        <v>3</v>
      </c>
      <c r="U20" s="5">
        <f>SUM(Form_Responses1[[#This Row],[Column9]:[Column28]])</f>
        <v>53</v>
      </c>
    </row>
    <row r="21" spans="1:21">
      <c r="A21" s="9">
        <v>3</v>
      </c>
      <c r="B21" s="9">
        <v>3</v>
      </c>
      <c r="C21" s="9">
        <v>3</v>
      </c>
      <c r="D21" s="9">
        <v>3</v>
      </c>
      <c r="E21" s="9">
        <v>3</v>
      </c>
      <c r="F21" s="9">
        <v>3</v>
      </c>
      <c r="G21" s="9">
        <v>3</v>
      </c>
      <c r="H21" s="9">
        <v>3</v>
      </c>
      <c r="I21" s="9">
        <v>3</v>
      </c>
      <c r="J21" s="9">
        <v>3</v>
      </c>
      <c r="K21" s="9">
        <v>3</v>
      </c>
      <c r="L21" s="9">
        <v>3</v>
      </c>
      <c r="M21" s="9">
        <v>3</v>
      </c>
      <c r="N21" s="9">
        <v>3</v>
      </c>
      <c r="O21" s="9">
        <v>3</v>
      </c>
      <c r="P21" s="9">
        <v>3</v>
      </c>
      <c r="Q21" s="9">
        <v>3</v>
      </c>
      <c r="R21" s="9">
        <v>3</v>
      </c>
      <c r="S21" s="9">
        <v>3</v>
      </c>
      <c r="T21" s="9">
        <v>3</v>
      </c>
      <c r="U21" s="5">
        <f>SUM(Form_Responses1[[#This Row],[Column9]:[Column28]])</f>
        <v>60</v>
      </c>
    </row>
    <row r="22" spans="1:21">
      <c r="A22" s="5">
        <v>4</v>
      </c>
      <c r="B22" s="5">
        <v>4</v>
      </c>
      <c r="C22" s="5">
        <v>4</v>
      </c>
      <c r="D22" s="5">
        <v>4</v>
      </c>
      <c r="E22" s="5">
        <v>4</v>
      </c>
      <c r="F22" s="5">
        <v>4</v>
      </c>
      <c r="G22" s="5">
        <v>4</v>
      </c>
      <c r="H22" s="5">
        <v>5</v>
      </c>
      <c r="I22" s="5">
        <v>5</v>
      </c>
      <c r="J22" s="5">
        <v>4</v>
      </c>
      <c r="K22" s="5">
        <v>4</v>
      </c>
      <c r="L22" s="5">
        <v>4</v>
      </c>
      <c r="M22" s="5">
        <v>4</v>
      </c>
      <c r="N22" s="5">
        <v>4</v>
      </c>
      <c r="O22" s="5">
        <v>5</v>
      </c>
      <c r="P22" s="5">
        <v>4</v>
      </c>
      <c r="Q22" s="5">
        <v>5</v>
      </c>
      <c r="R22" s="5">
        <v>4</v>
      </c>
      <c r="S22" s="5">
        <v>5</v>
      </c>
      <c r="T22" s="5">
        <v>5</v>
      </c>
      <c r="U22" s="5">
        <f>SUM(Form_Responses1[[#This Row],[Column9]:[Column28]])</f>
        <v>86</v>
      </c>
    </row>
    <row r="23" spans="1:21">
      <c r="A23" s="9">
        <v>4</v>
      </c>
      <c r="B23" s="9">
        <v>4</v>
      </c>
      <c r="C23" s="9">
        <v>3</v>
      </c>
      <c r="D23" s="9">
        <v>3</v>
      </c>
      <c r="E23" s="9">
        <v>3</v>
      </c>
      <c r="F23" s="9">
        <v>4</v>
      </c>
      <c r="G23" s="9">
        <v>5</v>
      </c>
      <c r="H23" s="9">
        <v>5</v>
      </c>
      <c r="I23" s="9">
        <v>4</v>
      </c>
      <c r="J23" s="9">
        <v>4</v>
      </c>
      <c r="K23" s="9">
        <v>4</v>
      </c>
      <c r="L23" s="9">
        <v>3</v>
      </c>
      <c r="M23" s="9">
        <v>3</v>
      </c>
      <c r="N23" s="9">
        <v>3</v>
      </c>
      <c r="O23" s="9">
        <v>2</v>
      </c>
      <c r="P23" s="9">
        <v>2</v>
      </c>
      <c r="Q23" s="9">
        <v>3</v>
      </c>
      <c r="R23" s="9">
        <v>3</v>
      </c>
      <c r="S23" s="9">
        <v>4</v>
      </c>
      <c r="T23" s="9">
        <v>4</v>
      </c>
      <c r="U23" s="5">
        <f>SUM(Form_Responses1[[#This Row],[Column9]:[Column28]])</f>
        <v>70</v>
      </c>
    </row>
    <row r="24" spans="1:21">
      <c r="A24" s="5">
        <v>4</v>
      </c>
      <c r="B24" s="5">
        <v>4</v>
      </c>
      <c r="C24" s="5">
        <v>4</v>
      </c>
      <c r="D24" s="5">
        <v>4</v>
      </c>
      <c r="E24" s="5">
        <v>4</v>
      </c>
      <c r="F24" s="5">
        <v>4</v>
      </c>
      <c r="G24" s="5">
        <v>4</v>
      </c>
      <c r="H24" s="5">
        <v>4</v>
      </c>
      <c r="I24" s="5">
        <v>4</v>
      </c>
      <c r="J24" s="5">
        <v>4</v>
      </c>
      <c r="K24" s="5">
        <v>3</v>
      </c>
      <c r="L24" s="5">
        <v>4</v>
      </c>
      <c r="M24" s="5">
        <v>3</v>
      </c>
      <c r="N24" s="5">
        <v>3</v>
      </c>
      <c r="O24" s="5">
        <v>3</v>
      </c>
      <c r="P24" s="5">
        <v>4</v>
      </c>
      <c r="Q24" s="5">
        <v>4</v>
      </c>
      <c r="R24" s="5">
        <v>4</v>
      </c>
      <c r="S24" s="5">
        <v>4</v>
      </c>
      <c r="T24" s="5">
        <v>4</v>
      </c>
      <c r="U24" s="5">
        <f>SUM(Form_Responses1[[#This Row],[Column9]:[Column28]])</f>
        <v>76</v>
      </c>
    </row>
    <row r="25" spans="1:21">
      <c r="A25" s="9">
        <v>4</v>
      </c>
      <c r="B25" s="9">
        <v>4</v>
      </c>
      <c r="C25" s="9">
        <v>5</v>
      </c>
      <c r="D25" s="9">
        <v>4</v>
      </c>
      <c r="E25" s="9">
        <v>5</v>
      </c>
      <c r="F25" s="9">
        <v>4</v>
      </c>
      <c r="G25" s="9">
        <v>5</v>
      </c>
      <c r="H25" s="9">
        <v>4</v>
      </c>
      <c r="I25" s="9">
        <v>4</v>
      </c>
      <c r="J25" s="9">
        <v>4</v>
      </c>
      <c r="K25" s="9">
        <v>4</v>
      </c>
      <c r="L25" s="9">
        <v>5</v>
      </c>
      <c r="M25" s="9">
        <v>5</v>
      </c>
      <c r="N25" s="9">
        <v>5</v>
      </c>
      <c r="O25" s="9">
        <v>5</v>
      </c>
      <c r="P25" s="9">
        <v>4</v>
      </c>
      <c r="Q25" s="9">
        <v>5</v>
      </c>
      <c r="R25" s="9">
        <v>5</v>
      </c>
      <c r="S25" s="9">
        <v>4</v>
      </c>
      <c r="T25" s="9">
        <v>4</v>
      </c>
      <c r="U25" s="5">
        <f>SUM(Form_Responses1[[#This Row],[Column9]:[Column28]])</f>
        <v>89</v>
      </c>
    </row>
    <row r="26" spans="1:21">
      <c r="A26" s="5">
        <v>4</v>
      </c>
      <c r="B26" s="5">
        <v>4</v>
      </c>
      <c r="C26" s="5">
        <v>4</v>
      </c>
      <c r="D26" s="5">
        <v>4</v>
      </c>
      <c r="E26" s="5">
        <v>4</v>
      </c>
      <c r="F26" s="5">
        <v>4</v>
      </c>
      <c r="G26" s="5">
        <v>4</v>
      </c>
      <c r="H26" s="5">
        <v>4</v>
      </c>
      <c r="I26" s="5">
        <v>4</v>
      </c>
      <c r="J26" s="5">
        <v>4</v>
      </c>
      <c r="K26" s="5">
        <v>4</v>
      </c>
      <c r="L26" s="5">
        <v>4</v>
      </c>
      <c r="M26" s="5">
        <v>4</v>
      </c>
      <c r="N26" s="5">
        <v>4</v>
      </c>
      <c r="O26" s="5">
        <v>4</v>
      </c>
      <c r="P26" s="5">
        <v>4</v>
      </c>
      <c r="Q26" s="5">
        <v>4</v>
      </c>
      <c r="R26" s="5">
        <v>4</v>
      </c>
      <c r="S26" s="5">
        <v>4</v>
      </c>
      <c r="T26" s="5">
        <v>4</v>
      </c>
      <c r="U26" s="5">
        <f>SUM(Form_Responses1[[#This Row],[Column9]:[Column28]])</f>
        <v>80</v>
      </c>
    </row>
    <row r="27" spans="1:21">
      <c r="A27" s="9">
        <v>5</v>
      </c>
      <c r="B27" s="9">
        <v>5</v>
      </c>
      <c r="C27" s="9">
        <v>5</v>
      </c>
      <c r="D27" s="9">
        <v>5</v>
      </c>
      <c r="E27" s="9">
        <v>5</v>
      </c>
      <c r="F27" s="9">
        <v>4</v>
      </c>
      <c r="G27" s="9">
        <v>5</v>
      </c>
      <c r="H27" s="9">
        <v>4</v>
      </c>
      <c r="I27" s="9">
        <v>5</v>
      </c>
      <c r="J27" s="9">
        <v>5</v>
      </c>
      <c r="K27" s="9">
        <v>5</v>
      </c>
      <c r="L27" s="9">
        <v>5</v>
      </c>
      <c r="M27" s="9">
        <v>5</v>
      </c>
      <c r="N27" s="9">
        <v>5</v>
      </c>
      <c r="O27" s="9">
        <v>5</v>
      </c>
      <c r="P27" s="9">
        <v>5</v>
      </c>
      <c r="Q27" s="9">
        <v>5</v>
      </c>
      <c r="R27" s="9">
        <v>5</v>
      </c>
      <c r="S27" s="9">
        <v>5</v>
      </c>
      <c r="T27" s="9">
        <v>5</v>
      </c>
      <c r="U27" s="5">
        <f>SUM(Form_Responses1[[#This Row],[Column9]:[Column28]])</f>
        <v>98</v>
      </c>
    </row>
    <row r="28" spans="1:21">
      <c r="A28" s="5">
        <v>4</v>
      </c>
      <c r="B28" s="5">
        <v>3</v>
      </c>
      <c r="C28" s="5">
        <v>4</v>
      </c>
      <c r="D28" s="5">
        <v>3</v>
      </c>
      <c r="E28" s="5">
        <v>2</v>
      </c>
      <c r="F28" s="5">
        <v>4</v>
      </c>
      <c r="G28" s="5">
        <v>4</v>
      </c>
      <c r="H28" s="5">
        <v>2</v>
      </c>
      <c r="I28" s="5">
        <v>3</v>
      </c>
      <c r="J28" s="5">
        <v>4</v>
      </c>
      <c r="K28" s="5">
        <v>4</v>
      </c>
      <c r="L28" s="5">
        <v>3</v>
      </c>
      <c r="M28" s="5">
        <v>2</v>
      </c>
      <c r="N28" s="5">
        <v>2</v>
      </c>
      <c r="O28" s="5">
        <v>4</v>
      </c>
      <c r="P28" s="5">
        <v>3</v>
      </c>
      <c r="Q28" s="5">
        <v>3</v>
      </c>
      <c r="R28" s="5">
        <v>4</v>
      </c>
      <c r="S28" s="5">
        <v>4</v>
      </c>
      <c r="T28" s="5">
        <v>4</v>
      </c>
      <c r="U28" s="5">
        <f>SUM(Form_Responses1[[#This Row],[Column9]:[Column28]])</f>
        <v>66</v>
      </c>
    </row>
    <row r="29" spans="1:21">
      <c r="A29" s="9">
        <v>4</v>
      </c>
      <c r="B29" s="9">
        <v>4</v>
      </c>
      <c r="C29" s="9">
        <v>3</v>
      </c>
      <c r="D29" s="9">
        <v>3</v>
      </c>
      <c r="E29" s="9">
        <v>4</v>
      </c>
      <c r="F29" s="9">
        <v>4</v>
      </c>
      <c r="G29" s="9">
        <v>4</v>
      </c>
      <c r="H29" s="9">
        <v>4</v>
      </c>
      <c r="I29" s="9">
        <v>4</v>
      </c>
      <c r="J29" s="9">
        <v>4</v>
      </c>
      <c r="K29" s="9">
        <v>4</v>
      </c>
      <c r="L29" s="9">
        <v>4</v>
      </c>
      <c r="M29" s="9">
        <v>4</v>
      </c>
      <c r="N29" s="9">
        <v>4</v>
      </c>
      <c r="O29" s="9">
        <v>4</v>
      </c>
      <c r="P29" s="9">
        <v>4</v>
      </c>
      <c r="Q29" s="9">
        <v>4</v>
      </c>
      <c r="R29" s="9">
        <v>4</v>
      </c>
      <c r="S29" s="9">
        <v>4</v>
      </c>
      <c r="T29" s="9">
        <v>4</v>
      </c>
      <c r="U29" s="5">
        <f>SUM(Form_Responses1[[#This Row],[Column9]:[Column28]])</f>
        <v>78</v>
      </c>
    </row>
    <row r="30" spans="1:21">
      <c r="A30" s="5">
        <v>4</v>
      </c>
      <c r="B30" s="5">
        <v>4</v>
      </c>
      <c r="C30" s="5">
        <v>4</v>
      </c>
      <c r="D30" s="5">
        <v>4</v>
      </c>
      <c r="E30" s="5">
        <v>5</v>
      </c>
      <c r="F30" s="5">
        <v>4</v>
      </c>
      <c r="G30" s="5">
        <v>5</v>
      </c>
      <c r="H30" s="5">
        <v>4</v>
      </c>
      <c r="I30" s="5">
        <v>5</v>
      </c>
      <c r="J30" s="5">
        <v>4</v>
      </c>
      <c r="K30" s="5">
        <v>4</v>
      </c>
      <c r="L30" s="5">
        <v>5</v>
      </c>
      <c r="M30" s="5">
        <v>5</v>
      </c>
      <c r="N30" s="5">
        <v>4</v>
      </c>
      <c r="O30" s="5">
        <v>4</v>
      </c>
      <c r="P30" s="5">
        <v>3</v>
      </c>
      <c r="Q30" s="5">
        <v>4</v>
      </c>
      <c r="R30" s="5">
        <v>3</v>
      </c>
      <c r="S30" s="5">
        <v>4</v>
      </c>
      <c r="T30" s="5">
        <v>4</v>
      </c>
      <c r="U30" s="5">
        <f>SUM(Form_Responses1[[#This Row],[Column9]:[Column28]])</f>
        <v>83</v>
      </c>
    </row>
    <row r="31" spans="1:21">
      <c r="A31" s="9">
        <v>4</v>
      </c>
      <c r="B31" s="9">
        <v>3</v>
      </c>
      <c r="C31" s="9">
        <v>3</v>
      </c>
      <c r="D31" s="9">
        <v>4</v>
      </c>
      <c r="E31" s="9">
        <v>4</v>
      </c>
      <c r="F31" s="9">
        <v>4</v>
      </c>
      <c r="G31" s="9">
        <v>4</v>
      </c>
      <c r="H31" s="9">
        <v>4</v>
      </c>
      <c r="I31" s="9">
        <v>4</v>
      </c>
      <c r="J31" s="9">
        <v>4</v>
      </c>
      <c r="K31" s="9">
        <v>4</v>
      </c>
      <c r="L31" s="9">
        <v>4</v>
      </c>
      <c r="M31" s="9">
        <v>4</v>
      </c>
      <c r="N31" s="9">
        <v>4</v>
      </c>
      <c r="O31" s="9">
        <v>4</v>
      </c>
      <c r="P31" s="9">
        <v>4</v>
      </c>
      <c r="Q31" s="9">
        <v>4</v>
      </c>
      <c r="R31" s="9">
        <v>3</v>
      </c>
      <c r="S31" s="9">
        <v>3</v>
      </c>
      <c r="T31" s="9">
        <v>4</v>
      </c>
      <c r="U31" s="5">
        <f>SUM(Form_Responses1[[#This Row],[Column9]:[Column28]])</f>
        <v>76</v>
      </c>
    </row>
    <row r="32" spans="1:21">
      <c r="A32" s="5">
        <v>3</v>
      </c>
      <c r="B32" s="5">
        <v>3</v>
      </c>
      <c r="C32" s="5">
        <v>3</v>
      </c>
      <c r="D32" s="5">
        <v>3</v>
      </c>
      <c r="E32" s="5">
        <v>4</v>
      </c>
      <c r="F32" s="5">
        <v>4</v>
      </c>
      <c r="G32" s="5">
        <v>4</v>
      </c>
      <c r="H32" s="5">
        <v>4</v>
      </c>
      <c r="I32" s="5">
        <v>4</v>
      </c>
      <c r="J32" s="5">
        <v>4</v>
      </c>
      <c r="K32" s="5">
        <v>3</v>
      </c>
      <c r="L32" s="5">
        <v>4</v>
      </c>
      <c r="M32" s="5">
        <v>3</v>
      </c>
      <c r="N32" s="5">
        <v>4</v>
      </c>
      <c r="O32" s="5">
        <v>4</v>
      </c>
      <c r="P32" s="5">
        <v>3</v>
      </c>
      <c r="Q32" s="5">
        <v>5</v>
      </c>
      <c r="R32" s="5">
        <v>4</v>
      </c>
      <c r="S32" s="5">
        <v>3</v>
      </c>
      <c r="T32" s="5">
        <v>3</v>
      </c>
      <c r="U32" s="5">
        <f>SUM(Form_Responses1[[#This Row],[Column9]:[Column28]])</f>
        <v>72</v>
      </c>
    </row>
    <row r="33" spans="1:21">
      <c r="A33" s="9">
        <v>3</v>
      </c>
      <c r="B33" s="9">
        <v>4</v>
      </c>
      <c r="C33" s="9">
        <v>3</v>
      </c>
      <c r="D33" s="9">
        <v>3</v>
      </c>
      <c r="E33" s="9">
        <v>4</v>
      </c>
      <c r="F33" s="9">
        <v>4</v>
      </c>
      <c r="G33" s="9">
        <v>4</v>
      </c>
      <c r="H33" s="9">
        <v>4</v>
      </c>
      <c r="I33" s="9">
        <v>4</v>
      </c>
      <c r="J33" s="9">
        <v>4</v>
      </c>
      <c r="K33" s="9">
        <v>3</v>
      </c>
      <c r="L33" s="9">
        <v>4</v>
      </c>
      <c r="M33" s="9">
        <v>4</v>
      </c>
      <c r="N33" s="9">
        <v>4</v>
      </c>
      <c r="O33" s="9">
        <v>5</v>
      </c>
      <c r="P33" s="9">
        <v>3</v>
      </c>
      <c r="Q33" s="9">
        <v>4</v>
      </c>
      <c r="R33" s="9">
        <v>3</v>
      </c>
      <c r="S33" s="9">
        <v>4</v>
      </c>
      <c r="T33" s="9">
        <v>2</v>
      </c>
      <c r="U33" s="5">
        <f>SUM(Form_Responses1[[#This Row],[Column9]:[Column28]])</f>
        <v>73</v>
      </c>
    </row>
    <row r="34" spans="1:21">
      <c r="A34" s="5">
        <v>4</v>
      </c>
      <c r="B34" s="5">
        <v>5</v>
      </c>
      <c r="C34" s="5">
        <v>4</v>
      </c>
      <c r="D34" s="5">
        <v>5</v>
      </c>
      <c r="E34" s="5">
        <v>5</v>
      </c>
      <c r="F34" s="5">
        <v>4</v>
      </c>
      <c r="G34" s="5">
        <v>4</v>
      </c>
      <c r="H34" s="5">
        <v>4</v>
      </c>
      <c r="I34" s="5">
        <v>5</v>
      </c>
      <c r="J34" s="5">
        <v>5</v>
      </c>
      <c r="K34" s="5">
        <v>5</v>
      </c>
      <c r="L34" s="5">
        <v>5</v>
      </c>
      <c r="M34" s="5">
        <v>5</v>
      </c>
      <c r="N34" s="5">
        <v>4</v>
      </c>
      <c r="O34" s="5">
        <v>4</v>
      </c>
      <c r="P34" s="5">
        <v>5</v>
      </c>
      <c r="Q34" s="5">
        <v>4</v>
      </c>
      <c r="R34" s="5">
        <v>4</v>
      </c>
      <c r="S34" s="5">
        <v>5</v>
      </c>
      <c r="T34" s="5">
        <v>5</v>
      </c>
      <c r="U34" s="5">
        <f>SUM(Form_Responses1[[#This Row],[Column9]:[Column28]])</f>
        <v>91</v>
      </c>
    </row>
    <row r="35" spans="1:21">
      <c r="A35" s="9">
        <v>4</v>
      </c>
      <c r="B35" s="9">
        <v>4</v>
      </c>
      <c r="C35" s="9">
        <v>4</v>
      </c>
      <c r="D35" s="9">
        <v>4</v>
      </c>
      <c r="E35" s="9">
        <v>3</v>
      </c>
      <c r="F35" s="9">
        <v>3</v>
      </c>
      <c r="G35" s="9">
        <v>4</v>
      </c>
      <c r="H35" s="9">
        <v>4</v>
      </c>
      <c r="I35" s="9">
        <v>4</v>
      </c>
      <c r="J35" s="9">
        <v>3</v>
      </c>
      <c r="K35" s="9">
        <v>4</v>
      </c>
      <c r="L35" s="9">
        <v>4</v>
      </c>
      <c r="M35" s="9">
        <v>3</v>
      </c>
      <c r="N35" s="9">
        <v>4</v>
      </c>
      <c r="O35" s="9">
        <v>4</v>
      </c>
      <c r="P35" s="9">
        <v>3</v>
      </c>
      <c r="Q35" s="9">
        <v>3</v>
      </c>
      <c r="R35" s="9">
        <v>4</v>
      </c>
      <c r="S35" s="9">
        <v>4</v>
      </c>
      <c r="T35" s="9">
        <v>3</v>
      </c>
      <c r="U35" s="5">
        <f>SUM(Form_Responses1[[#This Row],[Column9]:[Column28]])</f>
        <v>73</v>
      </c>
    </row>
    <row r="36" spans="1:21">
      <c r="A36" s="5">
        <v>2</v>
      </c>
      <c r="B36" s="5">
        <v>2</v>
      </c>
      <c r="C36" s="5">
        <v>2</v>
      </c>
      <c r="D36" s="5">
        <v>2</v>
      </c>
      <c r="E36" s="5">
        <v>2</v>
      </c>
      <c r="F36" s="5">
        <v>2</v>
      </c>
      <c r="G36" s="5">
        <v>1</v>
      </c>
      <c r="H36" s="5">
        <v>2</v>
      </c>
      <c r="I36" s="5">
        <v>2</v>
      </c>
      <c r="J36" s="5">
        <v>2</v>
      </c>
      <c r="K36" s="5">
        <v>1</v>
      </c>
      <c r="L36" s="5">
        <v>2</v>
      </c>
      <c r="M36" s="5">
        <v>1</v>
      </c>
      <c r="N36" s="5">
        <v>1</v>
      </c>
      <c r="O36" s="5">
        <v>1</v>
      </c>
      <c r="P36" s="5">
        <v>2</v>
      </c>
      <c r="Q36" s="5">
        <v>2</v>
      </c>
      <c r="R36" s="5">
        <v>1</v>
      </c>
      <c r="S36" s="5">
        <v>1</v>
      </c>
      <c r="T36" s="5">
        <v>1</v>
      </c>
      <c r="U36" s="5">
        <f>SUM(Form_Responses1[[#This Row],[Column9]:[Column28]])</f>
        <v>32</v>
      </c>
    </row>
    <row r="37" spans="1:21">
      <c r="A37" s="9">
        <v>3</v>
      </c>
      <c r="B37" s="9">
        <v>3</v>
      </c>
      <c r="C37" s="9">
        <v>3</v>
      </c>
      <c r="D37" s="9">
        <v>3</v>
      </c>
      <c r="E37" s="9">
        <v>3</v>
      </c>
      <c r="F37" s="9">
        <v>3</v>
      </c>
      <c r="G37" s="9">
        <v>3</v>
      </c>
      <c r="H37" s="9">
        <v>3</v>
      </c>
      <c r="I37" s="9">
        <v>3</v>
      </c>
      <c r="J37" s="9">
        <v>3</v>
      </c>
      <c r="K37" s="9">
        <v>3</v>
      </c>
      <c r="L37" s="9">
        <v>3</v>
      </c>
      <c r="M37" s="9">
        <v>3</v>
      </c>
      <c r="N37" s="9">
        <v>3</v>
      </c>
      <c r="O37" s="9">
        <v>3</v>
      </c>
      <c r="P37" s="9">
        <v>3</v>
      </c>
      <c r="Q37" s="9">
        <v>3</v>
      </c>
      <c r="R37" s="9">
        <v>3</v>
      </c>
      <c r="S37" s="9">
        <v>3</v>
      </c>
      <c r="T37" s="9">
        <v>3</v>
      </c>
      <c r="U37" s="5">
        <f>SUM(Form_Responses1[[#This Row],[Column9]:[Column28]])</f>
        <v>60</v>
      </c>
    </row>
    <row r="38" spans="1:21">
      <c r="A38" s="5">
        <v>4</v>
      </c>
      <c r="B38" s="5">
        <v>4</v>
      </c>
      <c r="C38" s="5">
        <v>4</v>
      </c>
      <c r="D38" s="5">
        <v>4</v>
      </c>
      <c r="E38" s="5">
        <v>4</v>
      </c>
      <c r="F38" s="5">
        <v>4</v>
      </c>
      <c r="G38" s="5">
        <v>4</v>
      </c>
      <c r="H38" s="5">
        <v>4</v>
      </c>
      <c r="I38" s="5">
        <v>4</v>
      </c>
      <c r="J38" s="5">
        <v>4</v>
      </c>
      <c r="K38" s="5">
        <v>3</v>
      </c>
      <c r="L38" s="5">
        <v>4</v>
      </c>
      <c r="M38" s="5">
        <v>3</v>
      </c>
      <c r="N38" s="5">
        <v>3</v>
      </c>
      <c r="O38" s="5">
        <v>3</v>
      </c>
      <c r="P38" s="5">
        <v>4</v>
      </c>
      <c r="Q38" s="5">
        <v>4</v>
      </c>
      <c r="R38" s="5">
        <v>4</v>
      </c>
      <c r="S38" s="5">
        <v>4</v>
      </c>
      <c r="T38" s="5">
        <v>4</v>
      </c>
      <c r="U38" s="5">
        <f>SUM(Form_Responses1[[#This Row],[Column9]:[Column28]])</f>
        <v>76</v>
      </c>
    </row>
    <row r="39" spans="1:21">
      <c r="A39" s="9">
        <v>4</v>
      </c>
      <c r="B39" s="9">
        <v>5</v>
      </c>
      <c r="C39" s="9">
        <v>4</v>
      </c>
      <c r="D39" s="9">
        <v>4</v>
      </c>
      <c r="E39" s="9">
        <v>5</v>
      </c>
      <c r="F39" s="9">
        <v>5</v>
      </c>
      <c r="G39" s="9">
        <v>5</v>
      </c>
      <c r="H39" s="9">
        <v>4</v>
      </c>
      <c r="I39" s="9">
        <v>4</v>
      </c>
      <c r="J39" s="9">
        <v>4</v>
      </c>
      <c r="K39" s="9">
        <v>5</v>
      </c>
      <c r="L39" s="9">
        <v>4</v>
      </c>
      <c r="M39" s="9">
        <v>5</v>
      </c>
      <c r="N39" s="9">
        <v>4</v>
      </c>
      <c r="O39" s="9">
        <v>5</v>
      </c>
      <c r="P39" s="9">
        <v>5</v>
      </c>
      <c r="Q39" s="9">
        <v>5</v>
      </c>
      <c r="R39" s="9">
        <v>5</v>
      </c>
      <c r="S39" s="9">
        <v>4</v>
      </c>
      <c r="T39" s="9">
        <v>5</v>
      </c>
      <c r="U39" s="5">
        <f>SUM(Form_Responses1[[#This Row],[Column9]:[Column28]])</f>
        <v>91</v>
      </c>
    </row>
    <row r="40" spans="1:21">
      <c r="A40" s="5">
        <v>4</v>
      </c>
      <c r="B40" s="5">
        <v>4</v>
      </c>
      <c r="C40" s="5">
        <v>5</v>
      </c>
      <c r="D40" s="5">
        <v>4</v>
      </c>
      <c r="E40" s="5">
        <v>5</v>
      </c>
      <c r="F40" s="5">
        <v>4</v>
      </c>
      <c r="G40" s="5">
        <v>5</v>
      </c>
      <c r="H40" s="5">
        <v>4</v>
      </c>
      <c r="I40" s="5">
        <v>4</v>
      </c>
      <c r="J40" s="5">
        <v>4</v>
      </c>
      <c r="K40" s="5">
        <v>4</v>
      </c>
      <c r="L40" s="5">
        <v>4</v>
      </c>
      <c r="M40" s="5">
        <v>5</v>
      </c>
      <c r="N40" s="5">
        <v>5</v>
      </c>
      <c r="O40" s="5">
        <v>4</v>
      </c>
      <c r="P40" s="5">
        <v>4</v>
      </c>
      <c r="Q40" s="5">
        <v>5</v>
      </c>
      <c r="R40" s="5">
        <v>5</v>
      </c>
      <c r="S40" s="5">
        <v>4</v>
      </c>
      <c r="T40" s="5">
        <v>4</v>
      </c>
      <c r="U40" s="5">
        <f>SUM(Form_Responses1[[#This Row],[Column9]:[Column28]])</f>
        <v>87</v>
      </c>
    </row>
    <row r="41" spans="1:21">
      <c r="A41" s="9">
        <v>5</v>
      </c>
      <c r="B41" s="9">
        <v>5</v>
      </c>
      <c r="C41" s="9">
        <v>5</v>
      </c>
      <c r="D41" s="9">
        <v>5</v>
      </c>
      <c r="E41" s="9">
        <v>5</v>
      </c>
      <c r="F41" s="9">
        <v>5</v>
      </c>
      <c r="G41" s="9">
        <v>5</v>
      </c>
      <c r="H41" s="9">
        <v>5</v>
      </c>
      <c r="I41" s="9">
        <v>5</v>
      </c>
      <c r="J41" s="9">
        <v>5</v>
      </c>
      <c r="K41" s="9">
        <v>5</v>
      </c>
      <c r="L41" s="9">
        <v>5</v>
      </c>
      <c r="M41" s="9">
        <v>5</v>
      </c>
      <c r="N41" s="9">
        <v>5</v>
      </c>
      <c r="O41" s="9">
        <v>5</v>
      </c>
      <c r="P41" s="9">
        <v>5</v>
      </c>
      <c r="Q41" s="9">
        <v>5</v>
      </c>
      <c r="R41" s="9">
        <v>5</v>
      </c>
      <c r="S41" s="9">
        <v>5</v>
      </c>
      <c r="T41" s="9">
        <v>5</v>
      </c>
      <c r="U41" s="5">
        <f>SUM(Form_Responses1[[#This Row],[Column9]:[Column28]])</f>
        <v>100</v>
      </c>
    </row>
    <row r="42" spans="1:21">
      <c r="A42" s="5">
        <v>4</v>
      </c>
      <c r="B42" s="5">
        <v>2</v>
      </c>
      <c r="C42" s="5">
        <v>2</v>
      </c>
      <c r="D42" s="5">
        <v>3</v>
      </c>
      <c r="E42" s="5">
        <v>2</v>
      </c>
      <c r="F42" s="5">
        <v>4</v>
      </c>
      <c r="G42" s="5">
        <v>3</v>
      </c>
      <c r="H42" s="5">
        <v>4</v>
      </c>
      <c r="I42" s="5">
        <v>3</v>
      </c>
      <c r="J42" s="5">
        <v>2</v>
      </c>
      <c r="K42" s="5">
        <v>4</v>
      </c>
      <c r="L42" s="5">
        <v>4</v>
      </c>
      <c r="M42" s="5">
        <v>3</v>
      </c>
      <c r="N42" s="5">
        <v>4</v>
      </c>
      <c r="O42" s="5">
        <v>2</v>
      </c>
      <c r="P42" s="5">
        <v>3</v>
      </c>
      <c r="Q42" s="5">
        <v>4</v>
      </c>
      <c r="R42" s="5">
        <v>3</v>
      </c>
      <c r="S42" s="5">
        <v>2</v>
      </c>
      <c r="T42" s="5">
        <v>3</v>
      </c>
      <c r="U42" s="5">
        <f>SUM(Form_Responses1[[#This Row],[Column9]:[Column28]])</f>
        <v>61</v>
      </c>
    </row>
    <row r="43" spans="1:21">
      <c r="A43" s="9">
        <v>4</v>
      </c>
      <c r="B43" s="9">
        <v>4</v>
      </c>
      <c r="C43" s="9">
        <v>3</v>
      </c>
      <c r="D43" s="9">
        <v>4</v>
      </c>
      <c r="E43" s="9">
        <v>4</v>
      </c>
      <c r="F43" s="9">
        <v>3</v>
      </c>
      <c r="G43" s="9">
        <v>4</v>
      </c>
      <c r="H43" s="9">
        <v>4</v>
      </c>
      <c r="I43" s="9">
        <v>4</v>
      </c>
      <c r="J43" s="9">
        <v>4</v>
      </c>
      <c r="K43" s="9">
        <v>3</v>
      </c>
      <c r="L43" s="9">
        <v>3</v>
      </c>
      <c r="M43" s="9">
        <v>3</v>
      </c>
      <c r="N43" s="9">
        <v>3</v>
      </c>
      <c r="O43" s="9">
        <v>4</v>
      </c>
      <c r="P43" s="9">
        <v>4</v>
      </c>
      <c r="Q43" s="9">
        <v>4</v>
      </c>
      <c r="R43" s="9">
        <v>4</v>
      </c>
      <c r="S43" s="9">
        <v>3</v>
      </c>
      <c r="T43" s="9">
        <v>4</v>
      </c>
      <c r="U43" s="5">
        <f>SUM(Form_Responses1[[#This Row],[Column9]:[Column28]])</f>
        <v>73</v>
      </c>
    </row>
    <row r="44" spans="1:21">
      <c r="A44" s="5">
        <v>5</v>
      </c>
      <c r="B44" s="5">
        <v>4</v>
      </c>
      <c r="C44" s="5">
        <v>5</v>
      </c>
      <c r="D44" s="5">
        <v>5</v>
      </c>
      <c r="E44" s="5">
        <v>5</v>
      </c>
      <c r="F44" s="5">
        <v>4</v>
      </c>
      <c r="G44" s="5">
        <v>5</v>
      </c>
      <c r="H44" s="5">
        <v>5</v>
      </c>
      <c r="I44" s="5">
        <v>4</v>
      </c>
      <c r="J44" s="5">
        <v>4</v>
      </c>
      <c r="K44" s="5">
        <v>4</v>
      </c>
      <c r="L44" s="5">
        <v>5</v>
      </c>
      <c r="M44" s="5">
        <v>4</v>
      </c>
      <c r="N44" s="5">
        <v>4</v>
      </c>
      <c r="O44" s="5">
        <v>5</v>
      </c>
      <c r="P44" s="5">
        <v>5</v>
      </c>
      <c r="Q44" s="5">
        <v>4</v>
      </c>
      <c r="R44" s="5">
        <v>5</v>
      </c>
      <c r="S44" s="5">
        <v>4</v>
      </c>
      <c r="T44" s="5">
        <v>5</v>
      </c>
      <c r="U44" s="5">
        <f>SUM(Form_Responses1[[#This Row],[Column9]:[Column28]])</f>
        <v>91</v>
      </c>
    </row>
    <row r="45" spans="1:21">
      <c r="A45" s="9">
        <v>5</v>
      </c>
      <c r="B45" s="9">
        <v>4</v>
      </c>
      <c r="C45" s="9">
        <v>4</v>
      </c>
      <c r="D45" s="9">
        <v>4</v>
      </c>
      <c r="E45" s="9">
        <v>4</v>
      </c>
      <c r="F45" s="9">
        <v>4</v>
      </c>
      <c r="G45" s="9">
        <v>4</v>
      </c>
      <c r="H45" s="9">
        <v>5</v>
      </c>
      <c r="I45" s="9">
        <v>4</v>
      </c>
      <c r="J45" s="9">
        <v>4</v>
      </c>
      <c r="K45" s="9">
        <v>5</v>
      </c>
      <c r="L45" s="9">
        <v>5</v>
      </c>
      <c r="M45" s="9">
        <v>5</v>
      </c>
      <c r="N45" s="9">
        <v>4</v>
      </c>
      <c r="O45" s="9">
        <v>5</v>
      </c>
      <c r="P45" s="9">
        <v>5</v>
      </c>
      <c r="Q45" s="9">
        <v>5</v>
      </c>
      <c r="R45" s="9">
        <v>5</v>
      </c>
      <c r="S45" s="9">
        <v>5</v>
      </c>
      <c r="T45" s="9">
        <v>5</v>
      </c>
      <c r="U45" s="5">
        <f>SUM(Form_Responses1[[#This Row],[Column9]:[Column28]])</f>
        <v>91</v>
      </c>
    </row>
    <row r="46" spans="1:21">
      <c r="A46" s="5">
        <v>5</v>
      </c>
      <c r="B46" s="5">
        <v>3</v>
      </c>
      <c r="C46" s="5">
        <v>3</v>
      </c>
      <c r="D46" s="5">
        <v>3</v>
      </c>
      <c r="E46" s="5">
        <v>4</v>
      </c>
      <c r="F46" s="5">
        <v>3</v>
      </c>
      <c r="G46" s="5">
        <v>3</v>
      </c>
      <c r="H46" s="5">
        <v>2</v>
      </c>
      <c r="I46" s="5">
        <v>4</v>
      </c>
      <c r="J46" s="5">
        <v>3</v>
      </c>
      <c r="K46" s="5">
        <v>3</v>
      </c>
      <c r="L46" s="5">
        <v>4</v>
      </c>
      <c r="M46" s="5">
        <v>3</v>
      </c>
      <c r="N46" s="5">
        <v>3</v>
      </c>
      <c r="O46" s="5">
        <v>3</v>
      </c>
      <c r="P46" s="5">
        <v>2</v>
      </c>
      <c r="Q46" s="5">
        <v>3</v>
      </c>
      <c r="R46" s="5">
        <v>4</v>
      </c>
      <c r="S46" s="5">
        <v>4</v>
      </c>
      <c r="T46" s="5">
        <v>3</v>
      </c>
      <c r="U46" s="5">
        <f>SUM(Form_Responses1[[#This Row],[Column9]:[Column28]])</f>
        <v>65</v>
      </c>
    </row>
    <row r="47" spans="1:21">
      <c r="A47" s="9">
        <v>5</v>
      </c>
      <c r="B47" s="9">
        <v>4</v>
      </c>
      <c r="C47" s="9">
        <v>5</v>
      </c>
      <c r="D47" s="9">
        <v>5</v>
      </c>
      <c r="E47" s="9">
        <v>5</v>
      </c>
      <c r="F47" s="9">
        <v>4</v>
      </c>
      <c r="G47" s="9">
        <v>5</v>
      </c>
      <c r="H47" s="9">
        <v>4</v>
      </c>
      <c r="I47" s="9">
        <v>4</v>
      </c>
      <c r="J47" s="9">
        <v>5</v>
      </c>
      <c r="K47" s="9">
        <v>5</v>
      </c>
      <c r="L47" s="9">
        <v>5</v>
      </c>
      <c r="M47" s="9">
        <v>5</v>
      </c>
      <c r="N47" s="9">
        <v>5</v>
      </c>
      <c r="O47" s="9">
        <v>4</v>
      </c>
      <c r="P47" s="9">
        <v>5</v>
      </c>
      <c r="Q47" s="9">
        <v>4</v>
      </c>
      <c r="R47" s="9">
        <v>5</v>
      </c>
      <c r="S47" s="9">
        <v>4</v>
      </c>
      <c r="T47" s="9">
        <v>4</v>
      </c>
      <c r="U47" s="5">
        <f>SUM(Form_Responses1[[#This Row],[Column9]:[Column28]])</f>
        <v>92</v>
      </c>
    </row>
    <row r="48" spans="1:21">
      <c r="A48" s="5">
        <v>4</v>
      </c>
      <c r="B48" s="5">
        <v>3</v>
      </c>
      <c r="C48" s="5">
        <v>3</v>
      </c>
      <c r="D48" s="5">
        <v>3</v>
      </c>
      <c r="E48" s="5">
        <v>4</v>
      </c>
      <c r="F48" s="5">
        <v>3</v>
      </c>
      <c r="G48" s="5">
        <v>3</v>
      </c>
      <c r="H48" s="5">
        <v>3</v>
      </c>
      <c r="I48" s="5">
        <v>4</v>
      </c>
      <c r="J48" s="5">
        <v>3</v>
      </c>
      <c r="K48" s="5">
        <v>3</v>
      </c>
      <c r="L48" s="5">
        <v>4</v>
      </c>
      <c r="M48" s="5">
        <v>4</v>
      </c>
      <c r="N48" s="5">
        <v>4</v>
      </c>
      <c r="O48" s="5">
        <v>4</v>
      </c>
      <c r="P48" s="5">
        <v>3</v>
      </c>
      <c r="Q48" s="5">
        <v>4</v>
      </c>
      <c r="R48" s="5">
        <v>4</v>
      </c>
      <c r="S48" s="5">
        <v>3</v>
      </c>
      <c r="T48" s="5">
        <v>3</v>
      </c>
      <c r="U48" s="5">
        <f>SUM(Form_Responses1[[#This Row],[Column9]:[Column28]])</f>
        <v>69</v>
      </c>
    </row>
    <row r="49" spans="1:21">
      <c r="A49" s="9">
        <v>4</v>
      </c>
      <c r="B49" s="9">
        <v>4</v>
      </c>
      <c r="C49" s="9">
        <v>3</v>
      </c>
      <c r="D49" s="9">
        <v>4</v>
      </c>
      <c r="E49" s="9">
        <v>4</v>
      </c>
      <c r="F49" s="9">
        <v>4</v>
      </c>
      <c r="G49" s="9">
        <v>4</v>
      </c>
      <c r="H49" s="9">
        <v>4</v>
      </c>
      <c r="I49" s="9">
        <v>4</v>
      </c>
      <c r="J49" s="9">
        <v>4</v>
      </c>
      <c r="K49" s="9">
        <v>4</v>
      </c>
      <c r="L49" s="9">
        <v>3</v>
      </c>
      <c r="M49" s="9">
        <v>3</v>
      </c>
      <c r="N49" s="9">
        <v>4</v>
      </c>
      <c r="O49" s="9">
        <v>3</v>
      </c>
      <c r="P49" s="9">
        <v>3</v>
      </c>
      <c r="Q49" s="9">
        <v>4</v>
      </c>
      <c r="R49" s="9">
        <v>4</v>
      </c>
      <c r="S49" s="9">
        <v>3</v>
      </c>
      <c r="T49" s="9">
        <v>3</v>
      </c>
      <c r="U49" s="5">
        <f>SUM(Form_Responses1[[#This Row],[Column9]:[Column28]])</f>
        <v>73</v>
      </c>
    </row>
    <row r="50" spans="1:21">
      <c r="A50" s="5">
        <v>4</v>
      </c>
      <c r="B50" s="5">
        <v>5</v>
      </c>
      <c r="C50" s="5">
        <v>4</v>
      </c>
      <c r="D50" s="5">
        <v>4</v>
      </c>
      <c r="E50" s="5">
        <v>4</v>
      </c>
      <c r="F50" s="5">
        <v>4</v>
      </c>
      <c r="G50" s="5">
        <v>4</v>
      </c>
      <c r="H50" s="5">
        <v>4</v>
      </c>
      <c r="I50" s="5">
        <v>4</v>
      </c>
      <c r="J50" s="5">
        <v>4</v>
      </c>
      <c r="K50" s="5">
        <v>3</v>
      </c>
      <c r="L50" s="5">
        <v>4</v>
      </c>
      <c r="M50" s="5">
        <v>3</v>
      </c>
      <c r="N50" s="5">
        <v>4</v>
      </c>
      <c r="O50" s="5">
        <v>4</v>
      </c>
      <c r="P50" s="5">
        <v>3</v>
      </c>
      <c r="Q50" s="5">
        <v>4</v>
      </c>
      <c r="R50" s="5">
        <v>3</v>
      </c>
      <c r="S50" s="5">
        <v>4</v>
      </c>
      <c r="T50" s="5">
        <v>4</v>
      </c>
      <c r="U50" s="5">
        <f>SUM(Form_Responses1[[#This Row],[Column9]:[Column28]])</f>
        <v>77</v>
      </c>
    </row>
    <row r="51" spans="1:21">
      <c r="A51" s="9">
        <v>4</v>
      </c>
      <c r="B51" s="9">
        <v>4</v>
      </c>
      <c r="C51" s="9">
        <v>4</v>
      </c>
      <c r="D51" s="9">
        <v>4</v>
      </c>
      <c r="E51" s="9">
        <v>4</v>
      </c>
      <c r="F51" s="9">
        <v>4</v>
      </c>
      <c r="G51" s="9">
        <v>4</v>
      </c>
      <c r="H51" s="9">
        <v>4</v>
      </c>
      <c r="I51" s="9">
        <v>4</v>
      </c>
      <c r="J51" s="9">
        <v>4</v>
      </c>
      <c r="K51" s="9">
        <v>4</v>
      </c>
      <c r="L51" s="9">
        <v>4</v>
      </c>
      <c r="M51" s="9">
        <v>4</v>
      </c>
      <c r="N51" s="9">
        <v>4</v>
      </c>
      <c r="O51" s="9">
        <v>4</v>
      </c>
      <c r="P51" s="9">
        <v>4</v>
      </c>
      <c r="Q51" s="9">
        <v>3</v>
      </c>
      <c r="R51" s="9">
        <v>4</v>
      </c>
      <c r="S51" s="9">
        <v>3</v>
      </c>
      <c r="T51" s="9">
        <v>4</v>
      </c>
      <c r="U51" s="5">
        <f>SUM(Form_Responses1[[#This Row],[Column9]:[Column28]])</f>
        <v>78</v>
      </c>
    </row>
    <row r="52" spans="1:21">
      <c r="A52" s="5">
        <v>4</v>
      </c>
      <c r="B52" s="5">
        <v>3</v>
      </c>
      <c r="C52" s="5">
        <v>4</v>
      </c>
      <c r="D52" s="5">
        <v>4</v>
      </c>
      <c r="E52" s="5">
        <v>4</v>
      </c>
      <c r="F52" s="5">
        <v>3</v>
      </c>
      <c r="G52" s="5">
        <v>4</v>
      </c>
      <c r="H52" s="5">
        <v>3</v>
      </c>
      <c r="I52" s="5">
        <v>4</v>
      </c>
      <c r="J52" s="5">
        <v>3</v>
      </c>
      <c r="K52" s="5">
        <v>3</v>
      </c>
      <c r="L52" s="5">
        <v>3</v>
      </c>
      <c r="M52" s="5">
        <v>3</v>
      </c>
      <c r="N52" s="5">
        <v>4</v>
      </c>
      <c r="O52" s="5">
        <v>3</v>
      </c>
      <c r="P52" s="5">
        <v>3</v>
      </c>
      <c r="Q52" s="5">
        <v>4</v>
      </c>
      <c r="R52" s="5">
        <v>3</v>
      </c>
      <c r="S52" s="5">
        <v>4</v>
      </c>
      <c r="T52" s="5">
        <v>4</v>
      </c>
      <c r="U52" s="5">
        <f>SUM(Form_Responses1[[#This Row],[Column9]:[Column28]])</f>
        <v>70</v>
      </c>
    </row>
    <row r="53" spans="1:21">
      <c r="A53" s="9">
        <v>3</v>
      </c>
      <c r="B53" s="9">
        <v>3</v>
      </c>
      <c r="C53" s="9">
        <v>4</v>
      </c>
      <c r="D53" s="9">
        <v>4</v>
      </c>
      <c r="E53" s="9">
        <v>4</v>
      </c>
      <c r="F53" s="9">
        <v>4</v>
      </c>
      <c r="G53" s="9">
        <v>4</v>
      </c>
      <c r="H53" s="9">
        <v>4</v>
      </c>
      <c r="I53" s="9">
        <v>3</v>
      </c>
      <c r="J53" s="9">
        <v>3</v>
      </c>
      <c r="K53" s="9">
        <v>4</v>
      </c>
      <c r="L53" s="9">
        <v>3</v>
      </c>
      <c r="M53" s="9">
        <v>4</v>
      </c>
      <c r="N53" s="9">
        <v>4</v>
      </c>
      <c r="O53" s="9">
        <v>3</v>
      </c>
      <c r="P53" s="9">
        <v>4</v>
      </c>
      <c r="Q53" s="9">
        <v>3</v>
      </c>
      <c r="R53" s="9">
        <v>4</v>
      </c>
      <c r="S53" s="9">
        <v>4</v>
      </c>
      <c r="T53" s="9">
        <v>3</v>
      </c>
      <c r="U53" s="5">
        <f>SUM(Form_Responses1[[#This Row],[Column9]:[Column28]])</f>
        <v>72</v>
      </c>
    </row>
    <row r="54" spans="1:21">
      <c r="A54" s="5">
        <v>4</v>
      </c>
      <c r="B54" s="5">
        <v>5</v>
      </c>
      <c r="C54" s="5">
        <v>4</v>
      </c>
      <c r="D54" s="5">
        <v>4</v>
      </c>
      <c r="E54" s="5">
        <v>5</v>
      </c>
      <c r="F54" s="5">
        <v>5</v>
      </c>
      <c r="G54" s="5">
        <v>4</v>
      </c>
      <c r="H54" s="5">
        <v>4</v>
      </c>
      <c r="I54" s="5">
        <v>4</v>
      </c>
      <c r="J54" s="5">
        <v>5</v>
      </c>
      <c r="K54" s="5">
        <v>4</v>
      </c>
      <c r="L54" s="5">
        <v>5</v>
      </c>
      <c r="M54" s="5">
        <v>4</v>
      </c>
      <c r="N54" s="5">
        <v>4</v>
      </c>
      <c r="O54" s="5">
        <v>5</v>
      </c>
      <c r="P54" s="5">
        <v>4</v>
      </c>
      <c r="Q54" s="5">
        <v>4</v>
      </c>
      <c r="R54" s="5">
        <v>4</v>
      </c>
      <c r="S54" s="5">
        <v>4</v>
      </c>
      <c r="T54" s="5">
        <v>4</v>
      </c>
      <c r="U54" s="5">
        <f>SUM(Form_Responses1[[#This Row],[Column9]:[Column28]])</f>
        <v>86</v>
      </c>
    </row>
    <row r="55" spans="1:21">
      <c r="A55" s="9">
        <v>1</v>
      </c>
      <c r="B55" s="9">
        <v>1</v>
      </c>
      <c r="C55" s="9">
        <v>1</v>
      </c>
      <c r="D55" s="9">
        <v>1</v>
      </c>
      <c r="E55" s="9">
        <v>2</v>
      </c>
      <c r="F55" s="9">
        <v>2</v>
      </c>
      <c r="G55" s="9">
        <v>2</v>
      </c>
      <c r="H55" s="9">
        <v>1</v>
      </c>
      <c r="I55" s="9">
        <v>2</v>
      </c>
      <c r="J55" s="9">
        <v>1</v>
      </c>
      <c r="K55" s="9">
        <v>1</v>
      </c>
      <c r="L55" s="9">
        <v>2</v>
      </c>
      <c r="M55" s="9">
        <v>1</v>
      </c>
      <c r="N55" s="9">
        <v>1</v>
      </c>
      <c r="O55" s="9">
        <v>1</v>
      </c>
      <c r="P55" s="9">
        <v>1</v>
      </c>
      <c r="Q55" s="9">
        <v>2</v>
      </c>
      <c r="R55" s="9">
        <v>2</v>
      </c>
      <c r="S55" s="9">
        <v>1</v>
      </c>
      <c r="T55" s="9">
        <v>2</v>
      </c>
      <c r="U55" s="5">
        <f>SUM(Form_Responses1[[#This Row],[Column9]:[Column28]])</f>
        <v>28</v>
      </c>
    </row>
    <row r="56" spans="1:21">
      <c r="A56" s="5">
        <v>4</v>
      </c>
      <c r="B56" s="5">
        <v>3</v>
      </c>
      <c r="C56" s="5">
        <v>3</v>
      </c>
      <c r="D56" s="5">
        <v>3</v>
      </c>
      <c r="E56" s="5">
        <v>3</v>
      </c>
      <c r="F56" s="5">
        <v>4</v>
      </c>
      <c r="G56" s="5">
        <v>3</v>
      </c>
      <c r="H56" s="5">
        <v>3</v>
      </c>
      <c r="I56" s="5">
        <v>4</v>
      </c>
      <c r="J56" s="5">
        <v>3</v>
      </c>
      <c r="K56" s="5">
        <v>4</v>
      </c>
      <c r="L56" s="5">
        <v>3</v>
      </c>
      <c r="M56" s="5">
        <v>3</v>
      </c>
      <c r="N56" s="5">
        <v>3</v>
      </c>
      <c r="O56" s="5">
        <v>4</v>
      </c>
      <c r="P56" s="5">
        <v>4</v>
      </c>
      <c r="Q56" s="5">
        <v>3</v>
      </c>
      <c r="R56" s="5">
        <v>4</v>
      </c>
      <c r="S56" s="5">
        <v>3</v>
      </c>
      <c r="T56" s="5">
        <v>4</v>
      </c>
      <c r="U56" s="5">
        <f>SUM(Form_Responses1[[#This Row],[Column9]:[Column28]])</f>
        <v>68</v>
      </c>
    </row>
    <row r="57" spans="1:21">
      <c r="A57" s="9">
        <v>4</v>
      </c>
      <c r="B57" s="9">
        <v>4</v>
      </c>
      <c r="C57" s="9">
        <v>3</v>
      </c>
      <c r="D57" s="9">
        <v>4</v>
      </c>
      <c r="E57" s="9">
        <v>4</v>
      </c>
      <c r="F57" s="9">
        <v>4</v>
      </c>
      <c r="G57" s="9">
        <v>4</v>
      </c>
      <c r="H57" s="9">
        <v>4</v>
      </c>
      <c r="I57" s="9">
        <v>4</v>
      </c>
      <c r="J57" s="9">
        <v>4</v>
      </c>
      <c r="K57" s="9">
        <v>4</v>
      </c>
      <c r="L57" s="9">
        <v>3</v>
      </c>
      <c r="M57" s="9">
        <v>3</v>
      </c>
      <c r="N57" s="9">
        <v>4</v>
      </c>
      <c r="O57" s="9">
        <v>3</v>
      </c>
      <c r="P57" s="9">
        <v>3</v>
      </c>
      <c r="Q57" s="9">
        <v>4</v>
      </c>
      <c r="R57" s="9">
        <v>4</v>
      </c>
      <c r="S57" s="9">
        <v>3</v>
      </c>
      <c r="T57" s="9">
        <v>3</v>
      </c>
      <c r="U57" s="5">
        <f>SUM(Form_Responses1[[#This Row],[Column9]:[Column28]])</f>
        <v>73</v>
      </c>
    </row>
    <row r="58" spans="1:21">
      <c r="A58" s="5">
        <v>4</v>
      </c>
      <c r="B58" s="5">
        <v>4</v>
      </c>
      <c r="C58" s="5">
        <v>4</v>
      </c>
      <c r="D58" s="5">
        <v>5</v>
      </c>
      <c r="E58" s="5">
        <v>4</v>
      </c>
      <c r="F58" s="5">
        <v>5</v>
      </c>
      <c r="G58" s="5">
        <v>4</v>
      </c>
      <c r="H58" s="5">
        <v>4</v>
      </c>
      <c r="I58" s="5">
        <v>4</v>
      </c>
      <c r="J58" s="5">
        <v>4</v>
      </c>
      <c r="K58" s="5">
        <v>4</v>
      </c>
      <c r="L58" s="5">
        <v>4</v>
      </c>
      <c r="M58" s="5">
        <v>4</v>
      </c>
      <c r="N58" s="5">
        <v>4</v>
      </c>
      <c r="O58" s="5">
        <v>4</v>
      </c>
      <c r="P58" s="5">
        <v>4</v>
      </c>
      <c r="Q58" s="5">
        <v>4</v>
      </c>
      <c r="R58" s="5">
        <v>4</v>
      </c>
      <c r="S58" s="5">
        <v>4</v>
      </c>
      <c r="T58" s="5">
        <v>4</v>
      </c>
      <c r="U58" s="5">
        <f>SUM(Form_Responses1[[#This Row],[Column9]:[Column28]])</f>
        <v>82</v>
      </c>
    </row>
    <row r="59" spans="1:21">
      <c r="A59" s="9">
        <v>4</v>
      </c>
      <c r="B59" s="9">
        <v>5</v>
      </c>
      <c r="C59" s="9">
        <v>4</v>
      </c>
      <c r="D59" s="9">
        <v>5</v>
      </c>
      <c r="E59" s="9">
        <v>4</v>
      </c>
      <c r="F59" s="9">
        <v>4</v>
      </c>
      <c r="G59" s="9">
        <v>5</v>
      </c>
      <c r="H59" s="9">
        <v>4</v>
      </c>
      <c r="I59" s="9">
        <v>5</v>
      </c>
      <c r="J59" s="9">
        <v>4</v>
      </c>
      <c r="K59" s="9">
        <v>5</v>
      </c>
      <c r="L59" s="9">
        <v>5</v>
      </c>
      <c r="M59" s="9">
        <v>4</v>
      </c>
      <c r="N59" s="9">
        <v>4</v>
      </c>
      <c r="O59" s="9">
        <v>4</v>
      </c>
      <c r="P59" s="9">
        <v>4</v>
      </c>
      <c r="Q59" s="9">
        <v>4</v>
      </c>
      <c r="R59" s="9">
        <v>5</v>
      </c>
      <c r="S59" s="9">
        <v>5</v>
      </c>
      <c r="T59" s="9">
        <v>4</v>
      </c>
      <c r="U59" s="5">
        <f>SUM(Form_Responses1[[#This Row],[Column9]:[Column28]])</f>
        <v>88</v>
      </c>
    </row>
    <row r="60" spans="1:21">
      <c r="A60" s="5">
        <v>3</v>
      </c>
      <c r="B60" s="5">
        <v>3</v>
      </c>
      <c r="C60" s="5">
        <v>4</v>
      </c>
      <c r="D60" s="5">
        <v>3</v>
      </c>
      <c r="E60" s="5">
        <v>4</v>
      </c>
      <c r="F60" s="5">
        <v>4</v>
      </c>
      <c r="G60" s="5">
        <v>4</v>
      </c>
      <c r="H60" s="5">
        <v>4</v>
      </c>
      <c r="I60" s="5">
        <v>5</v>
      </c>
      <c r="J60" s="5">
        <v>4</v>
      </c>
      <c r="K60" s="5">
        <v>5</v>
      </c>
      <c r="L60" s="5">
        <v>4</v>
      </c>
      <c r="M60" s="5">
        <v>4</v>
      </c>
      <c r="N60" s="5">
        <v>4</v>
      </c>
      <c r="O60" s="5">
        <v>3</v>
      </c>
      <c r="P60" s="5">
        <v>4</v>
      </c>
      <c r="Q60" s="5">
        <v>4</v>
      </c>
      <c r="R60" s="5">
        <v>4</v>
      </c>
      <c r="S60" s="5">
        <v>4</v>
      </c>
      <c r="T60" s="5">
        <v>3</v>
      </c>
      <c r="U60" s="5">
        <f>SUM(Form_Responses1[[#This Row],[Column9]:[Column28]])</f>
        <v>77</v>
      </c>
    </row>
    <row r="61" spans="1:21">
      <c r="A61" s="9">
        <v>3</v>
      </c>
      <c r="B61" s="9">
        <v>3</v>
      </c>
      <c r="C61" s="9">
        <v>3</v>
      </c>
      <c r="D61" s="9">
        <v>3</v>
      </c>
      <c r="E61" s="9">
        <v>3</v>
      </c>
      <c r="F61" s="9">
        <v>3</v>
      </c>
      <c r="G61" s="9">
        <v>2</v>
      </c>
      <c r="H61" s="9">
        <v>2</v>
      </c>
      <c r="I61" s="9">
        <v>3</v>
      </c>
      <c r="J61" s="9">
        <v>2</v>
      </c>
      <c r="K61" s="9">
        <v>2</v>
      </c>
      <c r="L61" s="9">
        <v>3</v>
      </c>
      <c r="M61" s="9">
        <v>3</v>
      </c>
      <c r="N61" s="9">
        <v>3</v>
      </c>
      <c r="O61" s="9">
        <v>3</v>
      </c>
      <c r="P61" s="9">
        <v>3</v>
      </c>
      <c r="Q61" s="9">
        <v>2</v>
      </c>
      <c r="R61" s="9">
        <v>3</v>
      </c>
      <c r="S61" s="9">
        <v>2</v>
      </c>
      <c r="T61" s="9">
        <v>3</v>
      </c>
      <c r="U61" s="5">
        <f>SUM(Form_Responses1[[#This Row],[Column9]:[Column28]])</f>
        <v>54</v>
      </c>
    </row>
    <row r="62" spans="1:21">
      <c r="A62" s="5">
        <v>5</v>
      </c>
      <c r="B62" s="5">
        <v>5</v>
      </c>
      <c r="C62" s="5">
        <v>5</v>
      </c>
      <c r="D62" s="5">
        <v>5</v>
      </c>
      <c r="E62" s="5">
        <v>5</v>
      </c>
      <c r="F62" s="5">
        <v>5</v>
      </c>
      <c r="G62" s="5">
        <v>5</v>
      </c>
      <c r="H62" s="5">
        <v>5</v>
      </c>
      <c r="I62" s="5">
        <v>5</v>
      </c>
      <c r="J62" s="5">
        <v>5</v>
      </c>
      <c r="K62" s="5">
        <v>5</v>
      </c>
      <c r="L62" s="5">
        <v>5</v>
      </c>
      <c r="M62" s="5">
        <v>5</v>
      </c>
      <c r="N62" s="5">
        <v>5</v>
      </c>
      <c r="O62" s="5">
        <v>5</v>
      </c>
      <c r="P62" s="5">
        <v>5</v>
      </c>
      <c r="Q62" s="5">
        <v>5</v>
      </c>
      <c r="R62" s="5">
        <v>5</v>
      </c>
      <c r="S62" s="5">
        <v>5</v>
      </c>
      <c r="T62" s="5">
        <v>5</v>
      </c>
      <c r="U62" s="5">
        <f>SUM(Form_Responses1[[#This Row],[Column9]:[Column28]])</f>
        <v>100</v>
      </c>
    </row>
    <row r="63" spans="1:21">
      <c r="A63" s="9">
        <v>3</v>
      </c>
      <c r="B63" s="9">
        <v>4</v>
      </c>
      <c r="C63" s="9">
        <v>3</v>
      </c>
      <c r="D63" s="9">
        <v>4</v>
      </c>
      <c r="E63" s="9">
        <v>4</v>
      </c>
      <c r="F63" s="9">
        <v>4</v>
      </c>
      <c r="G63" s="9">
        <v>4</v>
      </c>
      <c r="H63" s="9">
        <v>4</v>
      </c>
      <c r="I63" s="9">
        <v>4</v>
      </c>
      <c r="J63" s="9">
        <v>4</v>
      </c>
      <c r="K63" s="9">
        <v>4</v>
      </c>
      <c r="L63" s="9">
        <v>4</v>
      </c>
      <c r="M63" s="9">
        <v>4</v>
      </c>
      <c r="N63" s="9">
        <v>4</v>
      </c>
      <c r="O63" s="9">
        <v>4</v>
      </c>
      <c r="P63" s="9">
        <v>3</v>
      </c>
      <c r="Q63" s="9">
        <v>4</v>
      </c>
      <c r="R63" s="9">
        <v>3</v>
      </c>
      <c r="S63" s="9">
        <v>3</v>
      </c>
      <c r="T63" s="9">
        <v>3</v>
      </c>
      <c r="U63" s="5">
        <f>SUM(Form_Responses1[[#This Row],[Column9]:[Column28]])</f>
        <v>74</v>
      </c>
    </row>
    <row r="64" spans="1:21">
      <c r="A64" s="5">
        <v>5</v>
      </c>
      <c r="B64" s="5">
        <v>4</v>
      </c>
      <c r="C64" s="5">
        <v>4</v>
      </c>
      <c r="D64" s="5">
        <v>4</v>
      </c>
      <c r="E64" s="5">
        <v>5</v>
      </c>
      <c r="F64" s="5">
        <v>4</v>
      </c>
      <c r="G64" s="5">
        <v>5</v>
      </c>
      <c r="H64" s="5">
        <v>5</v>
      </c>
      <c r="I64" s="5">
        <v>4</v>
      </c>
      <c r="J64" s="5">
        <v>5</v>
      </c>
      <c r="K64" s="5">
        <v>4</v>
      </c>
      <c r="L64" s="5">
        <v>5</v>
      </c>
      <c r="M64" s="5">
        <v>5</v>
      </c>
      <c r="N64" s="5">
        <v>5</v>
      </c>
      <c r="O64" s="5">
        <v>5</v>
      </c>
      <c r="P64" s="5">
        <v>5</v>
      </c>
      <c r="Q64" s="5">
        <v>5</v>
      </c>
      <c r="R64" s="5">
        <v>5</v>
      </c>
      <c r="S64" s="5">
        <v>5</v>
      </c>
      <c r="T64" s="5">
        <v>5</v>
      </c>
      <c r="U64" s="5">
        <f>SUM(Form_Responses1[[#This Row],[Column9]:[Column28]])</f>
        <v>94</v>
      </c>
    </row>
    <row r="65" spans="1:21">
      <c r="A65" s="9">
        <v>3</v>
      </c>
      <c r="B65" s="9">
        <v>4</v>
      </c>
      <c r="C65" s="9">
        <v>3</v>
      </c>
      <c r="D65" s="9">
        <v>4</v>
      </c>
      <c r="E65" s="9">
        <v>4</v>
      </c>
      <c r="F65" s="9">
        <v>4</v>
      </c>
      <c r="G65" s="9">
        <v>4</v>
      </c>
      <c r="H65" s="9">
        <v>4</v>
      </c>
      <c r="I65" s="9">
        <v>4</v>
      </c>
      <c r="J65" s="9">
        <v>4</v>
      </c>
      <c r="K65" s="9">
        <v>4</v>
      </c>
      <c r="L65" s="9">
        <v>4</v>
      </c>
      <c r="M65" s="9">
        <v>4</v>
      </c>
      <c r="N65" s="9">
        <v>4</v>
      </c>
      <c r="O65" s="9">
        <v>4</v>
      </c>
      <c r="P65" s="9">
        <v>3</v>
      </c>
      <c r="Q65" s="9">
        <v>4</v>
      </c>
      <c r="R65" s="9">
        <v>3</v>
      </c>
      <c r="S65" s="9">
        <v>3</v>
      </c>
      <c r="T65" s="9">
        <v>3</v>
      </c>
      <c r="U65" s="5">
        <f>SUM(Form_Responses1[[#This Row],[Column9]:[Column28]])</f>
        <v>74</v>
      </c>
    </row>
    <row r="66" spans="1:21">
      <c r="A66" s="5">
        <v>4</v>
      </c>
      <c r="B66" s="5">
        <v>4</v>
      </c>
      <c r="C66" s="5">
        <v>3</v>
      </c>
      <c r="D66" s="5">
        <v>4</v>
      </c>
      <c r="E66" s="5">
        <v>4</v>
      </c>
      <c r="F66" s="5">
        <v>4</v>
      </c>
      <c r="G66" s="5">
        <v>3</v>
      </c>
      <c r="H66" s="5">
        <v>4</v>
      </c>
      <c r="I66" s="5">
        <v>3</v>
      </c>
      <c r="J66" s="5">
        <v>3</v>
      </c>
      <c r="K66" s="5">
        <v>4</v>
      </c>
      <c r="L66" s="5">
        <v>3</v>
      </c>
      <c r="M66" s="5">
        <v>3</v>
      </c>
      <c r="N66" s="5">
        <v>4</v>
      </c>
      <c r="O66" s="5">
        <v>3</v>
      </c>
      <c r="P66" s="5">
        <v>3</v>
      </c>
      <c r="Q66" s="5">
        <v>4</v>
      </c>
      <c r="R66" s="5">
        <v>4</v>
      </c>
      <c r="S66" s="5">
        <v>3</v>
      </c>
      <c r="T66" s="5">
        <v>3</v>
      </c>
      <c r="U66" s="5">
        <f>SUM(Form_Responses1[[#This Row],[Column9]:[Column28]])</f>
        <v>70</v>
      </c>
    </row>
    <row r="67" spans="1:21">
      <c r="A67" s="9">
        <v>5</v>
      </c>
      <c r="B67" s="9">
        <v>5</v>
      </c>
      <c r="C67" s="9">
        <v>5</v>
      </c>
      <c r="D67" s="9">
        <v>5</v>
      </c>
      <c r="E67" s="9">
        <v>5</v>
      </c>
      <c r="F67" s="9">
        <v>5</v>
      </c>
      <c r="G67" s="9">
        <v>5</v>
      </c>
      <c r="H67" s="9">
        <v>5</v>
      </c>
      <c r="I67" s="9">
        <v>5</v>
      </c>
      <c r="J67" s="9">
        <v>5</v>
      </c>
      <c r="K67" s="9">
        <v>5</v>
      </c>
      <c r="L67" s="9">
        <v>5</v>
      </c>
      <c r="M67" s="9">
        <v>5</v>
      </c>
      <c r="N67" s="9">
        <v>5</v>
      </c>
      <c r="O67" s="9">
        <v>5</v>
      </c>
      <c r="P67" s="9">
        <v>5</v>
      </c>
      <c r="Q67" s="9">
        <v>5</v>
      </c>
      <c r="R67" s="9">
        <v>5</v>
      </c>
      <c r="S67" s="9">
        <v>5</v>
      </c>
      <c r="T67" s="9">
        <v>5</v>
      </c>
      <c r="U67" s="5">
        <f>SUM(Form_Responses1[[#This Row],[Column9]:[Column28]])</f>
        <v>100</v>
      </c>
    </row>
    <row r="68" spans="1:21">
      <c r="A68" s="5">
        <v>5</v>
      </c>
      <c r="B68" s="5">
        <v>5</v>
      </c>
      <c r="C68" s="5">
        <v>5</v>
      </c>
      <c r="D68" s="5">
        <v>4</v>
      </c>
      <c r="E68" s="5">
        <v>5</v>
      </c>
      <c r="F68" s="5">
        <v>5</v>
      </c>
      <c r="G68" s="5">
        <v>5</v>
      </c>
      <c r="H68" s="5">
        <v>5</v>
      </c>
      <c r="I68" s="5">
        <v>4</v>
      </c>
      <c r="J68" s="5">
        <v>5</v>
      </c>
      <c r="K68" s="5">
        <v>5</v>
      </c>
      <c r="L68" s="5">
        <v>4</v>
      </c>
      <c r="M68" s="5">
        <v>5</v>
      </c>
      <c r="N68" s="5">
        <v>4</v>
      </c>
      <c r="O68" s="5">
        <v>5</v>
      </c>
      <c r="P68" s="5">
        <v>5</v>
      </c>
      <c r="Q68" s="5">
        <v>5</v>
      </c>
      <c r="R68" s="5">
        <v>5</v>
      </c>
      <c r="S68" s="5">
        <v>5</v>
      </c>
      <c r="T68" s="5">
        <v>5</v>
      </c>
      <c r="U68" s="5">
        <f>SUM(Form_Responses1[[#This Row],[Column9]:[Column28]])</f>
        <v>96</v>
      </c>
    </row>
    <row r="69" spans="1:21">
      <c r="A69" s="9">
        <v>3</v>
      </c>
      <c r="B69" s="9">
        <v>3</v>
      </c>
      <c r="C69" s="9">
        <v>3</v>
      </c>
      <c r="D69" s="9">
        <v>3</v>
      </c>
      <c r="E69" s="9">
        <v>3</v>
      </c>
      <c r="F69" s="9">
        <v>3</v>
      </c>
      <c r="G69" s="9">
        <v>3</v>
      </c>
      <c r="H69" s="9">
        <v>3</v>
      </c>
      <c r="I69" s="9">
        <v>3</v>
      </c>
      <c r="J69" s="9">
        <v>3</v>
      </c>
      <c r="K69" s="9">
        <v>3</v>
      </c>
      <c r="L69" s="9">
        <v>3</v>
      </c>
      <c r="M69" s="9">
        <v>3</v>
      </c>
      <c r="N69" s="9">
        <v>3</v>
      </c>
      <c r="O69" s="9">
        <v>3</v>
      </c>
      <c r="P69" s="9">
        <v>3</v>
      </c>
      <c r="Q69" s="9">
        <v>3</v>
      </c>
      <c r="R69" s="9">
        <v>3</v>
      </c>
      <c r="S69" s="9">
        <v>3</v>
      </c>
      <c r="T69" s="9">
        <v>3</v>
      </c>
      <c r="U69" s="5">
        <f>SUM(Form_Responses1[[#This Row],[Column9]:[Column28]])</f>
        <v>60</v>
      </c>
    </row>
    <row r="70" spans="1:21">
      <c r="A70" s="5">
        <v>3</v>
      </c>
      <c r="B70" s="5">
        <v>3</v>
      </c>
      <c r="C70" s="5">
        <v>3</v>
      </c>
      <c r="D70" s="5">
        <v>3</v>
      </c>
      <c r="E70" s="5">
        <v>3</v>
      </c>
      <c r="F70" s="5">
        <v>3</v>
      </c>
      <c r="G70" s="5">
        <v>3</v>
      </c>
      <c r="H70" s="5">
        <v>3</v>
      </c>
      <c r="I70" s="5">
        <v>3</v>
      </c>
      <c r="J70" s="5">
        <v>3</v>
      </c>
      <c r="K70" s="5">
        <v>3</v>
      </c>
      <c r="L70" s="5">
        <v>3</v>
      </c>
      <c r="M70" s="5">
        <v>3</v>
      </c>
      <c r="N70" s="5">
        <v>3</v>
      </c>
      <c r="O70" s="5">
        <v>3</v>
      </c>
      <c r="P70" s="5">
        <v>3</v>
      </c>
      <c r="Q70" s="5">
        <v>3</v>
      </c>
      <c r="R70" s="5">
        <v>3</v>
      </c>
      <c r="S70" s="5">
        <v>3</v>
      </c>
      <c r="T70" s="5">
        <v>3</v>
      </c>
      <c r="U70" s="5">
        <f>SUM(Form_Responses1[[#This Row],[Column9]:[Column28]])</f>
        <v>60</v>
      </c>
    </row>
    <row r="71" spans="1:21">
      <c r="A71" s="9">
        <v>2</v>
      </c>
      <c r="B71" s="9">
        <v>3</v>
      </c>
      <c r="C71" s="9">
        <v>2</v>
      </c>
      <c r="D71" s="9">
        <v>2</v>
      </c>
      <c r="E71" s="9">
        <v>4</v>
      </c>
      <c r="F71" s="9">
        <v>2</v>
      </c>
      <c r="G71" s="9">
        <v>3</v>
      </c>
      <c r="H71" s="9">
        <v>3</v>
      </c>
      <c r="I71" s="9">
        <v>4</v>
      </c>
      <c r="J71" s="9">
        <v>3</v>
      </c>
      <c r="K71" s="9">
        <v>4</v>
      </c>
      <c r="L71" s="9">
        <v>2</v>
      </c>
      <c r="M71" s="9">
        <v>2</v>
      </c>
      <c r="N71" s="9">
        <v>4</v>
      </c>
      <c r="O71" s="9">
        <v>3</v>
      </c>
      <c r="P71" s="9">
        <v>4</v>
      </c>
      <c r="Q71" s="9">
        <v>2</v>
      </c>
      <c r="R71" s="9">
        <v>3</v>
      </c>
      <c r="S71" s="9">
        <v>3</v>
      </c>
      <c r="T71" s="9">
        <v>2</v>
      </c>
      <c r="U71" s="5">
        <f>SUM(Form_Responses1[[#This Row],[Column9]:[Column28]])</f>
        <v>57</v>
      </c>
    </row>
    <row r="72" spans="1:21">
      <c r="A72" s="5">
        <v>3</v>
      </c>
      <c r="B72" s="5">
        <v>4</v>
      </c>
      <c r="C72" s="5">
        <v>3</v>
      </c>
      <c r="D72" s="5">
        <v>4</v>
      </c>
      <c r="E72" s="5">
        <v>4</v>
      </c>
      <c r="F72" s="5">
        <v>3</v>
      </c>
      <c r="G72" s="5">
        <v>4</v>
      </c>
      <c r="H72" s="5">
        <v>4</v>
      </c>
      <c r="I72" s="5">
        <v>3</v>
      </c>
      <c r="J72" s="5">
        <v>4</v>
      </c>
      <c r="K72" s="5">
        <v>3</v>
      </c>
      <c r="L72" s="5">
        <v>3</v>
      </c>
      <c r="M72" s="5">
        <v>4</v>
      </c>
      <c r="N72" s="5">
        <v>4</v>
      </c>
      <c r="O72" s="5">
        <v>4</v>
      </c>
      <c r="P72" s="5">
        <v>3</v>
      </c>
      <c r="Q72" s="5">
        <v>3</v>
      </c>
      <c r="R72" s="5">
        <v>3</v>
      </c>
      <c r="S72" s="5">
        <v>3</v>
      </c>
      <c r="T72" s="5">
        <v>4</v>
      </c>
      <c r="U72" s="5">
        <f>SUM(Form_Responses1[[#This Row],[Column9]:[Column28]])</f>
        <v>70</v>
      </c>
    </row>
    <row r="73" spans="1:21">
      <c r="A73" s="9">
        <v>4</v>
      </c>
      <c r="B73" s="9">
        <v>4</v>
      </c>
      <c r="C73" s="9">
        <v>4</v>
      </c>
      <c r="D73" s="9">
        <v>4</v>
      </c>
      <c r="E73" s="9">
        <v>4</v>
      </c>
      <c r="F73" s="9">
        <v>4</v>
      </c>
      <c r="G73" s="9">
        <v>4</v>
      </c>
      <c r="H73" s="9">
        <v>4</v>
      </c>
      <c r="I73" s="9">
        <v>4</v>
      </c>
      <c r="J73" s="9">
        <v>4</v>
      </c>
      <c r="K73" s="9">
        <v>4</v>
      </c>
      <c r="L73" s="9">
        <v>4</v>
      </c>
      <c r="M73" s="9">
        <v>4</v>
      </c>
      <c r="N73" s="9">
        <v>4</v>
      </c>
      <c r="O73" s="9">
        <v>5</v>
      </c>
      <c r="P73" s="9">
        <v>3</v>
      </c>
      <c r="Q73" s="9">
        <v>3</v>
      </c>
      <c r="R73" s="9">
        <v>3</v>
      </c>
      <c r="S73" s="9">
        <v>4</v>
      </c>
      <c r="T73" s="9">
        <v>4</v>
      </c>
      <c r="U73" s="5">
        <f>SUM(Form_Responses1[[#This Row],[Column9]:[Column28]])</f>
        <v>78</v>
      </c>
    </row>
    <row r="74" spans="1:21">
      <c r="A74" s="5">
        <v>4</v>
      </c>
      <c r="B74" s="5">
        <v>4</v>
      </c>
      <c r="C74" s="5">
        <v>4</v>
      </c>
      <c r="D74" s="5">
        <v>4</v>
      </c>
      <c r="E74" s="5">
        <v>4</v>
      </c>
      <c r="F74" s="5">
        <v>4</v>
      </c>
      <c r="G74" s="5">
        <v>4</v>
      </c>
      <c r="H74" s="5">
        <v>4</v>
      </c>
      <c r="I74" s="5">
        <v>4</v>
      </c>
      <c r="J74" s="5">
        <v>4</v>
      </c>
      <c r="K74" s="5">
        <v>4</v>
      </c>
      <c r="L74" s="5">
        <v>4</v>
      </c>
      <c r="M74" s="5">
        <v>4</v>
      </c>
      <c r="N74" s="5">
        <v>4</v>
      </c>
      <c r="O74" s="5">
        <v>4</v>
      </c>
      <c r="P74" s="5">
        <v>4</v>
      </c>
      <c r="Q74" s="5">
        <v>4</v>
      </c>
      <c r="R74" s="5">
        <v>4</v>
      </c>
      <c r="S74" s="5">
        <v>4</v>
      </c>
      <c r="T74" s="5">
        <v>4</v>
      </c>
      <c r="U74" s="5">
        <f>SUM(Form_Responses1[[#This Row],[Column9]:[Column28]])</f>
        <v>80</v>
      </c>
    </row>
    <row r="75" spans="1:21">
      <c r="A75" s="9">
        <v>3</v>
      </c>
      <c r="B75" s="9">
        <v>3</v>
      </c>
      <c r="C75" s="9">
        <v>3</v>
      </c>
      <c r="D75" s="9">
        <v>3</v>
      </c>
      <c r="E75" s="9">
        <v>4</v>
      </c>
      <c r="F75" s="9">
        <v>4</v>
      </c>
      <c r="G75" s="9">
        <v>4</v>
      </c>
      <c r="H75" s="9">
        <v>3</v>
      </c>
      <c r="I75" s="9">
        <v>4</v>
      </c>
      <c r="J75" s="9">
        <v>4</v>
      </c>
      <c r="K75" s="9">
        <v>3</v>
      </c>
      <c r="L75" s="9">
        <v>3</v>
      </c>
      <c r="M75" s="9">
        <v>3</v>
      </c>
      <c r="N75" s="9">
        <v>3</v>
      </c>
      <c r="O75" s="9">
        <v>3</v>
      </c>
      <c r="P75" s="9">
        <v>3</v>
      </c>
      <c r="Q75" s="9">
        <v>3</v>
      </c>
      <c r="R75" s="9">
        <v>3</v>
      </c>
      <c r="S75" s="9">
        <v>3</v>
      </c>
      <c r="T75" s="9">
        <v>3</v>
      </c>
      <c r="U75" s="5">
        <f>SUM(Form_Responses1[[#This Row],[Column9]:[Column28]])</f>
        <v>65</v>
      </c>
    </row>
    <row r="76" spans="1:21">
      <c r="A76" s="5">
        <v>3</v>
      </c>
      <c r="B76" s="5">
        <v>4</v>
      </c>
      <c r="C76" s="5">
        <v>3</v>
      </c>
      <c r="D76" s="5">
        <v>3</v>
      </c>
      <c r="E76" s="5">
        <v>4</v>
      </c>
      <c r="F76" s="5">
        <v>4</v>
      </c>
      <c r="G76" s="5">
        <v>4</v>
      </c>
      <c r="H76" s="5">
        <v>4</v>
      </c>
      <c r="I76" s="5">
        <v>4</v>
      </c>
      <c r="J76" s="5">
        <v>4</v>
      </c>
      <c r="K76" s="5">
        <v>3</v>
      </c>
      <c r="L76" s="5">
        <v>3</v>
      </c>
      <c r="M76" s="5">
        <v>3</v>
      </c>
      <c r="N76" s="5">
        <v>3</v>
      </c>
      <c r="O76" s="5">
        <v>4</v>
      </c>
      <c r="P76" s="5">
        <v>3</v>
      </c>
      <c r="Q76" s="5">
        <v>3</v>
      </c>
      <c r="R76" s="5">
        <v>3</v>
      </c>
      <c r="S76" s="5">
        <v>3</v>
      </c>
      <c r="T76" s="5">
        <v>3</v>
      </c>
      <c r="U76" s="5">
        <f>SUM(Form_Responses1[[#This Row],[Column9]:[Column28]])</f>
        <v>68</v>
      </c>
    </row>
    <row r="77" spans="1:21">
      <c r="A77" s="9">
        <v>4</v>
      </c>
      <c r="B77" s="9">
        <v>4</v>
      </c>
      <c r="C77" s="9">
        <v>4</v>
      </c>
      <c r="D77" s="9">
        <v>4</v>
      </c>
      <c r="E77" s="9">
        <v>4</v>
      </c>
      <c r="F77" s="9">
        <v>4</v>
      </c>
      <c r="G77" s="9">
        <v>4</v>
      </c>
      <c r="H77" s="9">
        <v>3</v>
      </c>
      <c r="I77" s="9">
        <v>3</v>
      </c>
      <c r="J77" s="9">
        <v>4</v>
      </c>
      <c r="K77" s="9">
        <v>4</v>
      </c>
      <c r="L77" s="9">
        <v>3</v>
      </c>
      <c r="M77" s="9">
        <v>3</v>
      </c>
      <c r="N77" s="9">
        <v>4</v>
      </c>
      <c r="O77" s="9">
        <v>4</v>
      </c>
      <c r="P77" s="9">
        <v>4</v>
      </c>
      <c r="Q77" s="9">
        <v>4</v>
      </c>
      <c r="R77" s="9">
        <v>4</v>
      </c>
      <c r="S77" s="9">
        <v>4</v>
      </c>
      <c r="T77" s="9">
        <v>4</v>
      </c>
      <c r="U77" s="5">
        <f>SUM(Form_Responses1[[#This Row],[Column9]:[Column28]])</f>
        <v>76</v>
      </c>
    </row>
    <row r="78" spans="1:21">
      <c r="A78" s="5">
        <v>3</v>
      </c>
      <c r="B78" s="5">
        <v>3</v>
      </c>
      <c r="C78" s="5">
        <v>3</v>
      </c>
      <c r="D78" s="5">
        <v>4</v>
      </c>
      <c r="E78" s="5">
        <v>4</v>
      </c>
      <c r="F78" s="5">
        <v>3</v>
      </c>
      <c r="G78" s="5">
        <v>3</v>
      </c>
      <c r="H78" s="5">
        <v>3</v>
      </c>
      <c r="I78" s="5">
        <v>3</v>
      </c>
      <c r="J78" s="5">
        <v>3</v>
      </c>
      <c r="K78" s="5">
        <v>3</v>
      </c>
      <c r="L78" s="5">
        <v>3</v>
      </c>
      <c r="M78" s="5">
        <v>3</v>
      </c>
      <c r="N78" s="5">
        <v>3</v>
      </c>
      <c r="O78" s="5">
        <v>3</v>
      </c>
      <c r="P78" s="5">
        <v>3</v>
      </c>
      <c r="Q78" s="5">
        <v>3</v>
      </c>
      <c r="R78" s="5">
        <v>3</v>
      </c>
      <c r="S78" s="5">
        <v>3</v>
      </c>
      <c r="T78" s="5">
        <v>3</v>
      </c>
      <c r="U78" s="5">
        <f>SUM(Form_Responses1[[#This Row],[Column9]:[Column28]])</f>
        <v>62</v>
      </c>
    </row>
    <row r="79" spans="1:21">
      <c r="A79" s="9">
        <v>2</v>
      </c>
      <c r="B79" s="9">
        <v>3</v>
      </c>
      <c r="C79" s="9">
        <v>2</v>
      </c>
      <c r="D79" s="9">
        <v>3</v>
      </c>
      <c r="E79" s="9">
        <v>3</v>
      </c>
      <c r="F79" s="9">
        <v>3</v>
      </c>
      <c r="G79" s="9">
        <v>3</v>
      </c>
      <c r="H79" s="9">
        <v>3</v>
      </c>
      <c r="I79" s="9">
        <v>3</v>
      </c>
      <c r="J79" s="9">
        <v>3</v>
      </c>
      <c r="K79" s="9">
        <v>2</v>
      </c>
      <c r="L79" s="9">
        <v>2</v>
      </c>
      <c r="M79" s="9">
        <v>3</v>
      </c>
      <c r="N79" s="9">
        <v>2</v>
      </c>
      <c r="O79" s="9">
        <v>3</v>
      </c>
      <c r="P79" s="9">
        <v>2</v>
      </c>
      <c r="Q79" s="9">
        <v>3</v>
      </c>
      <c r="R79" s="9">
        <v>3</v>
      </c>
      <c r="S79" s="9">
        <v>3</v>
      </c>
      <c r="T79" s="9">
        <v>2</v>
      </c>
      <c r="U79" s="5">
        <f>SUM(Form_Responses1[[#This Row],[Column9]:[Column28]])</f>
        <v>53</v>
      </c>
    </row>
    <row r="80" spans="1:21">
      <c r="A80" s="5">
        <v>1</v>
      </c>
      <c r="B80" s="5">
        <v>1</v>
      </c>
      <c r="C80" s="5">
        <v>2</v>
      </c>
      <c r="D80" s="5">
        <v>1</v>
      </c>
      <c r="E80" s="5">
        <v>1</v>
      </c>
      <c r="F80" s="5">
        <v>1</v>
      </c>
      <c r="G80" s="5">
        <v>1</v>
      </c>
      <c r="H80" s="5">
        <v>2</v>
      </c>
      <c r="I80" s="5">
        <v>2</v>
      </c>
      <c r="J80" s="5">
        <v>2</v>
      </c>
      <c r="K80" s="5">
        <v>1</v>
      </c>
      <c r="L80" s="5">
        <v>1</v>
      </c>
      <c r="M80" s="5">
        <v>1</v>
      </c>
      <c r="N80" s="5">
        <v>1</v>
      </c>
      <c r="O80" s="5">
        <v>2</v>
      </c>
      <c r="P80" s="5">
        <v>1</v>
      </c>
      <c r="Q80" s="5">
        <v>2</v>
      </c>
      <c r="R80" s="5">
        <v>2</v>
      </c>
      <c r="S80" s="5">
        <v>2</v>
      </c>
      <c r="T80" s="5">
        <v>1</v>
      </c>
      <c r="U80" s="5">
        <f>SUM(Form_Responses1[[#This Row],[Column9]:[Column28]])</f>
        <v>28</v>
      </c>
    </row>
    <row r="81" spans="1:21">
      <c r="A81" s="9">
        <v>4</v>
      </c>
      <c r="B81" s="9">
        <v>4</v>
      </c>
      <c r="C81" s="9">
        <v>3</v>
      </c>
      <c r="D81" s="9">
        <v>4</v>
      </c>
      <c r="E81" s="9">
        <v>3</v>
      </c>
      <c r="F81" s="9">
        <v>4</v>
      </c>
      <c r="G81" s="9">
        <v>4</v>
      </c>
      <c r="H81" s="9">
        <v>4</v>
      </c>
      <c r="I81" s="9">
        <v>4</v>
      </c>
      <c r="J81" s="9">
        <v>4</v>
      </c>
      <c r="K81" s="9">
        <v>3</v>
      </c>
      <c r="L81" s="9">
        <v>4</v>
      </c>
      <c r="M81" s="9">
        <v>3</v>
      </c>
      <c r="N81" s="9">
        <v>4</v>
      </c>
      <c r="O81" s="9">
        <v>4</v>
      </c>
      <c r="P81" s="9">
        <v>3</v>
      </c>
      <c r="Q81" s="9">
        <v>4</v>
      </c>
      <c r="R81" s="9">
        <v>3</v>
      </c>
      <c r="S81" s="9">
        <v>4</v>
      </c>
      <c r="T81" s="9">
        <v>4</v>
      </c>
      <c r="U81" s="5">
        <f>SUM(Form_Responses1[[#This Row],[Column9]:[Column28]])</f>
        <v>74</v>
      </c>
    </row>
    <row r="82" spans="1:21">
      <c r="A82" s="5">
        <v>4</v>
      </c>
      <c r="B82" s="5">
        <v>4</v>
      </c>
      <c r="C82" s="5">
        <v>3</v>
      </c>
      <c r="D82" s="5">
        <v>3</v>
      </c>
      <c r="E82" s="5">
        <v>4</v>
      </c>
      <c r="F82" s="5">
        <v>4</v>
      </c>
      <c r="G82" s="5">
        <v>4</v>
      </c>
      <c r="H82" s="5">
        <v>4</v>
      </c>
      <c r="I82" s="5">
        <v>4</v>
      </c>
      <c r="J82" s="5">
        <v>3</v>
      </c>
      <c r="K82" s="5">
        <v>4</v>
      </c>
      <c r="L82" s="5">
        <v>4</v>
      </c>
      <c r="M82" s="5">
        <v>4</v>
      </c>
      <c r="N82" s="5">
        <v>5</v>
      </c>
      <c r="O82" s="5">
        <v>4</v>
      </c>
      <c r="P82" s="5">
        <v>4</v>
      </c>
      <c r="Q82" s="5">
        <v>4</v>
      </c>
      <c r="R82" s="5">
        <v>2</v>
      </c>
      <c r="S82" s="5">
        <v>4</v>
      </c>
      <c r="T82" s="5">
        <v>3</v>
      </c>
      <c r="U82" s="5">
        <f>SUM(Form_Responses1[[#This Row],[Column9]:[Column28]])</f>
        <v>75</v>
      </c>
    </row>
    <row r="83" spans="1:21">
      <c r="A83" s="9">
        <v>3</v>
      </c>
      <c r="B83" s="9">
        <v>2</v>
      </c>
      <c r="C83" s="9">
        <v>3</v>
      </c>
      <c r="D83" s="9">
        <v>3</v>
      </c>
      <c r="E83" s="9">
        <v>2</v>
      </c>
      <c r="F83" s="9">
        <v>3</v>
      </c>
      <c r="G83" s="9">
        <v>2</v>
      </c>
      <c r="H83" s="9">
        <v>3</v>
      </c>
      <c r="I83" s="9">
        <v>2</v>
      </c>
      <c r="J83" s="9">
        <v>3</v>
      </c>
      <c r="K83" s="9">
        <v>3</v>
      </c>
      <c r="L83" s="9">
        <v>3</v>
      </c>
      <c r="M83" s="9">
        <v>3</v>
      </c>
      <c r="N83" s="9">
        <v>3</v>
      </c>
      <c r="O83" s="9">
        <v>3</v>
      </c>
      <c r="P83" s="9">
        <v>2</v>
      </c>
      <c r="Q83" s="9">
        <v>3</v>
      </c>
      <c r="R83" s="9">
        <v>3</v>
      </c>
      <c r="S83" s="9">
        <v>2</v>
      </c>
      <c r="T83" s="9">
        <v>2</v>
      </c>
      <c r="U83" s="5">
        <f>SUM(Form_Responses1[[#This Row],[Column9]:[Column28]])</f>
        <v>53</v>
      </c>
    </row>
    <row r="84" spans="1:21">
      <c r="A84" s="5">
        <v>4</v>
      </c>
      <c r="B84" s="5">
        <v>4</v>
      </c>
      <c r="C84" s="5">
        <v>4</v>
      </c>
      <c r="D84" s="5">
        <v>4</v>
      </c>
      <c r="E84" s="5">
        <v>4</v>
      </c>
      <c r="F84" s="5">
        <v>4</v>
      </c>
      <c r="G84" s="5">
        <v>4</v>
      </c>
      <c r="H84" s="5">
        <v>4</v>
      </c>
      <c r="I84" s="5">
        <v>4</v>
      </c>
      <c r="J84" s="5">
        <v>4</v>
      </c>
      <c r="K84" s="5">
        <v>4</v>
      </c>
      <c r="L84" s="5">
        <v>4</v>
      </c>
      <c r="M84" s="5">
        <v>4</v>
      </c>
      <c r="N84" s="5">
        <v>4</v>
      </c>
      <c r="O84" s="5">
        <v>4</v>
      </c>
      <c r="P84" s="5">
        <v>3</v>
      </c>
      <c r="Q84" s="5">
        <v>4</v>
      </c>
      <c r="R84" s="5">
        <v>4</v>
      </c>
      <c r="S84" s="5">
        <v>4</v>
      </c>
      <c r="T84" s="5">
        <v>4</v>
      </c>
      <c r="U84" s="5">
        <f>SUM(Form_Responses1[[#This Row],[Column9]:[Column28]])</f>
        <v>79</v>
      </c>
    </row>
    <row r="85" spans="1:21">
      <c r="A85" s="9">
        <v>2</v>
      </c>
      <c r="B85" s="9">
        <v>3</v>
      </c>
      <c r="C85" s="9">
        <v>3</v>
      </c>
      <c r="D85" s="9">
        <v>3</v>
      </c>
      <c r="E85" s="9">
        <v>2</v>
      </c>
      <c r="F85" s="9">
        <v>3</v>
      </c>
      <c r="G85" s="9">
        <v>2</v>
      </c>
      <c r="H85" s="9">
        <v>3</v>
      </c>
      <c r="I85" s="9">
        <v>3</v>
      </c>
      <c r="J85" s="9">
        <v>3</v>
      </c>
      <c r="K85" s="9">
        <v>3</v>
      </c>
      <c r="L85" s="9">
        <v>2</v>
      </c>
      <c r="M85" s="9">
        <v>2</v>
      </c>
      <c r="N85" s="9">
        <v>2</v>
      </c>
      <c r="O85" s="9">
        <v>3</v>
      </c>
      <c r="P85" s="9">
        <v>3</v>
      </c>
      <c r="Q85" s="9">
        <v>3</v>
      </c>
      <c r="R85" s="9">
        <v>3</v>
      </c>
      <c r="S85" s="9">
        <v>3</v>
      </c>
      <c r="T85" s="9">
        <v>3</v>
      </c>
      <c r="U85" s="5">
        <f>SUM(Form_Responses1[[#This Row],[Column9]:[Column28]])</f>
        <v>54</v>
      </c>
    </row>
    <row r="86" spans="1:21">
      <c r="A86" s="5">
        <v>4</v>
      </c>
      <c r="B86" s="5">
        <v>5</v>
      </c>
      <c r="C86" s="5">
        <v>4</v>
      </c>
      <c r="D86" s="5">
        <v>5</v>
      </c>
      <c r="E86" s="5">
        <v>4</v>
      </c>
      <c r="F86" s="5">
        <v>4</v>
      </c>
      <c r="G86" s="5">
        <v>5</v>
      </c>
      <c r="H86" s="5">
        <v>4</v>
      </c>
      <c r="I86" s="5">
        <v>5</v>
      </c>
      <c r="J86" s="5">
        <v>4</v>
      </c>
      <c r="K86" s="5">
        <v>5</v>
      </c>
      <c r="L86" s="5">
        <v>5</v>
      </c>
      <c r="M86" s="5">
        <v>4</v>
      </c>
      <c r="N86" s="5">
        <v>4</v>
      </c>
      <c r="O86" s="5">
        <v>4</v>
      </c>
      <c r="P86" s="5">
        <v>4</v>
      </c>
      <c r="Q86" s="5">
        <v>4</v>
      </c>
      <c r="R86" s="5">
        <v>5</v>
      </c>
      <c r="S86" s="5">
        <v>5</v>
      </c>
      <c r="T86" s="5">
        <v>4</v>
      </c>
      <c r="U86" s="5">
        <f>SUM(Form_Responses1[[#This Row],[Column9]:[Column28]])</f>
        <v>88</v>
      </c>
    </row>
    <row r="87" spans="1:21">
      <c r="A87" s="9">
        <v>3</v>
      </c>
      <c r="B87" s="9">
        <v>3</v>
      </c>
      <c r="C87" s="9">
        <v>2</v>
      </c>
      <c r="D87" s="9">
        <v>3</v>
      </c>
      <c r="E87" s="9">
        <v>3</v>
      </c>
      <c r="F87" s="9">
        <v>2</v>
      </c>
      <c r="G87" s="9">
        <v>3</v>
      </c>
      <c r="H87" s="9">
        <v>3</v>
      </c>
      <c r="I87" s="9">
        <v>3</v>
      </c>
      <c r="J87" s="9">
        <v>3</v>
      </c>
      <c r="K87" s="9">
        <v>3</v>
      </c>
      <c r="L87" s="9">
        <v>3</v>
      </c>
      <c r="M87" s="9">
        <v>3</v>
      </c>
      <c r="N87" s="9">
        <v>3</v>
      </c>
      <c r="O87" s="9">
        <v>3</v>
      </c>
      <c r="P87" s="9">
        <v>3</v>
      </c>
      <c r="Q87" s="9">
        <v>3</v>
      </c>
      <c r="R87" s="9">
        <v>3</v>
      </c>
      <c r="S87" s="9">
        <v>3</v>
      </c>
      <c r="T87" s="9">
        <v>3</v>
      </c>
      <c r="U87" s="5">
        <f>SUM(Form_Responses1[[#This Row],[Column9]:[Column28]])</f>
        <v>58</v>
      </c>
    </row>
    <row r="88" spans="1:21">
      <c r="A88" s="5">
        <v>4</v>
      </c>
      <c r="B88" s="5">
        <v>4</v>
      </c>
      <c r="C88" s="5">
        <v>4</v>
      </c>
      <c r="D88" s="5">
        <v>5</v>
      </c>
      <c r="E88" s="5">
        <v>5</v>
      </c>
      <c r="F88" s="5">
        <v>4</v>
      </c>
      <c r="G88" s="5">
        <v>4</v>
      </c>
      <c r="H88" s="5">
        <v>5</v>
      </c>
      <c r="I88" s="5">
        <v>5</v>
      </c>
      <c r="J88" s="5">
        <v>5</v>
      </c>
      <c r="K88" s="5">
        <v>5</v>
      </c>
      <c r="L88" s="5">
        <v>5</v>
      </c>
      <c r="M88" s="5">
        <v>5</v>
      </c>
      <c r="N88" s="5">
        <v>4</v>
      </c>
      <c r="O88" s="5">
        <v>4</v>
      </c>
      <c r="P88" s="5">
        <v>5</v>
      </c>
      <c r="Q88" s="5">
        <v>5</v>
      </c>
      <c r="R88" s="5">
        <v>5</v>
      </c>
      <c r="S88" s="5">
        <v>5</v>
      </c>
      <c r="T88" s="5">
        <v>4</v>
      </c>
      <c r="U88" s="5">
        <f>SUM(Form_Responses1[[#This Row],[Column9]:[Column28]])</f>
        <v>92</v>
      </c>
    </row>
    <row r="89" spans="1:21">
      <c r="A89" s="9">
        <v>4</v>
      </c>
      <c r="B89" s="9">
        <v>2</v>
      </c>
      <c r="C89" s="9">
        <v>3</v>
      </c>
      <c r="D89" s="9">
        <v>3</v>
      </c>
      <c r="E89" s="9">
        <v>4</v>
      </c>
      <c r="F89" s="9">
        <v>2</v>
      </c>
      <c r="G89" s="9">
        <v>2</v>
      </c>
      <c r="H89" s="9">
        <v>3</v>
      </c>
      <c r="I89" s="9">
        <v>4</v>
      </c>
      <c r="J89" s="9">
        <v>4</v>
      </c>
      <c r="K89" s="9">
        <v>2</v>
      </c>
      <c r="L89" s="9">
        <v>2</v>
      </c>
      <c r="M89" s="9">
        <v>2</v>
      </c>
      <c r="N89" s="9">
        <v>4</v>
      </c>
      <c r="O89" s="9">
        <v>2</v>
      </c>
      <c r="P89" s="9">
        <v>2</v>
      </c>
      <c r="Q89" s="9">
        <v>3</v>
      </c>
      <c r="R89" s="9">
        <v>4</v>
      </c>
      <c r="S89" s="9">
        <v>4</v>
      </c>
      <c r="T89" s="9">
        <v>2</v>
      </c>
      <c r="U89" s="5">
        <f>SUM(Form_Responses1[[#This Row],[Column9]:[Column28]])</f>
        <v>58</v>
      </c>
    </row>
    <row r="90" spans="1:21">
      <c r="A90" s="5">
        <v>2</v>
      </c>
      <c r="B90" s="5">
        <v>3</v>
      </c>
      <c r="C90" s="5">
        <v>4</v>
      </c>
      <c r="D90" s="5">
        <v>4</v>
      </c>
      <c r="E90" s="5">
        <v>3</v>
      </c>
      <c r="F90" s="5">
        <v>2</v>
      </c>
      <c r="G90" s="5">
        <v>2</v>
      </c>
      <c r="H90" s="5">
        <v>4</v>
      </c>
      <c r="I90" s="5">
        <v>4</v>
      </c>
      <c r="J90" s="5">
        <v>4</v>
      </c>
      <c r="K90" s="5">
        <v>2</v>
      </c>
      <c r="L90" s="5">
        <v>3</v>
      </c>
      <c r="M90" s="5">
        <v>2</v>
      </c>
      <c r="N90" s="5">
        <v>3</v>
      </c>
      <c r="O90" s="5">
        <v>4</v>
      </c>
      <c r="P90" s="5">
        <v>4</v>
      </c>
      <c r="Q90" s="5">
        <v>2</v>
      </c>
      <c r="R90" s="5">
        <v>4</v>
      </c>
      <c r="S90" s="5">
        <v>2</v>
      </c>
      <c r="T90" s="5">
        <v>3</v>
      </c>
      <c r="U90" s="5">
        <f>SUM(Form_Responses1[[#This Row],[Column9]:[Column28]])</f>
        <v>61</v>
      </c>
    </row>
    <row r="91" spans="1:21">
      <c r="A91" s="9">
        <v>3</v>
      </c>
      <c r="B91" s="9">
        <v>4</v>
      </c>
      <c r="C91" s="9">
        <v>3</v>
      </c>
      <c r="D91" s="9">
        <v>4</v>
      </c>
      <c r="E91" s="9">
        <v>4</v>
      </c>
      <c r="F91" s="9">
        <v>3</v>
      </c>
      <c r="G91" s="9">
        <v>4</v>
      </c>
      <c r="H91" s="9">
        <v>4</v>
      </c>
      <c r="I91" s="9">
        <v>3</v>
      </c>
      <c r="J91" s="9">
        <v>4</v>
      </c>
      <c r="K91" s="9">
        <v>3</v>
      </c>
      <c r="L91" s="9">
        <v>3</v>
      </c>
      <c r="M91" s="9">
        <v>4</v>
      </c>
      <c r="N91" s="9">
        <v>4</v>
      </c>
      <c r="O91" s="9">
        <v>4</v>
      </c>
      <c r="P91" s="9">
        <v>3</v>
      </c>
      <c r="Q91" s="9">
        <v>3</v>
      </c>
      <c r="R91" s="9">
        <v>3</v>
      </c>
      <c r="S91" s="9">
        <v>3</v>
      </c>
      <c r="T91" s="9">
        <v>4</v>
      </c>
      <c r="U91" s="5">
        <f>SUM(Form_Responses1[[#This Row],[Column9]:[Column28]])</f>
        <v>70</v>
      </c>
    </row>
    <row r="92" spans="1:21">
      <c r="A92" s="5">
        <v>3</v>
      </c>
      <c r="B92" s="5">
        <v>3</v>
      </c>
      <c r="C92" s="5">
        <v>3</v>
      </c>
      <c r="D92" s="5">
        <v>3</v>
      </c>
      <c r="E92" s="5">
        <v>2</v>
      </c>
      <c r="F92" s="5">
        <v>3</v>
      </c>
      <c r="G92" s="5">
        <v>2</v>
      </c>
      <c r="H92" s="5">
        <v>4</v>
      </c>
      <c r="I92" s="5">
        <v>3</v>
      </c>
      <c r="J92" s="5">
        <v>2</v>
      </c>
      <c r="K92" s="5">
        <v>4</v>
      </c>
      <c r="L92" s="5">
        <v>4</v>
      </c>
      <c r="M92" s="5">
        <v>4</v>
      </c>
      <c r="N92" s="5">
        <v>2</v>
      </c>
      <c r="O92" s="5">
        <v>4</v>
      </c>
      <c r="P92" s="5">
        <v>3</v>
      </c>
      <c r="Q92" s="5">
        <v>2</v>
      </c>
      <c r="R92" s="5">
        <v>3</v>
      </c>
      <c r="S92" s="5">
        <v>3</v>
      </c>
      <c r="T92" s="5">
        <v>3</v>
      </c>
      <c r="U92" s="5">
        <f>SUM(Form_Responses1[[#This Row],[Column9]:[Column28]])</f>
        <v>60</v>
      </c>
    </row>
    <row r="93" spans="1:21">
      <c r="A93" s="9">
        <v>4</v>
      </c>
      <c r="B93" s="9">
        <v>4</v>
      </c>
      <c r="C93" s="9">
        <v>4</v>
      </c>
      <c r="D93" s="9">
        <v>4</v>
      </c>
      <c r="E93" s="9">
        <v>5</v>
      </c>
      <c r="F93" s="9">
        <v>5</v>
      </c>
      <c r="G93" s="9">
        <v>4</v>
      </c>
      <c r="H93" s="9">
        <v>4</v>
      </c>
      <c r="I93" s="9">
        <v>4</v>
      </c>
      <c r="J93" s="9">
        <v>4</v>
      </c>
      <c r="K93" s="9">
        <v>5</v>
      </c>
      <c r="L93" s="9">
        <v>4</v>
      </c>
      <c r="M93" s="9">
        <v>5</v>
      </c>
      <c r="N93" s="9">
        <v>4</v>
      </c>
      <c r="O93" s="9">
        <v>4</v>
      </c>
      <c r="P93" s="9">
        <v>4</v>
      </c>
      <c r="Q93" s="9">
        <v>5</v>
      </c>
      <c r="R93" s="9">
        <v>4</v>
      </c>
      <c r="S93" s="9">
        <v>5</v>
      </c>
      <c r="T93" s="9">
        <v>4</v>
      </c>
      <c r="U93" s="5">
        <f>SUM(Form_Responses1[[#This Row],[Column9]:[Column28]])</f>
        <v>86</v>
      </c>
    </row>
    <row r="94" spans="1:21">
      <c r="A94" s="5">
        <v>5</v>
      </c>
      <c r="B94" s="5">
        <v>4</v>
      </c>
      <c r="C94" s="5">
        <v>3</v>
      </c>
      <c r="D94" s="5">
        <v>5</v>
      </c>
      <c r="E94" s="5">
        <v>4</v>
      </c>
      <c r="F94" s="5">
        <v>4</v>
      </c>
      <c r="G94" s="5">
        <v>4</v>
      </c>
      <c r="H94" s="5">
        <v>4</v>
      </c>
      <c r="I94" s="5">
        <v>5</v>
      </c>
      <c r="J94" s="5">
        <v>5</v>
      </c>
      <c r="K94" s="5">
        <v>4</v>
      </c>
      <c r="L94" s="5">
        <v>4</v>
      </c>
      <c r="M94" s="5">
        <v>4</v>
      </c>
      <c r="N94" s="5">
        <v>4</v>
      </c>
      <c r="O94" s="5">
        <v>4</v>
      </c>
      <c r="P94" s="5">
        <v>2</v>
      </c>
      <c r="Q94" s="5">
        <v>3</v>
      </c>
      <c r="R94" s="5">
        <v>3</v>
      </c>
      <c r="S94" s="5">
        <v>3</v>
      </c>
      <c r="T94" s="5">
        <v>3</v>
      </c>
      <c r="U94" s="5">
        <f>SUM(Form_Responses1[[#This Row],[Column9]:[Column28]])</f>
        <v>77</v>
      </c>
    </row>
    <row r="95" spans="1:21">
      <c r="A95" s="9">
        <v>4</v>
      </c>
      <c r="B95" s="9">
        <v>4</v>
      </c>
      <c r="C95" s="9">
        <v>4</v>
      </c>
      <c r="D95" s="9">
        <v>4</v>
      </c>
      <c r="E95" s="9">
        <v>4</v>
      </c>
      <c r="F95" s="9">
        <v>4</v>
      </c>
      <c r="G95" s="9">
        <v>4</v>
      </c>
      <c r="H95" s="9">
        <v>4</v>
      </c>
      <c r="I95" s="9">
        <v>3</v>
      </c>
      <c r="J95" s="9">
        <v>4</v>
      </c>
      <c r="K95" s="9">
        <v>3</v>
      </c>
      <c r="L95" s="9">
        <v>4</v>
      </c>
      <c r="M95" s="9">
        <v>4</v>
      </c>
      <c r="N95" s="9">
        <v>4</v>
      </c>
      <c r="O95" s="9">
        <v>4</v>
      </c>
      <c r="P95" s="9">
        <v>4</v>
      </c>
      <c r="Q95" s="9">
        <v>4</v>
      </c>
      <c r="R95" s="9">
        <v>4</v>
      </c>
      <c r="S95" s="9">
        <v>4</v>
      </c>
      <c r="T95" s="9">
        <v>4</v>
      </c>
      <c r="U95" s="5">
        <f>SUM(Form_Responses1[[#This Row],[Column9]:[Column28]])</f>
        <v>78</v>
      </c>
    </row>
    <row r="96" spans="1:21">
      <c r="A96" s="5">
        <v>5</v>
      </c>
      <c r="B96" s="5">
        <v>5</v>
      </c>
      <c r="C96" s="5">
        <v>5</v>
      </c>
      <c r="D96" s="5">
        <v>5</v>
      </c>
      <c r="E96" s="5">
        <v>5</v>
      </c>
      <c r="F96" s="5">
        <v>4</v>
      </c>
      <c r="G96" s="5">
        <v>4</v>
      </c>
      <c r="H96" s="5">
        <v>5</v>
      </c>
      <c r="I96" s="5">
        <v>5</v>
      </c>
      <c r="J96" s="5">
        <v>4</v>
      </c>
      <c r="K96" s="5">
        <v>5</v>
      </c>
      <c r="L96" s="5">
        <v>4</v>
      </c>
      <c r="M96" s="5">
        <v>5</v>
      </c>
      <c r="N96" s="5">
        <v>5</v>
      </c>
      <c r="O96" s="5">
        <v>5</v>
      </c>
      <c r="P96" s="5">
        <v>5</v>
      </c>
      <c r="Q96" s="5">
        <v>5</v>
      </c>
      <c r="R96" s="5">
        <v>5</v>
      </c>
      <c r="S96" s="5">
        <v>5</v>
      </c>
      <c r="T96" s="5">
        <v>5</v>
      </c>
      <c r="U96" s="5">
        <f>SUM(Form_Responses1[[#This Row],[Column9]:[Column28]])</f>
        <v>96</v>
      </c>
    </row>
    <row r="97" spans="1:21">
      <c r="A97" s="9">
        <v>5</v>
      </c>
      <c r="B97" s="9">
        <v>5</v>
      </c>
      <c r="C97" s="9">
        <v>5</v>
      </c>
      <c r="D97" s="9">
        <v>5</v>
      </c>
      <c r="E97" s="9">
        <v>5</v>
      </c>
      <c r="F97" s="9">
        <v>5</v>
      </c>
      <c r="G97" s="9">
        <v>5</v>
      </c>
      <c r="H97" s="9">
        <v>5</v>
      </c>
      <c r="I97" s="9">
        <v>5</v>
      </c>
      <c r="J97" s="9">
        <v>5</v>
      </c>
      <c r="K97" s="9">
        <v>5</v>
      </c>
      <c r="L97" s="9">
        <v>5</v>
      </c>
      <c r="M97" s="9">
        <v>5</v>
      </c>
      <c r="N97" s="9">
        <v>5</v>
      </c>
      <c r="O97" s="9">
        <v>5</v>
      </c>
      <c r="P97" s="9">
        <v>5</v>
      </c>
      <c r="Q97" s="9">
        <v>5</v>
      </c>
      <c r="R97" s="9">
        <v>5</v>
      </c>
      <c r="S97" s="9">
        <v>5</v>
      </c>
      <c r="T97" s="9">
        <v>5</v>
      </c>
      <c r="U97" s="5">
        <f>SUM(Form_Responses1[[#This Row],[Column9]:[Column28]])</f>
        <v>100</v>
      </c>
    </row>
    <row r="98" spans="1:21">
      <c r="A98" s="5">
        <v>4</v>
      </c>
      <c r="B98" s="5">
        <v>4</v>
      </c>
      <c r="C98" s="5">
        <v>4</v>
      </c>
      <c r="D98" s="5">
        <v>4</v>
      </c>
      <c r="E98" s="5">
        <v>4</v>
      </c>
      <c r="F98" s="5">
        <v>4</v>
      </c>
      <c r="G98" s="5">
        <v>4</v>
      </c>
      <c r="H98" s="5">
        <v>4</v>
      </c>
      <c r="I98" s="5">
        <v>4</v>
      </c>
      <c r="J98" s="5">
        <v>4</v>
      </c>
      <c r="K98" s="5">
        <v>4</v>
      </c>
      <c r="L98" s="5">
        <v>4</v>
      </c>
      <c r="M98" s="5">
        <v>4</v>
      </c>
      <c r="N98" s="5">
        <v>4</v>
      </c>
      <c r="O98" s="5">
        <v>4</v>
      </c>
      <c r="P98" s="5">
        <v>4</v>
      </c>
      <c r="Q98" s="5">
        <v>4</v>
      </c>
      <c r="R98" s="5">
        <v>4</v>
      </c>
      <c r="S98" s="5">
        <v>4</v>
      </c>
      <c r="T98" s="5">
        <v>4</v>
      </c>
      <c r="U98" s="5">
        <f>SUM(Form_Responses1[[#This Row],[Column9]:[Column28]])</f>
        <v>80</v>
      </c>
    </row>
    <row r="99" spans="1:21">
      <c r="A99" s="9">
        <v>5</v>
      </c>
      <c r="B99" s="9">
        <v>5</v>
      </c>
      <c r="C99" s="9">
        <v>5</v>
      </c>
      <c r="D99" s="9">
        <v>5</v>
      </c>
      <c r="E99" s="9">
        <v>5</v>
      </c>
      <c r="F99" s="9">
        <v>5</v>
      </c>
      <c r="G99" s="9">
        <v>5</v>
      </c>
      <c r="H99" s="9">
        <v>5</v>
      </c>
      <c r="I99" s="9">
        <v>4</v>
      </c>
      <c r="J99" s="9">
        <v>5</v>
      </c>
      <c r="K99" s="9">
        <v>5</v>
      </c>
      <c r="L99" s="9">
        <v>5</v>
      </c>
      <c r="M99" s="9">
        <v>5</v>
      </c>
      <c r="N99" s="9">
        <v>5</v>
      </c>
      <c r="O99" s="9">
        <v>5</v>
      </c>
      <c r="P99" s="9">
        <v>5</v>
      </c>
      <c r="Q99" s="9">
        <v>5</v>
      </c>
      <c r="R99" s="9">
        <v>5</v>
      </c>
      <c r="S99" s="9">
        <v>5</v>
      </c>
      <c r="T99" s="9">
        <v>5</v>
      </c>
      <c r="U99" s="5">
        <f>SUM(Form_Responses1[[#This Row],[Column9]:[Column28]])</f>
        <v>99</v>
      </c>
    </row>
    <row r="100" spans="1:21">
      <c r="A100" s="5">
        <v>2</v>
      </c>
      <c r="B100" s="5">
        <v>2</v>
      </c>
      <c r="C100" s="5">
        <v>2</v>
      </c>
      <c r="D100" s="5">
        <v>2</v>
      </c>
      <c r="E100" s="5">
        <v>2</v>
      </c>
      <c r="F100" s="5">
        <v>2</v>
      </c>
      <c r="G100" s="5">
        <v>2</v>
      </c>
      <c r="H100" s="5">
        <v>2</v>
      </c>
      <c r="I100" s="5">
        <v>2</v>
      </c>
      <c r="J100" s="5">
        <v>2</v>
      </c>
      <c r="K100" s="5">
        <v>2</v>
      </c>
      <c r="L100" s="5">
        <v>2</v>
      </c>
      <c r="M100" s="5">
        <v>2</v>
      </c>
      <c r="N100" s="5">
        <v>2</v>
      </c>
      <c r="O100" s="5">
        <v>2</v>
      </c>
      <c r="P100" s="5">
        <v>2</v>
      </c>
      <c r="Q100" s="5">
        <v>2</v>
      </c>
      <c r="R100" s="5">
        <v>2</v>
      </c>
      <c r="S100" s="5">
        <v>2</v>
      </c>
      <c r="T100" s="5">
        <v>2</v>
      </c>
      <c r="U100" s="5">
        <f>SUM(Form_Responses1[[#This Row],[Column9]:[Column28]])</f>
        <v>40</v>
      </c>
    </row>
    <row r="101" spans="1:21">
      <c r="A101" s="9">
        <v>2</v>
      </c>
      <c r="B101" s="9">
        <v>3</v>
      </c>
      <c r="C101" s="9">
        <v>2</v>
      </c>
      <c r="D101" s="9">
        <v>3</v>
      </c>
      <c r="E101" s="9">
        <v>3</v>
      </c>
      <c r="F101" s="9">
        <v>2</v>
      </c>
      <c r="G101" s="9">
        <v>2</v>
      </c>
      <c r="H101" s="9">
        <v>2</v>
      </c>
      <c r="I101" s="9">
        <v>2</v>
      </c>
      <c r="J101" s="9">
        <v>2</v>
      </c>
      <c r="K101" s="9">
        <v>3</v>
      </c>
      <c r="L101" s="9">
        <v>2</v>
      </c>
      <c r="M101" s="9">
        <v>2</v>
      </c>
      <c r="N101" s="9">
        <v>2</v>
      </c>
      <c r="O101" s="9">
        <v>3</v>
      </c>
      <c r="P101" s="9">
        <v>3</v>
      </c>
      <c r="Q101" s="9">
        <v>2</v>
      </c>
      <c r="R101" s="9">
        <v>3</v>
      </c>
      <c r="S101" s="9">
        <v>3</v>
      </c>
      <c r="T101" s="9">
        <v>3</v>
      </c>
      <c r="U101" s="5">
        <f>SUM(Form_Responses1[[#This Row],[Column9]:[Column28]])</f>
        <v>49</v>
      </c>
    </row>
    <row r="102" spans="1:21">
      <c r="A102" s="5">
        <v>4</v>
      </c>
      <c r="B102" s="5">
        <v>4</v>
      </c>
      <c r="C102" s="5">
        <v>4</v>
      </c>
      <c r="D102" s="5">
        <v>4</v>
      </c>
      <c r="E102" s="5">
        <v>4</v>
      </c>
      <c r="F102" s="5">
        <v>4</v>
      </c>
      <c r="G102" s="5">
        <v>4</v>
      </c>
      <c r="H102" s="5">
        <v>4</v>
      </c>
      <c r="I102" s="5">
        <v>4</v>
      </c>
      <c r="J102" s="5">
        <v>4</v>
      </c>
      <c r="K102" s="5">
        <v>4</v>
      </c>
      <c r="L102" s="5">
        <v>4</v>
      </c>
      <c r="M102" s="5">
        <v>4</v>
      </c>
      <c r="N102" s="5">
        <v>4</v>
      </c>
      <c r="O102" s="5">
        <v>4</v>
      </c>
      <c r="P102" s="5">
        <v>4</v>
      </c>
      <c r="Q102" s="5">
        <v>4</v>
      </c>
      <c r="R102" s="5">
        <v>4</v>
      </c>
      <c r="S102" s="5">
        <v>4</v>
      </c>
      <c r="T102" s="5">
        <v>4</v>
      </c>
      <c r="U102" s="5">
        <f>SUM(Form_Responses1[[#This Row],[Column9]:[Column28]])</f>
        <v>80</v>
      </c>
    </row>
    <row r="103" spans="1:21">
      <c r="A103" s="9">
        <v>4</v>
      </c>
      <c r="B103" s="9">
        <v>4</v>
      </c>
      <c r="C103" s="9">
        <v>4</v>
      </c>
      <c r="D103" s="9">
        <v>4</v>
      </c>
      <c r="E103" s="9">
        <v>4</v>
      </c>
      <c r="F103" s="9">
        <v>4</v>
      </c>
      <c r="G103" s="9">
        <v>4</v>
      </c>
      <c r="H103" s="9">
        <v>4</v>
      </c>
      <c r="I103" s="9">
        <v>4</v>
      </c>
      <c r="J103" s="9">
        <v>4</v>
      </c>
      <c r="K103" s="9">
        <v>3</v>
      </c>
      <c r="L103" s="9">
        <v>4</v>
      </c>
      <c r="M103" s="9">
        <v>3</v>
      </c>
      <c r="N103" s="9">
        <v>3</v>
      </c>
      <c r="O103" s="9">
        <v>3</v>
      </c>
      <c r="P103" s="9">
        <v>4</v>
      </c>
      <c r="Q103" s="9">
        <v>4</v>
      </c>
      <c r="R103" s="9">
        <v>4</v>
      </c>
      <c r="S103" s="9">
        <v>4</v>
      </c>
      <c r="T103" s="9">
        <v>4</v>
      </c>
      <c r="U103" s="5">
        <f>SUM(Form_Responses1[[#This Row],[Column9]:[Column28]])</f>
        <v>76</v>
      </c>
    </row>
    <row r="104" spans="1:21">
      <c r="A104" s="5">
        <v>1</v>
      </c>
      <c r="B104" s="5">
        <v>2</v>
      </c>
      <c r="C104" s="5">
        <v>1</v>
      </c>
      <c r="D104" s="5">
        <v>2</v>
      </c>
      <c r="E104" s="5">
        <v>1</v>
      </c>
      <c r="F104" s="5">
        <v>2</v>
      </c>
      <c r="G104" s="5">
        <v>1</v>
      </c>
      <c r="H104" s="5">
        <v>2</v>
      </c>
      <c r="I104" s="5">
        <v>1</v>
      </c>
      <c r="J104" s="5">
        <v>2</v>
      </c>
      <c r="K104" s="5">
        <v>2</v>
      </c>
      <c r="L104" s="5">
        <v>1</v>
      </c>
      <c r="M104" s="5">
        <v>2</v>
      </c>
      <c r="N104" s="5">
        <v>1</v>
      </c>
      <c r="O104" s="5">
        <v>1</v>
      </c>
      <c r="P104" s="5">
        <v>1</v>
      </c>
      <c r="Q104" s="5">
        <v>2</v>
      </c>
      <c r="R104" s="5">
        <v>1</v>
      </c>
      <c r="S104" s="5">
        <v>1</v>
      </c>
      <c r="T104" s="5">
        <v>1</v>
      </c>
      <c r="U104" s="5">
        <f>SUM(Form_Responses1[[#This Row],[Column9]:[Column28]])</f>
        <v>28</v>
      </c>
    </row>
    <row r="105" spans="1:21">
      <c r="A105" s="9">
        <v>3</v>
      </c>
      <c r="B105" s="9">
        <v>3</v>
      </c>
      <c r="C105" s="9">
        <v>3</v>
      </c>
      <c r="D105" s="9">
        <v>4</v>
      </c>
      <c r="E105" s="9">
        <v>4</v>
      </c>
      <c r="F105" s="9">
        <v>4</v>
      </c>
      <c r="G105" s="9">
        <v>4</v>
      </c>
      <c r="H105" s="9">
        <v>4</v>
      </c>
      <c r="I105" s="9">
        <v>3</v>
      </c>
      <c r="J105" s="9">
        <v>3</v>
      </c>
      <c r="K105" s="9">
        <v>4</v>
      </c>
      <c r="L105" s="9">
        <v>3</v>
      </c>
      <c r="M105" s="9">
        <v>3</v>
      </c>
      <c r="N105" s="9">
        <v>4</v>
      </c>
      <c r="O105" s="9">
        <v>4</v>
      </c>
      <c r="P105" s="9">
        <v>4</v>
      </c>
      <c r="Q105" s="9">
        <v>3</v>
      </c>
      <c r="R105" s="9">
        <v>4</v>
      </c>
      <c r="S105" s="9">
        <v>4</v>
      </c>
      <c r="T105" s="9">
        <v>3</v>
      </c>
      <c r="U105" s="5">
        <f>SUM(Form_Responses1[[#This Row],[Column9]:[Column28]])</f>
        <v>71</v>
      </c>
    </row>
    <row r="106" spans="1:21">
      <c r="A106" s="5">
        <v>2</v>
      </c>
      <c r="B106" s="5">
        <v>2</v>
      </c>
      <c r="C106" s="5">
        <v>1</v>
      </c>
      <c r="D106" s="5">
        <v>2</v>
      </c>
      <c r="E106" s="5">
        <v>2</v>
      </c>
      <c r="F106" s="5">
        <v>2</v>
      </c>
      <c r="G106" s="5">
        <v>2</v>
      </c>
      <c r="H106" s="5">
        <v>2</v>
      </c>
      <c r="I106" s="5">
        <v>2</v>
      </c>
      <c r="J106" s="5">
        <v>2</v>
      </c>
      <c r="K106" s="5">
        <v>2</v>
      </c>
      <c r="L106" s="5">
        <v>2</v>
      </c>
      <c r="M106" s="5">
        <v>2</v>
      </c>
      <c r="N106" s="5">
        <v>2</v>
      </c>
      <c r="O106" s="5">
        <v>2</v>
      </c>
      <c r="P106" s="5">
        <v>2</v>
      </c>
      <c r="Q106" s="5">
        <v>2</v>
      </c>
      <c r="R106" s="5">
        <v>2</v>
      </c>
      <c r="S106" s="5">
        <v>2</v>
      </c>
      <c r="T106" s="5">
        <v>1</v>
      </c>
      <c r="U106" s="5">
        <f>SUM(Form_Responses1[[#This Row],[Column9]:[Column28]])</f>
        <v>38</v>
      </c>
    </row>
    <row r="107" spans="1:21">
      <c r="A107" s="9">
        <v>3</v>
      </c>
      <c r="B107" s="9">
        <v>2</v>
      </c>
      <c r="C107" s="9">
        <v>2</v>
      </c>
      <c r="D107" s="9">
        <v>3</v>
      </c>
      <c r="E107" s="9">
        <v>3</v>
      </c>
      <c r="F107" s="9">
        <v>3</v>
      </c>
      <c r="G107" s="9">
        <v>3</v>
      </c>
      <c r="H107" s="9">
        <v>3</v>
      </c>
      <c r="I107" s="9">
        <v>3</v>
      </c>
      <c r="J107" s="9">
        <v>3</v>
      </c>
      <c r="K107" s="9">
        <v>3</v>
      </c>
      <c r="L107" s="9">
        <v>4</v>
      </c>
      <c r="M107" s="9">
        <v>3</v>
      </c>
      <c r="N107" s="9">
        <v>3</v>
      </c>
      <c r="O107" s="9">
        <v>4</v>
      </c>
      <c r="P107" s="9">
        <v>3</v>
      </c>
      <c r="Q107" s="9">
        <v>4</v>
      </c>
      <c r="R107" s="9">
        <v>3</v>
      </c>
      <c r="S107" s="9">
        <v>3</v>
      </c>
      <c r="T107" s="9">
        <v>2</v>
      </c>
      <c r="U107" s="5">
        <f>SUM(Form_Responses1[[#This Row],[Column9]:[Column28]])</f>
        <v>60</v>
      </c>
    </row>
    <row r="108" spans="1:21">
      <c r="A108" s="5">
        <v>3</v>
      </c>
      <c r="B108" s="5">
        <v>3</v>
      </c>
      <c r="C108" s="5">
        <v>3</v>
      </c>
      <c r="D108" s="5">
        <v>3</v>
      </c>
      <c r="E108" s="5">
        <v>3</v>
      </c>
      <c r="F108" s="5">
        <v>3</v>
      </c>
      <c r="G108" s="5">
        <v>2</v>
      </c>
      <c r="H108" s="5">
        <v>2</v>
      </c>
      <c r="I108" s="5">
        <v>2</v>
      </c>
      <c r="J108" s="5">
        <v>2</v>
      </c>
      <c r="K108" s="5">
        <v>2</v>
      </c>
      <c r="L108" s="5">
        <v>3</v>
      </c>
      <c r="M108" s="5">
        <v>2</v>
      </c>
      <c r="N108" s="5">
        <v>3</v>
      </c>
      <c r="O108" s="5">
        <v>2</v>
      </c>
      <c r="P108" s="5">
        <v>3</v>
      </c>
      <c r="Q108" s="5">
        <v>2</v>
      </c>
      <c r="R108" s="5">
        <v>3</v>
      </c>
      <c r="S108" s="5">
        <v>2</v>
      </c>
      <c r="T108" s="5">
        <v>2</v>
      </c>
      <c r="U108" s="5">
        <f>SUM(Form_Responses1[[#This Row],[Column9]:[Column28]])</f>
        <v>50</v>
      </c>
    </row>
    <row r="109" spans="1:21">
      <c r="A109" s="9">
        <v>4</v>
      </c>
      <c r="B109" s="9">
        <v>5</v>
      </c>
      <c r="C109" s="9">
        <v>4</v>
      </c>
      <c r="D109" s="9">
        <v>4</v>
      </c>
      <c r="E109" s="9">
        <v>5</v>
      </c>
      <c r="F109" s="9">
        <v>5</v>
      </c>
      <c r="G109" s="9">
        <v>5</v>
      </c>
      <c r="H109" s="9">
        <v>4</v>
      </c>
      <c r="I109" s="9">
        <v>5</v>
      </c>
      <c r="J109" s="9">
        <v>5</v>
      </c>
      <c r="K109" s="9">
        <v>5</v>
      </c>
      <c r="L109" s="9">
        <v>4</v>
      </c>
      <c r="M109" s="9">
        <v>5</v>
      </c>
      <c r="N109" s="9">
        <v>5</v>
      </c>
      <c r="O109" s="9">
        <v>5</v>
      </c>
      <c r="P109" s="9">
        <v>4</v>
      </c>
      <c r="Q109" s="9">
        <v>5</v>
      </c>
      <c r="R109" s="9">
        <v>4</v>
      </c>
      <c r="S109" s="9">
        <v>4</v>
      </c>
      <c r="T109" s="9">
        <v>4</v>
      </c>
      <c r="U109" s="5">
        <f>SUM(Form_Responses1[[#This Row],[Column9]:[Column28]])</f>
        <v>91</v>
      </c>
    </row>
    <row r="110" spans="1:21">
      <c r="A110" s="5">
        <v>3</v>
      </c>
      <c r="B110" s="5">
        <v>3</v>
      </c>
      <c r="C110" s="5">
        <v>4</v>
      </c>
      <c r="D110" s="5">
        <v>4</v>
      </c>
      <c r="E110" s="5">
        <v>3</v>
      </c>
      <c r="F110" s="5">
        <v>3</v>
      </c>
      <c r="G110" s="5">
        <v>3</v>
      </c>
      <c r="H110" s="5">
        <v>4</v>
      </c>
      <c r="I110" s="5">
        <v>3</v>
      </c>
      <c r="J110" s="5">
        <v>4</v>
      </c>
      <c r="K110" s="5">
        <v>3</v>
      </c>
      <c r="L110" s="5">
        <v>3</v>
      </c>
      <c r="M110" s="5">
        <v>4</v>
      </c>
      <c r="N110" s="5">
        <v>3</v>
      </c>
      <c r="O110" s="5">
        <v>3</v>
      </c>
      <c r="P110" s="5">
        <v>3</v>
      </c>
      <c r="Q110" s="5">
        <v>4</v>
      </c>
      <c r="R110" s="5">
        <v>4</v>
      </c>
      <c r="S110" s="5">
        <v>4</v>
      </c>
      <c r="T110" s="5">
        <v>3</v>
      </c>
      <c r="U110" s="5">
        <f>SUM(Form_Responses1[[#This Row],[Column9]:[Column28]])</f>
        <v>68</v>
      </c>
    </row>
    <row r="111" spans="1:21">
      <c r="A111" s="9">
        <v>5</v>
      </c>
      <c r="B111" s="9">
        <v>5</v>
      </c>
      <c r="C111" s="9">
        <v>5</v>
      </c>
      <c r="D111" s="9">
        <v>5</v>
      </c>
      <c r="E111" s="9">
        <v>5</v>
      </c>
      <c r="F111" s="9">
        <v>5</v>
      </c>
      <c r="G111" s="9">
        <v>5</v>
      </c>
      <c r="H111" s="9">
        <v>5</v>
      </c>
      <c r="I111" s="9">
        <v>5</v>
      </c>
      <c r="J111" s="9">
        <v>5</v>
      </c>
      <c r="K111" s="9">
        <v>5</v>
      </c>
      <c r="L111" s="9">
        <v>5</v>
      </c>
      <c r="M111" s="9">
        <v>5</v>
      </c>
      <c r="N111" s="9">
        <v>5</v>
      </c>
      <c r="O111" s="9">
        <v>5</v>
      </c>
      <c r="P111" s="9">
        <v>5</v>
      </c>
      <c r="Q111" s="9">
        <v>5</v>
      </c>
      <c r="R111" s="9">
        <v>5</v>
      </c>
      <c r="S111" s="9">
        <v>5</v>
      </c>
      <c r="T111" s="9">
        <v>5</v>
      </c>
      <c r="U111" s="5">
        <f>SUM(Form_Responses1[[#This Row],[Column9]:[Column28]])</f>
        <v>100</v>
      </c>
    </row>
    <row r="112" spans="1:21">
      <c r="A112" s="5">
        <v>4</v>
      </c>
      <c r="B112" s="5">
        <v>4</v>
      </c>
      <c r="C112" s="5">
        <v>4</v>
      </c>
      <c r="D112" s="5">
        <v>4</v>
      </c>
      <c r="E112" s="5">
        <v>4</v>
      </c>
      <c r="F112" s="5">
        <v>4</v>
      </c>
      <c r="G112" s="5">
        <v>4</v>
      </c>
      <c r="H112" s="5">
        <v>4</v>
      </c>
      <c r="I112" s="5">
        <v>4</v>
      </c>
      <c r="J112" s="5">
        <v>4</v>
      </c>
      <c r="K112" s="5">
        <v>4</v>
      </c>
      <c r="L112" s="5">
        <v>3</v>
      </c>
      <c r="M112" s="5">
        <v>3</v>
      </c>
      <c r="N112" s="5">
        <v>4</v>
      </c>
      <c r="O112" s="5">
        <v>3</v>
      </c>
      <c r="P112" s="5">
        <v>3</v>
      </c>
      <c r="Q112" s="5">
        <v>3</v>
      </c>
      <c r="R112" s="5">
        <v>3</v>
      </c>
      <c r="S112" s="5">
        <v>3</v>
      </c>
      <c r="T112" s="5">
        <v>3</v>
      </c>
      <c r="U112" s="5">
        <f>SUM(Form_Responses1[[#This Row],[Column9]:[Column28]])</f>
        <v>72</v>
      </c>
    </row>
    <row r="113" spans="1:21">
      <c r="A113" s="9">
        <v>2</v>
      </c>
      <c r="B113" s="9">
        <v>2</v>
      </c>
      <c r="C113" s="9">
        <v>2</v>
      </c>
      <c r="D113" s="9">
        <v>2</v>
      </c>
      <c r="E113" s="9">
        <v>2</v>
      </c>
      <c r="F113" s="9">
        <v>2</v>
      </c>
      <c r="G113" s="9">
        <v>2</v>
      </c>
      <c r="H113" s="9">
        <v>2</v>
      </c>
      <c r="I113" s="9">
        <v>2</v>
      </c>
      <c r="J113" s="9">
        <v>2</v>
      </c>
      <c r="K113" s="9">
        <v>2</v>
      </c>
      <c r="L113" s="9">
        <v>2</v>
      </c>
      <c r="M113" s="9">
        <v>2</v>
      </c>
      <c r="N113" s="9">
        <v>2</v>
      </c>
      <c r="O113" s="9">
        <v>2</v>
      </c>
      <c r="P113" s="9">
        <v>2</v>
      </c>
      <c r="Q113" s="9">
        <v>2</v>
      </c>
      <c r="R113" s="9">
        <v>2</v>
      </c>
      <c r="S113" s="9">
        <v>2</v>
      </c>
      <c r="T113" s="9">
        <v>2</v>
      </c>
      <c r="U113" s="5">
        <f>SUM(Form_Responses1[[#This Row],[Column9]:[Column28]])</f>
        <v>40</v>
      </c>
    </row>
    <row r="114" spans="1:21">
      <c r="A114" s="5">
        <v>4</v>
      </c>
      <c r="B114" s="5">
        <v>4</v>
      </c>
      <c r="C114" s="5">
        <v>4</v>
      </c>
      <c r="D114" s="5">
        <v>5</v>
      </c>
      <c r="E114" s="5">
        <v>5</v>
      </c>
      <c r="F114" s="5">
        <v>4</v>
      </c>
      <c r="G114" s="5">
        <v>4</v>
      </c>
      <c r="H114" s="5">
        <v>4</v>
      </c>
      <c r="I114" s="5">
        <v>5</v>
      </c>
      <c r="J114" s="5">
        <v>5</v>
      </c>
      <c r="K114" s="5">
        <v>5</v>
      </c>
      <c r="L114" s="5">
        <v>4</v>
      </c>
      <c r="M114" s="5">
        <v>5</v>
      </c>
      <c r="N114" s="5">
        <v>4</v>
      </c>
      <c r="O114" s="5">
        <v>4</v>
      </c>
      <c r="P114" s="5">
        <v>5</v>
      </c>
      <c r="Q114" s="5">
        <v>4</v>
      </c>
      <c r="R114" s="5">
        <v>5</v>
      </c>
      <c r="S114" s="5">
        <v>5</v>
      </c>
      <c r="T114" s="5">
        <v>5</v>
      </c>
      <c r="U114" s="5">
        <f>SUM(Form_Responses1[[#This Row],[Column9]:[Column28]])</f>
        <v>90</v>
      </c>
    </row>
    <row r="115" spans="1:21">
      <c r="A115" s="9">
        <v>4</v>
      </c>
      <c r="B115" s="9">
        <v>2</v>
      </c>
      <c r="C115" s="9">
        <v>3</v>
      </c>
      <c r="D115" s="9">
        <v>3</v>
      </c>
      <c r="E115" s="9">
        <v>4</v>
      </c>
      <c r="F115" s="9">
        <v>3</v>
      </c>
      <c r="G115" s="9">
        <v>3</v>
      </c>
      <c r="H115" s="9">
        <v>2</v>
      </c>
      <c r="I115" s="9">
        <v>4</v>
      </c>
      <c r="J115" s="9">
        <v>3</v>
      </c>
      <c r="K115" s="9">
        <v>4</v>
      </c>
      <c r="L115" s="9">
        <v>2</v>
      </c>
      <c r="M115" s="9">
        <v>4</v>
      </c>
      <c r="N115" s="9">
        <v>2</v>
      </c>
      <c r="O115" s="9">
        <v>4</v>
      </c>
      <c r="P115" s="9">
        <v>3</v>
      </c>
      <c r="Q115" s="9">
        <v>3</v>
      </c>
      <c r="R115" s="9">
        <v>4</v>
      </c>
      <c r="S115" s="9">
        <v>2</v>
      </c>
      <c r="T115" s="9">
        <v>4</v>
      </c>
      <c r="U115" s="5">
        <f>SUM(Form_Responses1[[#This Row],[Column9]:[Column28]])</f>
        <v>63</v>
      </c>
    </row>
    <row r="116" spans="1:21">
      <c r="A116" s="5">
        <v>4</v>
      </c>
      <c r="B116" s="5">
        <v>4</v>
      </c>
      <c r="C116" s="5">
        <v>4</v>
      </c>
      <c r="D116" s="5">
        <v>4</v>
      </c>
      <c r="E116" s="5">
        <v>4</v>
      </c>
      <c r="F116" s="5">
        <v>4</v>
      </c>
      <c r="G116" s="5">
        <v>4</v>
      </c>
      <c r="H116" s="5">
        <v>4</v>
      </c>
      <c r="I116" s="5">
        <v>4</v>
      </c>
      <c r="J116" s="5">
        <v>4</v>
      </c>
      <c r="K116" s="5">
        <v>4</v>
      </c>
      <c r="L116" s="5">
        <v>4</v>
      </c>
      <c r="M116" s="5">
        <v>4</v>
      </c>
      <c r="N116" s="5">
        <v>4</v>
      </c>
      <c r="O116" s="5">
        <v>4</v>
      </c>
      <c r="P116" s="5">
        <v>4</v>
      </c>
      <c r="Q116" s="5">
        <v>4</v>
      </c>
      <c r="R116" s="5">
        <v>4</v>
      </c>
      <c r="S116" s="5">
        <v>4</v>
      </c>
      <c r="T116" s="5">
        <v>4</v>
      </c>
      <c r="U116" s="5">
        <f>SUM(Form_Responses1[[#This Row],[Column9]:[Column28]])</f>
        <v>80</v>
      </c>
    </row>
    <row r="117" spans="1:21">
      <c r="A117" s="9">
        <v>5</v>
      </c>
      <c r="B117" s="9">
        <v>4</v>
      </c>
      <c r="C117" s="9">
        <v>4</v>
      </c>
      <c r="D117" s="9">
        <v>4</v>
      </c>
      <c r="E117" s="9">
        <v>4</v>
      </c>
      <c r="F117" s="9">
        <v>4</v>
      </c>
      <c r="G117" s="9">
        <v>4</v>
      </c>
      <c r="H117" s="9">
        <v>5</v>
      </c>
      <c r="I117" s="9">
        <v>4</v>
      </c>
      <c r="J117" s="9">
        <v>4</v>
      </c>
      <c r="K117" s="9">
        <v>5</v>
      </c>
      <c r="L117" s="9">
        <v>5</v>
      </c>
      <c r="M117" s="9">
        <v>5</v>
      </c>
      <c r="N117" s="9">
        <v>4</v>
      </c>
      <c r="O117" s="9">
        <v>4</v>
      </c>
      <c r="P117" s="9">
        <v>4</v>
      </c>
      <c r="Q117" s="9">
        <v>5</v>
      </c>
      <c r="R117" s="9">
        <v>5</v>
      </c>
      <c r="S117" s="9">
        <v>4</v>
      </c>
      <c r="T117" s="9">
        <v>5</v>
      </c>
      <c r="U117" s="5">
        <f>SUM(Form_Responses1[[#This Row],[Column9]:[Column28]])</f>
        <v>88</v>
      </c>
    </row>
    <row r="118" spans="1:21">
      <c r="A118" s="5">
        <v>4</v>
      </c>
      <c r="B118" s="5">
        <v>4</v>
      </c>
      <c r="C118" s="5">
        <v>4</v>
      </c>
      <c r="D118" s="5">
        <v>4</v>
      </c>
      <c r="E118" s="5">
        <v>4</v>
      </c>
      <c r="F118" s="5">
        <v>4</v>
      </c>
      <c r="G118" s="5">
        <v>4</v>
      </c>
      <c r="H118" s="5">
        <v>4</v>
      </c>
      <c r="I118" s="5">
        <v>4</v>
      </c>
      <c r="J118" s="5">
        <v>4</v>
      </c>
      <c r="K118" s="5">
        <v>4</v>
      </c>
      <c r="L118" s="5">
        <v>4</v>
      </c>
      <c r="M118" s="5">
        <v>4</v>
      </c>
      <c r="N118" s="5">
        <v>4</v>
      </c>
      <c r="O118" s="5">
        <v>4</v>
      </c>
      <c r="P118" s="5">
        <v>4</v>
      </c>
      <c r="Q118" s="5">
        <v>4</v>
      </c>
      <c r="R118" s="5">
        <v>4</v>
      </c>
      <c r="S118" s="5">
        <v>4</v>
      </c>
      <c r="T118" s="5">
        <v>4</v>
      </c>
      <c r="U118" s="5">
        <f>SUM(Form_Responses1[[#This Row],[Column9]:[Column28]])</f>
        <v>80</v>
      </c>
    </row>
    <row r="119" spans="1:21">
      <c r="A119" s="9">
        <v>4</v>
      </c>
      <c r="B119" s="9">
        <v>4</v>
      </c>
      <c r="C119" s="9">
        <v>4</v>
      </c>
      <c r="D119" s="9">
        <v>4</v>
      </c>
      <c r="E119" s="9">
        <v>4</v>
      </c>
      <c r="F119" s="9">
        <v>4</v>
      </c>
      <c r="G119" s="9">
        <v>4</v>
      </c>
      <c r="H119" s="9">
        <v>4</v>
      </c>
      <c r="I119" s="9">
        <v>4</v>
      </c>
      <c r="J119" s="9">
        <v>4</v>
      </c>
      <c r="K119" s="9">
        <v>4</v>
      </c>
      <c r="L119" s="9">
        <v>4</v>
      </c>
      <c r="M119" s="9">
        <v>4</v>
      </c>
      <c r="N119" s="9">
        <v>4</v>
      </c>
      <c r="O119" s="9">
        <v>4</v>
      </c>
      <c r="P119" s="9">
        <v>4</v>
      </c>
      <c r="Q119" s="9">
        <v>4</v>
      </c>
      <c r="R119" s="9">
        <v>4</v>
      </c>
      <c r="S119" s="9">
        <v>4</v>
      </c>
      <c r="T119" s="9">
        <v>4</v>
      </c>
      <c r="U119" s="5">
        <f>SUM(Form_Responses1[[#This Row],[Column9]:[Column28]])</f>
        <v>80</v>
      </c>
    </row>
    <row r="120" spans="1:21">
      <c r="A120" s="5">
        <v>4</v>
      </c>
      <c r="B120" s="5">
        <v>4</v>
      </c>
      <c r="C120" s="5">
        <v>4</v>
      </c>
      <c r="D120" s="5">
        <v>4</v>
      </c>
      <c r="E120" s="5">
        <v>4</v>
      </c>
      <c r="F120" s="5">
        <v>4</v>
      </c>
      <c r="G120" s="5">
        <v>4</v>
      </c>
      <c r="H120" s="5">
        <v>4</v>
      </c>
      <c r="I120" s="5">
        <v>4</v>
      </c>
      <c r="J120" s="5">
        <v>4</v>
      </c>
      <c r="K120" s="5">
        <v>4</v>
      </c>
      <c r="L120" s="5">
        <v>4</v>
      </c>
      <c r="M120" s="5">
        <v>4</v>
      </c>
      <c r="N120" s="5">
        <v>4</v>
      </c>
      <c r="O120" s="5">
        <v>4</v>
      </c>
      <c r="P120" s="5">
        <v>4</v>
      </c>
      <c r="Q120" s="5">
        <v>3</v>
      </c>
      <c r="R120" s="5">
        <v>4</v>
      </c>
      <c r="S120" s="5">
        <v>4</v>
      </c>
      <c r="T120" s="5">
        <v>4</v>
      </c>
      <c r="U120" s="5">
        <f>SUM(Form_Responses1[[#This Row],[Column9]:[Column28]])</f>
        <v>79</v>
      </c>
    </row>
    <row r="121" spans="1:21">
      <c r="A121" s="9">
        <v>3</v>
      </c>
      <c r="B121" s="9">
        <v>4</v>
      </c>
      <c r="C121" s="9">
        <v>3</v>
      </c>
      <c r="D121" s="9">
        <v>4</v>
      </c>
      <c r="E121" s="9">
        <v>4</v>
      </c>
      <c r="F121" s="9">
        <v>3</v>
      </c>
      <c r="G121" s="9">
        <v>4</v>
      </c>
      <c r="H121" s="9">
        <v>4</v>
      </c>
      <c r="I121" s="9">
        <v>3</v>
      </c>
      <c r="J121" s="9">
        <v>4</v>
      </c>
      <c r="K121" s="9">
        <v>3</v>
      </c>
      <c r="L121" s="9">
        <v>3</v>
      </c>
      <c r="M121" s="9">
        <v>4</v>
      </c>
      <c r="N121" s="9">
        <v>4</v>
      </c>
      <c r="O121" s="9">
        <v>4</v>
      </c>
      <c r="P121" s="9">
        <v>3</v>
      </c>
      <c r="Q121" s="9">
        <v>3</v>
      </c>
      <c r="R121" s="9">
        <v>3</v>
      </c>
      <c r="S121" s="9">
        <v>3</v>
      </c>
      <c r="T121" s="9">
        <v>4</v>
      </c>
      <c r="U121" s="5">
        <f>SUM(Form_Responses1[[#This Row],[Column9]:[Column28]])</f>
        <v>70</v>
      </c>
    </row>
    <row r="122" spans="1:21">
      <c r="A122" s="5">
        <v>4</v>
      </c>
      <c r="B122" s="5">
        <v>4</v>
      </c>
      <c r="C122" s="5">
        <v>3</v>
      </c>
      <c r="D122" s="5">
        <v>4</v>
      </c>
      <c r="E122" s="5">
        <v>4</v>
      </c>
      <c r="F122" s="5">
        <v>4</v>
      </c>
      <c r="G122" s="5">
        <v>4</v>
      </c>
      <c r="H122" s="5">
        <v>4</v>
      </c>
      <c r="I122" s="5">
        <v>4</v>
      </c>
      <c r="J122" s="5">
        <v>4</v>
      </c>
      <c r="K122" s="5">
        <v>4</v>
      </c>
      <c r="L122" s="5">
        <v>4</v>
      </c>
      <c r="M122" s="5">
        <v>4</v>
      </c>
      <c r="N122" s="5">
        <v>4</v>
      </c>
      <c r="O122" s="5">
        <v>5</v>
      </c>
      <c r="P122" s="5">
        <v>4</v>
      </c>
      <c r="Q122" s="5">
        <v>4</v>
      </c>
      <c r="R122" s="5">
        <v>4</v>
      </c>
      <c r="S122" s="5">
        <v>4</v>
      </c>
      <c r="T122" s="5">
        <v>3</v>
      </c>
      <c r="U122" s="5">
        <f>SUM(Form_Responses1[[#This Row],[Column9]:[Column28]])</f>
        <v>79</v>
      </c>
    </row>
    <row r="123" spans="1:21">
      <c r="A123" s="9">
        <v>2</v>
      </c>
      <c r="B123" s="9">
        <v>4</v>
      </c>
      <c r="C123" s="9">
        <v>4</v>
      </c>
      <c r="D123" s="9">
        <v>4</v>
      </c>
      <c r="E123" s="9">
        <v>2</v>
      </c>
      <c r="F123" s="9">
        <v>4</v>
      </c>
      <c r="G123" s="9">
        <v>2</v>
      </c>
      <c r="H123" s="9">
        <v>2</v>
      </c>
      <c r="I123" s="9">
        <v>3</v>
      </c>
      <c r="J123" s="9">
        <v>4</v>
      </c>
      <c r="K123" s="9">
        <v>3</v>
      </c>
      <c r="L123" s="9">
        <v>4</v>
      </c>
      <c r="M123" s="9">
        <v>3</v>
      </c>
      <c r="N123" s="9">
        <v>3</v>
      </c>
      <c r="O123" s="9">
        <v>3</v>
      </c>
      <c r="P123" s="9">
        <v>3</v>
      </c>
      <c r="Q123" s="9">
        <v>2</v>
      </c>
      <c r="R123" s="9">
        <v>2</v>
      </c>
      <c r="S123" s="9">
        <v>2</v>
      </c>
      <c r="T123" s="9">
        <v>3</v>
      </c>
      <c r="U123" s="5">
        <f>SUM(Form_Responses1[[#This Row],[Column9]:[Column28]])</f>
        <v>59</v>
      </c>
    </row>
    <row r="124" spans="1:21">
      <c r="A124" s="5">
        <v>4</v>
      </c>
      <c r="B124" s="5">
        <v>3</v>
      </c>
      <c r="C124" s="5">
        <v>2</v>
      </c>
      <c r="D124" s="5">
        <v>2</v>
      </c>
      <c r="E124" s="5">
        <v>4</v>
      </c>
      <c r="F124" s="5">
        <v>2</v>
      </c>
      <c r="G124" s="5">
        <v>2</v>
      </c>
      <c r="H124" s="5">
        <v>3</v>
      </c>
      <c r="I124" s="5">
        <v>3</v>
      </c>
      <c r="J124" s="5">
        <v>4</v>
      </c>
      <c r="K124" s="5">
        <v>2</v>
      </c>
      <c r="L124" s="5">
        <v>4</v>
      </c>
      <c r="M124" s="5">
        <v>4</v>
      </c>
      <c r="N124" s="5">
        <v>4</v>
      </c>
      <c r="O124" s="5">
        <v>4</v>
      </c>
      <c r="P124" s="5">
        <v>2</v>
      </c>
      <c r="Q124" s="5">
        <v>4</v>
      </c>
      <c r="R124" s="5">
        <v>4</v>
      </c>
      <c r="S124" s="5">
        <v>2</v>
      </c>
      <c r="T124" s="5">
        <v>3</v>
      </c>
      <c r="U124" s="5">
        <f>SUM(Form_Responses1[[#This Row],[Column9]:[Column28]])</f>
        <v>62</v>
      </c>
    </row>
    <row r="125" spans="1:21">
      <c r="A125" s="9">
        <v>4</v>
      </c>
      <c r="B125" s="9">
        <v>4</v>
      </c>
      <c r="C125" s="9">
        <v>4</v>
      </c>
      <c r="D125" s="9">
        <v>4</v>
      </c>
      <c r="E125" s="9">
        <v>4</v>
      </c>
      <c r="F125" s="9">
        <v>4</v>
      </c>
      <c r="G125" s="9">
        <v>4</v>
      </c>
      <c r="H125" s="9">
        <v>4</v>
      </c>
      <c r="I125" s="9">
        <v>4</v>
      </c>
      <c r="J125" s="9">
        <v>4</v>
      </c>
      <c r="K125" s="9">
        <v>4</v>
      </c>
      <c r="L125" s="9">
        <v>4</v>
      </c>
      <c r="M125" s="9">
        <v>4</v>
      </c>
      <c r="N125" s="9">
        <v>4</v>
      </c>
      <c r="O125" s="9">
        <v>4</v>
      </c>
      <c r="P125" s="9">
        <v>4</v>
      </c>
      <c r="Q125" s="9">
        <v>4</v>
      </c>
      <c r="R125" s="9">
        <v>4</v>
      </c>
      <c r="S125" s="9">
        <v>4</v>
      </c>
      <c r="T125" s="9">
        <v>4</v>
      </c>
      <c r="U125" s="5">
        <f>SUM(Form_Responses1[[#This Row],[Column9]:[Column28]])</f>
        <v>80</v>
      </c>
    </row>
    <row r="126" spans="1:21">
      <c r="A126" s="5">
        <v>2</v>
      </c>
      <c r="B126" s="5">
        <v>3</v>
      </c>
      <c r="C126" s="5">
        <v>4</v>
      </c>
      <c r="D126" s="5">
        <v>4</v>
      </c>
      <c r="E126" s="5">
        <v>4</v>
      </c>
      <c r="F126" s="5">
        <v>2</v>
      </c>
      <c r="G126" s="5">
        <v>4</v>
      </c>
      <c r="H126" s="5">
        <v>3</v>
      </c>
      <c r="I126" s="5">
        <v>3</v>
      </c>
      <c r="J126" s="5">
        <v>4</v>
      </c>
      <c r="K126" s="5">
        <v>4</v>
      </c>
      <c r="L126" s="5">
        <v>3</v>
      </c>
      <c r="M126" s="5">
        <v>4</v>
      </c>
      <c r="N126" s="5">
        <v>4</v>
      </c>
      <c r="O126" s="5">
        <v>2</v>
      </c>
      <c r="P126" s="5">
        <v>2</v>
      </c>
      <c r="Q126" s="5">
        <v>3</v>
      </c>
      <c r="R126" s="5">
        <v>4</v>
      </c>
      <c r="S126" s="5">
        <v>4</v>
      </c>
      <c r="T126" s="5">
        <v>4</v>
      </c>
      <c r="U126" s="5">
        <f>SUM(Form_Responses1[[#This Row],[Column9]:[Column28]])</f>
        <v>67</v>
      </c>
    </row>
    <row r="127" spans="1:21">
      <c r="A127" s="9">
        <v>3</v>
      </c>
      <c r="B127" s="9">
        <v>2</v>
      </c>
      <c r="C127" s="9">
        <v>1</v>
      </c>
      <c r="D127" s="9">
        <v>2</v>
      </c>
      <c r="E127" s="9">
        <v>3</v>
      </c>
      <c r="F127" s="9">
        <v>3</v>
      </c>
      <c r="G127" s="9">
        <v>4</v>
      </c>
      <c r="H127" s="9">
        <v>3</v>
      </c>
      <c r="I127" s="9">
        <v>4</v>
      </c>
      <c r="J127" s="9">
        <v>3</v>
      </c>
      <c r="K127" s="9">
        <v>4</v>
      </c>
      <c r="L127" s="9">
        <v>3</v>
      </c>
      <c r="M127" s="9">
        <v>3</v>
      </c>
      <c r="N127" s="9">
        <v>2</v>
      </c>
      <c r="O127" s="9">
        <v>3</v>
      </c>
      <c r="P127" s="9">
        <v>2</v>
      </c>
      <c r="Q127" s="9">
        <v>3</v>
      </c>
      <c r="R127" s="9">
        <v>3</v>
      </c>
      <c r="S127" s="9">
        <v>3</v>
      </c>
      <c r="T127" s="9">
        <v>2</v>
      </c>
      <c r="U127" s="5">
        <f>SUM(Form_Responses1[[#This Row],[Column9]:[Column28]])</f>
        <v>56</v>
      </c>
    </row>
    <row r="128" spans="1:21">
      <c r="A128" s="5">
        <v>4</v>
      </c>
      <c r="B128" s="5">
        <v>4</v>
      </c>
      <c r="C128" s="5">
        <v>3</v>
      </c>
      <c r="D128" s="5">
        <v>4</v>
      </c>
      <c r="E128" s="5">
        <v>4</v>
      </c>
      <c r="F128" s="5">
        <v>4</v>
      </c>
      <c r="G128" s="5">
        <v>4</v>
      </c>
      <c r="H128" s="5">
        <v>4</v>
      </c>
      <c r="I128" s="5">
        <v>4</v>
      </c>
      <c r="J128" s="5">
        <v>4</v>
      </c>
      <c r="K128" s="5">
        <v>4</v>
      </c>
      <c r="L128" s="5">
        <v>3</v>
      </c>
      <c r="M128" s="5">
        <v>3</v>
      </c>
      <c r="N128" s="5">
        <v>4</v>
      </c>
      <c r="O128" s="5">
        <v>3</v>
      </c>
      <c r="P128" s="5">
        <v>3</v>
      </c>
      <c r="Q128" s="5">
        <v>4</v>
      </c>
      <c r="R128" s="5">
        <v>4</v>
      </c>
      <c r="S128" s="5">
        <v>3</v>
      </c>
      <c r="T128" s="5">
        <v>3</v>
      </c>
      <c r="U128" s="5">
        <f>SUM(Form_Responses1[[#This Row],[Column9]:[Column28]])</f>
        <v>73</v>
      </c>
    </row>
    <row r="129" spans="1:21">
      <c r="A129" s="9">
        <v>4</v>
      </c>
      <c r="B129" s="9">
        <v>4</v>
      </c>
      <c r="C129" s="9">
        <v>4</v>
      </c>
      <c r="D129" s="9">
        <v>4</v>
      </c>
      <c r="E129" s="9">
        <v>4</v>
      </c>
      <c r="F129" s="9">
        <v>4</v>
      </c>
      <c r="G129" s="9">
        <v>4</v>
      </c>
      <c r="H129" s="9">
        <v>4</v>
      </c>
      <c r="I129" s="9">
        <v>4</v>
      </c>
      <c r="J129" s="9">
        <v>4</v>
      </c>
      <c r="K129" s="9">
        <v>3</v>
      </c>
      <c r="L129" s="9">
        <v>3</v>
      </c>
      <c r="M129" s="9">
        <v>4</v>
      </c>
      <c r="N129" s="9">
        <v>4</v>
      </c>
      <c r="O129" s="9">
        <v>3</v>
      </c>
      <c r="P129" s="9">
        <v>3</v>
      </c>
      <c r="Q129" s="9">
        <v>3</v>
      </c>
      <c r="R129" s="9">
        <v>4</v>
      </c>
      <c r="S129" s="9">
        <v>3</v>
      </c>
      <c r="T129" s="9">
        <v>3</v>
      </c>
      <c r="U129" s="5">
        <f>SUM(Form_Responses1[[#This Row],[Column9]:[Column28]])</f>
        <v>73</v>
      </c>
    </row>
    <row r="130" spans="1:21">
      <c r="A130" s="5">
        <v>4</v>
      </c>
      <c r="B130" s="5">
        <v>5</v>
      </c>
      <c r="C130" s="5">
        <v>4</v>
      </c>
      <c r="D130" s="5">
        <v>5</v>
      </c>
      <c r="E130" s="5">
        <v>5</v>
      </c>
      <c r="F130" s="5">
        <v>5</v>
      </c>
      <c r="G130" s="5">
        <v>5</v>
      </c>
      <c r="H130" s="5">
        <v>4</v>
      </c>
      <c r="I130" s="5">
        <v>4</v>
      </c>
      <c r="J130" s="5">
        <v>4</v>
      </c>
      <c r="K130" s="5">
        <v>5</v>
      </c>
      <c r="L130" s="5">
        <v>4</v>
      </c>
      <c r="M130" s="5">
        <v>4</v>
      </c>
      <c r="N130" s="5">
        <v>4</v>
      </c>
      <c r="O130" s="5">
        <v>5</v>
      </c>
      <c r="P130" s="5">
        <v>4</v>
      </c>
      <c r="Q130" s="5">
        <v>4</v>
      </c>
      <c r="R130" s="5">
        <v>4</v>
      </c>
      <c r="S130" s="5">
        <v>4</v>
      </c>
      <c r="T130" s="5">
        <v>4</v>
      </c>
      <c r="U130" s="5">
        <f>SUM(Form_Responses1[[#This Row],[Column9]:[Column28]])</f>
        <v>87</v>
      </c>
    </row>
    <row r="131" spans="1:21">
      <c r="A131" s="9">
        <v>2</v>
      </c>
      <c r="B131" s="9">
        <v>3</v>
      </c>
      <c r="C131" s="9">
        <v>3</v>
      </c>
      <c r="D131" s="9">
        <v>2</v>
      </c>
      <c r="E131" s="9">
        <v>2</v>
      </c>
      <c r="F131" s="9">
        <v>3</v>
      </c>
      <c r="G131" s="9">
        <v>3</v>
      </c>
      <c r="H131" s="9">
        <v>3</v>
      </c>
      <c r="I131" s="9">
        <v>3</v>
      </c>
      <c r="J131" s="9">
        <v>3</v>
      </c>
      <c r="K131" s="9">
        <v>3</v>
      </c>
      <c r="L131" s="9">
        <v>2</v>
      </c>
      <c r="M131" s="9">
        <v>2</v>
      </c>
      <c r="N131" s="9">
        <v>3</v>
      </c>
      <c r="O131" s="9">
        <v>3</v>
      </c>
      <c r="P131" s="9">
        <v>2</v>
      </c>
      <c r="Q131" s="9">
        <v>2</v>
      </c>
      <c r="R131" s="9">
        <v>2</v>
      </c>
      <c r="S131" s="9">
        <v>3</v>
      </c>
      <c r="T131" s="9">
        <v>2</v>
      </c>
      <c r="U131" s="5">
        <f>SUM(Form_Responses1[[#This Row],[Column9]:[Column28]])</f>
        <v>51</v>
      </c>
    </row>
    <row r="132" spans="1:21">
      <c r="A132" s="5">
        <v>2</v>
      </c>
      <c r="B132" s="5">
        <v>3</v>
      </c>
      <c r="C132" s="5">
        <v>4</v>
      </c>
      <c r="D132" s="5">
        <v>4</v>
      </c>
      <c r="E132" s="5">
        <v>3</v>
      </c>
      <c r="F132" s="5">
        <v>4</v>
      </c>
      <c r="G132" s="5">
        <v>3</v>
      </c>
      <c r="H132" s="5">
        <v>4</v>
      </c>
      <c r="I132" s="5">
        <v>4</v>
      </c>
      <c r="J132" s="5">
        <v>3</v>
      </c>
      <c r="K132" s="5">
        <v>2</v>
      </c>
      <c r="L132" s="5">
        <v>2</v>
      </c>
      <c r="M132" s="5">
        <v>2</v>
      </c>
      <c r="N132" s="5">
        <v>4</v>
      </c>
      <c r="O132" s="5">
        <v>3</v>
      </c>
      <c r="P132" s="5">
        <v>2</v>
      </c>
      <c r="Q132" s="5">
        <v>3</v>
      </c>
      <c r="R132" s="5">
        <v>2</v>
      </c>
      <c r="S132" s="5">
        <v>2</v>
      </c>
      <c r="T132" s="5">
        <v>3</v>
      </c>
      <c r="U132" s="5">
        <f>SUM(Form_Responses1[[#This Row],[Column9]:[Column28]])</f>
        <v>59</v>
      </c>
    </row>
    <row r="133" spans="1:2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5">
        <f>SUM(Form_Responses1[[#This Row],[Column9]:[Column28]])</f>
        <v>0</v>
      </c>
    </row>
    <row r="134" spans="1:2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>
        <f>SUM(Form_Responses1[[#This Row],[Column9]:[Column28]])</f>
        <v>0</v>
      </c>
    </row>
    <row r="135" spans="1:2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5">
        <f>SUM(Form_Responses1[[#This Row],[Column9]:[Column28]])</f>
        <v>0</v>
      </c>
    </row>
    <row r="136" spans="1:2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>
        <f>SUM(Form_Responses1[[#This Row],[Column9]:[Column28]])</f>
        <v>0</v>
      </c>
    </row>
    <row r="137" spans="1:2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5">
        <f>SUM(Form_Responses1[[#This Row],[Column9]:[Column28]])</f>
        <v>0</v>
      </c>
    </row>
    <row r="138" spans="1:2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>
        <f>SUM(Form_Responses1[[#This Row],[Column9]:[Column28]])</f>
        <v>0</v>
      </c>
    </row>
    <row r="139" spans="1:2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5">
        <f>SUM(Form_Responses1[[#This Row],[Column9]:[Column28]])</f>
        <v>0</v>
      </c>
    </row>
    <row r="140" spans="1:2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>
        <f>SUM(Form_Responses1[[#This Row],[Column9]:[Column28]])</f>
        <v>0</v>
      </c>
    </row>
    <row r="141" spans="1:2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5">
        <f>SUM(Form_Responses1[[#This Row],[Column9]:[Column28]])</f>
        <v>0</v>
      </c>
    </row>
    <row r="142" spans="1:2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>
        <f>SUM(Form_Responses1[[#This Row],[Column9]:[Column28]])</f>
        <v>0</v>
      </c>
    </row>
    <row r="143" spans="1:2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5">
        <f>SUM(Form_Responses1[[#This Row],[Column9]:[Column28]])</f>
        <v>0</v>
      </c>
    </row>
    <row r="144" spans="1:2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>
        <f>SUM(Form_Responses1[[#This Row],[Column9]:[Column28]])</f>
        <v>0</v>
      </c>
    </row>
    <row r="145" spans="1:2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5">
        <f>SUM(Form_Responses1[[#This Row],[Column9]:[Column28]])</f>
        <v>0</v>
      </c>
    </row>
    <row r="146" spans="1:2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>
        <f>SUM(Form_Responses1[[#This Row],[Column9]:[Column28]])</f>
        <v>0</v>
      </c>
    </row>
    <row r="147" spans="1:2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5">
        <f>SUM(Form_Responses1[[#This Row],[Column9]:[Column28]])</f>
        <v>0</v>
      </c>
    </row>
    <row r="148" spans="1:2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>
        <f>SUM(Form_Responses1[[#This Row],[Column9]:[Column28]])</f>
        <v>0</v>
      </c>
    </row>
    <row r="149" spans="1:2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5">
        <f>SUM(Form_Responses1[[#This Row],[Column9]:[Column28]])</f>
        <v>0</v>
      </c>
    </row>
    <row r="150" spans="1:2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>
        <f>SUM(Form_Responses1[[#This Row],[Column9]:[Column28]])</f>
        <v>0</v>
      </c>
    </row>
    <row r="151" spans="1:2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5">
        <f>SUM(Form_Responses1[[#This Row],[Column9]:[Column28]])</f>
        <v>0</v>
      </c>
    </row>
    <row r="152" spans="1:2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>
        <f>SUM(Form_Responses1[[#This Row],[Column9]:[Column28]])</f>
        <v>0</v>
      </c>
    </row>
    <row r="153" spans="1:2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5">
        <f>SUM(Form_Responses1[[#This Row],[Column9]:[Column28]])</f>
        <v>0</v>
      </c>
    </row>
    <row r="154" spans="1:2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>
        <f>SUM(Form_Responses1[[#This Row],[Column9]:[Column28]])</f>
        <v>0</v>
      </c>
    </row>
    <row r="155" spans="1:2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5">
        <f>SUM(Form_Responses1[[#This Row],[Column9]:[Column28]])</f>
        <v>0</v>
      </c>
    </row>
    <row r="156" spans="1:2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>
        <f>SUM(Form_Responses1[[#This Row],[Column9]:[Column28]])</f>
        <v>0</v>
      </c>
    </row>
    <row r="157" spans="1:2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5">
        <f>SUM(Form_Responses1[[#This Row],[Column9]:[Column28]])</f>
        <v>0</v>
      </c>
    </row>
    <row r="158" spans="1:2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>
        <f>SUM(Form_Responses1[[#This Row],[Column9]:[Column28]])</f>
        <v>0</v>
      </c>
    </row>
    <row r="159" spans="1:2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5">
        <f>SUM(Form_Responses1[[#This Row],[Column9]:[Column28]])</f>
        <v>0</v>
      </c>
    </row>
    <row r="160" spans="1:2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>
        <f>SUM(Form_Responses1[[#This Row],[Column9]:[Column28]])</f>
        <v>0</v>
      </c>
    </row>
    <row r="161" spans="1:2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5">
        <f>SUM(Form_Responses1[[#This Row],[Column9]:[Column28]])</f>
        <v>0</v>
      </c>
    </row>
    <row r="162" spans="1:2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>
        <f>SUM(Form_Responses1[[#This Row],[Column9]:[Column28]])</f>
        <v>0</v>
      </c>
    </row>
    <row r="163" spans="1:2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5">
        <f>SUM(Form_Responses1[[#This Row],[Column9]:[Column28]])</f>
        <v>0</v>
      </c>
    </row>
    <row r="164" spans="1:2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>
        <f>SUM(Form_Responses1[[#This Row],[Column9]:[Column28]])</f>
        <v>0</v>
      </c>
    </row>
    <row r="165" spans="1:2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5">
        <f>SUM(Form_Responses1[[#This Row],[Column9]:[Column28]])</f>
        <v>0</v>
      </c>
    </row>
    <row r="166" spans="1:2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>
        <f>SUM(Form_Responses1[[#This Row],[Column9]:[Column28]])</f>
        <v>0</v>
      </c>
    </row>
    <row r="167" spans="1:2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5">
        <f>SUM(Form_Responses1[[#This Row],[Column9]:[Column28]])</f>
        <v>0</v>
      </c>
    </row>
    <row r="168" spans="1:2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>
        <f>SUM(Form_Responses1[[#This Row],[Column9]:[Column28]])</f>
        <v>0</v>
      </c>
    </row>
    <row r="169" spans="1:2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5">
        <f>SUM(Form_Responses1[[#This Row],[Column9]:[Column28]])</f>
        <v>0</v>
      </c>
    </row>
    <row r="170" spans="1:2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>
        <f>SUM(Form_Responses1[[#This Row],[Column9]:[Column28]])</f>
        <v>0</v>
      </c>
    </row>
    <row r="171" spans="1:2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5">
        <f>SUM(Form_Responses1[[#This Row],[Column9]:[Column28]])</f>
        <v>0</v>
      </c>
    </row>
    <row r="172" spans="1:2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>
        <f>SUM(Form_Responses1[[#This Row],[Column9]:[Column28]])</f>
        <v>0</v>
      </c>
    </row>
    <row r="173" spans="1:2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5">
        <f>SUM(Form_Responses1[[#This Row],[Column9]:[Column28]])</f>
        <v>0</v>
      </c>
    </row>
    <row r="174" spans="1:2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>
        <f>SUM(Form_Responses1[[#This Row],[Column9]:[Column28]])</f>
        <v>0</v>
      </c>
    </row>
    <row r="175" spans="1:2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5">
        <f>SUM(Form_Responses1[[#This Row],[Column9]:[Column28]])</f>
        <v>0</v>
      </c>
    </row>
    <row r="176" spans="1:2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>
        <f>SUM(Form_Responses1[[#This Row],[Column9]:[Column28]])</f>
        <v>0</v>
      </c>
    </row>
    <row r="177" spans="1:2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5">
        <f>SUM(Form_Responses1[[#This Row],[Column9]:[Column28]])</f>
        <v>0</v>
      </c>
    </row>
    <row r="178" spans="1:2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>
        <f>SUM(Form_Responses1[[#This Row],[Column9]:[Column28]])</f>
        <v>0</v>
      </c>
    </row>
    <row r="179" spans="1:2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5">
        <f>SUM(Form_Responses1[[#This Row],[Column9]:[Column28]])</f>
        <v>0</v>
      </c>
    </row>
    <row r="180" spans="1:2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>
        <f>SUM(Form_Responses1[[#This Row],[Column9]:[Column28]])</f>
        <v>0</v>
      </c>
    </row>
    <row r="181" spans="1:2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5">
        <f>SUM(Form_Responses1[[#This Row],[Column9]:[Column28]])</f>
        <v>0</v>
      </c>
    </row>
    <row r="182" spans="1:2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5">
        <f>SUM(Form_Responses1[[#This Row],[Column9]:[Column28]])</f>
        <v>0</v>
      </c>
    </row>
    <row r="185" spans="1:2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9CD1-B8EC-4D4C-8BFA-5CBB210316D3}">
  <dimension ref="A1:BC186"/>
  <sheetViews>
    <sheetView topLeftCell="AQ1" workbookViewId="0">
      <selection activeCell="L9" sqref="L9"/>
    </sheetView>
  </sheetViews>
  <sheetFormatPr defaultRowHeight="14.5"/>
  <cols>
    <col min="1" max="1" width="7.81640625" customWidth="1"/>
    <col min="2" max="2" width="8.7265625" bestFit="1" customWidth="1"/>
    <col min="3" max="3" width="6.26953125" bestFit="1" customWidth="1"/>
    <col min="4" max="4" width="8" bestFit="1" customWidth="1"/>
    <col min="5" max="5" width="7" customWidth="1"/>
    <col min="6" max="6" width="8.7265625" bestFit="1" customWidth="1"/>
    <col min="7" max="7" width="6.26953125" bestFit="1" customWidth="1"/>
    <col min="8" max="8" width="8" bestFit="1" customWidth="1"/>
    <col min="9" max="9" width="9.453125" customWidth="1"/>
    <col min="10" max="10" width="8.7265625" bestFit="1" customWidth="1"/>
    <col min="11" max="11" width="9.81640625" customWidth="1"/>
    <col min="12" max="12" width="8" bestFit="1" customWidth="1"/>
    <col min="13" max="13" width="8.7265625" customWidth="1"/>
    <col min="14" max="14" width="8.7265625" bestFit="1" customWidth="1"/>
    <col min="15" max="15" width="6.26953125" bestFit="1" customWidth="1"/>
    <col min="16" max="16" width="9.7265625" customWidth="1"/>
    <col min="17" max="17" width="7.90625" customWidth="1"/>
    <col min="18" max="18" width="8.7265625" bestFit="1" customWidth="1"/>
    <col min="19" max="19" width="6.26953125" bestFit="1" customWidth="1"/>
    <col min="20" max="20" width="8" bestFit="1" customWidth="1"/>
    <col min="21" max="21" width="4.1796875" bestFit="1" customWidth="1"/>
    <col min="22" max="22" width="8.7265625" bestFit="1" customWidth="1"/>
    <col min="23" max="23" width="6.26953125" bestFit="1" customWidth="1"/>
    <col min="24" max="24" width="8" bestFit="1" customWidth="1"/>
    <col min="25" max="25" width="4.1796875" bestFit="1" customWidth="1"/>
    <col min="26" max="26" width="8.7265625" bestFit="1" customWidth="1"/>
    <col min="27" max="27" width="6.26953125" bestFit="1" customWidth="1"/>
    <col min="28" max="28" width="8" bestFit="1" customWidth="1"/>
    <col min="29" max="29" width="4.1796875" bestFit="1" customWidth="1"/>
    <col min="30" max="30" width="8.7265625" bestFit="1" customWidth="1"/>
    <col min="31" max="31" width="6.26953125" bestFit="1" customWidth="1"/>
    <col min="32" max="32" width="8" bestFit="1" customWidth="1"/>
    <col min="33" max="33" width="6.36328125" customWidth="1"/>
    <col min="34" max="34" width="8.7265625" bestFit="1" customWidth="1"/>
    <col min="35" max="35" width="6.26953125" bestFit="1" customWidth="1"/>
    <col min="36" max="36" width="8" bestFit="1" customWidth="1"/>
    <col min="37" max="37" width="4.1796875" bestFit="1" customWidth="1"/>
    <col min="38" max="38" width="8.7265625" bestFit="1" customWidth="1"/>
    <col min="39" max="39" width="6.26953125" bestFit="1" customWidth="1"/>
    <col min="40" max="40" width="8" bestFit="1" customWidth="1"/>
    <col min="41" max="41" width="4.1796875" bestFit="1" customWidth="1"/>
    <col min="42" max="42" width="8.7265625" bestFit="1" customWidth="1"/>
    <col min="43" max="43" width="6.26953125" bestFit="1" customWidth="1"/>
    <col min="44" max="44" width="8" bestFit="1" customWidth="1"/>
    <col min="45" max="45" width="4.1796875" bestFit="1" customWidth="1"/>
    <col min="46" max="46" width="8.7265625" bestFit="1" customWidth="1"/>
    <col min="47" max="47" width="6.26953125" bestFit="1" customWidth="1"/>
    <col min="48" max="48" width="8" bestFit="1" customWidth="1"/>
    <col min="49" max="49" width="8.36328125" bestFit="1" customWidth="1"/>
    <col min="50" max="50" width="5.453125" bestFit="1" customWidth="1"/>
    <col min="51" max="51" width="14.7265625" bestFit="1" customWidth="1"/>
    <col min="52" max="52" width="5.7265625" bestFit="1" customWidth="1"/>
    <col min="53" max="53" width="9" bestFit="1" customWidth="1"/>
    <col min="54" max="56" width="4.81640625" bestFit="1" customWidth="1"/>
  </cols>
  <sheetData>
    <row r="1" spans="1:55">
      <c r="A1" s="47" t="s">
        <v>64</v>
      </c>
      <c r="B1" s="47"/>
      <c r="C1" s="47"/>
      <c r="D1" s="47"/>
      <c r="E1" s="47" t="s">
        <v>65</v>
      </c>
      <c r="F1" s="47"/>
      <c r="G1" s="47"/>
      <c r="H1" s="47"/>
      <c r="I1" s="46" t="s">
        <v>66</v>
      </c>
      <c r="J1" s="46"/>
      <c r="K1" s="46"/>
      <c r="L1" s="46"/>
      <c r="M1" s="46" t="s">
        <v>67</v>
      </c>
      <c r="N1" s="46"/>
      <c r="O1" s="46"/>
      <c r="P1" s="46"/>
      <c r="Q1" s="46" t="s">
        <v>68</v>
      </c>
      <c r="R1" s="46"/>
      <c r="S1" s="46"/>
      <c r="T1" s="46"/>
      <c r="U1" s="46" t="s">
        <v>69</v>
      </c>
      <c r="V1" s="46"/>
      <c r="W1" s="46"/>
      <c r="X1" s="46"/>
      <c r="Y1" s="46" t="s">
        <v>70</v>
      </c>
      <c r="Z1" s="46"/>
      <c r="AA1" s="46"/>
      <c r="AB1" s="46"/>
      <c r="AC1" s="46" t="s">
        <v>71</v>
      </c>
      <c r="AD1" s="46"/>
      <c r="AE1" s="46"/>
      <c r="AF1" s="46"/>
      <c r="AG1" s="46" t="s">
        <v>72</v>
      </c>
      <c r="AH1" s="46"/>
      <c r="AI1" s="46"/>
      <c r="AJ1" s="46"/>
      <c r="AK1" s="46" t="s">
        <v>73</v>
      </c>
      <c r="AL1" s="46"/>
      <c r="AM1" s="46"/>
      <c r="AN1" s="46"/>
      <c r="AO1" s="46" t="s">
        <v>74</v>
      </c>
      <c r="AP1" s="46"/>
      <c r="AQ1" s="46"/>
      <c r="AR1" s="46"/>
      <c r="AS1" s="46" t="s">
        <v>75</v>
      </c>
      <c r="AT1" s="46"/>
      <c r="AU1" s="46"/>
      <c r="AV1" s="46"/>
      <c r="AW1" s="46" t="s">
        <v>1</v>
      </c>
      <c r="AX1" s="46"/>
      <c r="AY1" s="46"/>
      <c r="AZ1" s="46"/>
      <c r="BA1" s="46"/>
    </row>
    <row r="2" spans="1:55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76</v>
      </c>
      <c r="J2" s="2" t="s">
        <v>77</v>
      </c>
      <c r="K2" s="2" t="s">
        <v>78</v>
      </c>
      <c r="L2" s="2" t="s">
        <v>79</v>
      </c>
      <c r="M2" s="2" t="s">
        <v>76</v>
      </c>
      <c r="N2" s="2" t="s">
        <v>77</v>
      </c>
      <c r="O2" s="2" t="s">
        <v>78</v>
      </c>
      <c r="P2" s="2" t="s">
        <v>79</v>
      </c>
      <c r="Q2" s="2" t="s">
        <v>76</v>
      </c>
      <c r="R2" s="2" t="s">
        <v>77</v>
      </c>
      <c r="S2" s="2" t="s">
        <v>78</v>
      </c>
      <c r="T2" s="2" t="s">
        <v>79</v>
      </c>
      <c r="U2" s="2" t="s">
        <v>76</v>
      </c>
      <c r="V2" s="2" t="s">
        <v>77</v>
      </c>
      <c r="W2" s="2" t="s">
        <v>78</v>
      </c>
      <c r="X2" s="2" t="s">
        <v>79</v>
      </c>
      <c r="Y2" s="2" t="s">
        <v>76</v>
      </c>
      <c r="Z2" s="2" t="s">
        <v>77</v>
      </c>
      <c r="AA2" s="2" t="s">
        <v>78</v>
      </c>
      <c r="AB2" s="2" t="s">
        <v>79</v>
      </c>
      <c r="AC2" s="2" t="s">
        <v>76</v>
      </c>
      <c r="AD2" s="2" t="s">
        <v>77</v>
      </c>
      <c r="AE2" s="2" t="s">
        <v>78</v>
      </c>
      <c r="AF2" s="2" t="s">
        <v>79</v>
      </c>
      <c r="AG2" s="2" t="s">
        <v>76</v>
      </c>
      <c r="AH2" s="2" t="s">
        <v>77</v>
      </c>
      <c r="AI2" s="2" t="s">
        <v>78</v>
      </c>
      <c r="AJ2" s="2" t="s">
        <v>79</v>
      </c>
      <c r="AK2" s="2" t="s">
        <v>76</v>
      </c>
      <c r="AL2" s="2" t="s">
        <v>77</v>
      </c>
      <c r="AM2" s="2" t="s">
        <v>78</v>
      </c>
      <c r="AN2" s="2" t="s">
        <v>79</v>
      </c>
      <c r="AO2" s="2" t="s">
        <v>76</v>
      </c>
      <c r="AP2" s="2" t="s">
        <v>77</v>
      </c>
      <c r="AQ2" s="2" t="s">
        <v>78</v>
      </c>
      <c r="AR2" s="2" t="s">
        <v>79</v>
      </c>
      <c r="AS2" s="2" t="s">
        <v>76</v>
      </c>
      <c r="AT2" s="2" t="s">
        <v>77</v>
      </c>
      <c r="AU2" s="2" t="s">
        <v>78</v>
      </c>
      <c r="AV2" s="2" t="s">
        <v>79</v>
      </c>
      <c r="AW2" s="3" t="s">
        <v>7</v>
      </c>
      <c r="AX2" s="3" t="s">
        <v>8</v>
      </c>
      <c r="AY2" s="3" t="s">
        <v>9</v>
      </c>
      <c r="AZ2" s="3" t="s">
        <v>8</v>
      </c>
      <c r="BA2" s="4" t="s">
        <v>10</v>
      </c>
      <c r="BB2" s="1" t="s">
        <v>1</v>
      </c>
      <c r="BC2" s="1" t="s">
        <v>1</v>
      </c>
    </row>
    <row r="3" spans="1:55" ht="15.5">
      <c r="A3" s="5">
        <v>30</v>
      </c>
      <c r="B3" s="5">
        <v>20</v>
      </c>
      <c r="C3" s="5">
        <v>20</v>
      </c>
      <c r="D3" s="5">
        <v>30</v>
      </c>
      <c r="E3" s="5">
        <v>30</v>
      </c>
      <c r="F3" s="5">
        <v>30</v>
      </c>
      <c r="G3" s="5">
        <v>20</v>
      </c>
      <c r="H3" s="5">
        <v>20</v>
      </c>
      <c r="I3" s="5">
        <v>30</v>
      </c>
      <c r="J3" s="5">
        <v>30</v>
      </c>
      <c r="K3" s="5">
        <v>20</v>
      </c>
      <c r="L3" s="5">
        <v>20</v>
      </c>
      <c r="M3" s="5">
        <v>30</v>
      </c>
      <c r="N3" s="5">
        <v>30</v>
      </c>
      <c r="O3" s="5">
        <v>20</v>
      </c>
      <c r="P3" s="5">
        <v>20</v>
      </c>
      <c r="Q3" s="5">
        <v>20</v>
      </c>
      <c r="R3" s="5">
        <v>20</v>
      </c>
      <c r="S3" s="5">
        <v>30</v>
      </c>
      <c r="T3" s="5">
        <v>30</v>
      </c>
      <c r="U3" s="5">
        <v>20</v>
      </c>
      <c r="V3" s="5">
        <v>20</v>
      </c>
      <c r="W3" s="5">
        <v>30</v>
      </c>
      <c r="X3" s="5">
        <v>30</v>
      </c>
      <c r="Y3" s="5">
        <v>30</v>
      </c>
      <c r="Z3" s="5">
        <v>30</v>
      </c>
      <c r="AA3" s="5">
        <v>20</v>
      </c>
      <c r="AB3" s="5">
        <v>20</v>
      </c>
      <c r="AC3" s="5">
        <v>20</v>
      </c>
      <c r="AD3" s="5">
        <v>20</v>
      </c>
      <c r="AE3" s="5">
        <v>30</v>
      </c>
      <c r="AF3" s="5">
        <v>30</v>
      </c>
      <c r="AG3" s="5">
        <v>20</v>
      </c>
      <c r="AH3" s="5">
        <v>20</v>
      </c>
      <c r="AI3" s="5">
        <v>30</v>
      </c>
      <c r="AJ3" s="5">
        <v>30</v>
      </c>
      <c r="AK3" s="5">
        <v>20</v>
      </c>
      <c r="AL3" s="5">
        <v>20</v>
      </c>
      <c r="AM3" s="5">
        <v>30</v>
      </c>
      <c r="AN3" s="5">
        <v>30</v>
      </c>
      <c r="AO3" s="5">
        <v>20</v>
      </c>
      <c r="AP3" s="5">
        <v>20</v>
      </c>
      <c r="AQ3" s="5">
        <v>30</v>
      </c>
      <c r="AR3" s="5">
        <v>30</v>
      </c>
      <c r="AS3" s="5">
        <v>20</v>
      </c>
      <c r="AT3" s="5">
        <v>20</v>
      </c>
      <c r="AU3" s="5">
        <v>30</v>
      </c>
      <c r="AV3" s="5">
        <v>30</v>
      </c>
      <c r="AW3" s="6">
        <v>4.8099999999999996</v>
      </c>
      <c r="AX3" s="7" t="s">
        <v>16</v>
      </c>
      <c r="AY3" s="7"/>
      <c r="AZ3" s="7"/>
      <c r="BA3" s="8"/>
      <c r="BB3">
        <f>AW3</f>
        <v>4.8099999999999996</v>
      </c>
      <c r="BC3">
        <f>IF(AW3&gt;0,AW3,AY3)</f>
        <v>4.8099999999999996</v>
      </c>
    </row>
    <row r="4" spans="1:55" ht="15.5">
      <c r="A4" s="9">
        <v>40</v>
      </c>
      <c r="B4" s="9">
        <v>10</v>
      </c>
      <c r="C4" s="9">
        <v>20</v>
      </c>
      <c r="D4" s="9">
        <v>30</v>
      </c>
      <c r="E4" s="9">
        <v>40</v>
      </c>
      <c r="F4" s="9">
        <v>10</v>
      </c>
      <c r="G4" s="9">
        <v>30</v>
      </c>
      <c r="H4" s="9">
        <v>20</v>
      </c>
      <c r="I4" s="9">
        <v>30</v>
      </c>
      <c r="J4" s="9">
        <v>30</v>
      </c>
      <c r="K4" s="9">
        <v>20</v>
      </c>
      <c r="L4" s="9">
        <v>20</v>
      </c>
      <c r="M4" s="9">
        <v>30</v>
      </c>
      <c r="N4" s="9">
        <v>30</v>
      </c>
      <c r="O4" s="9">
        <v>20</v>
      </c>
      <c r="P4" s="9">
        <v>20</v>
      </c>
      <c r="Q4" s="9">
        <v>20</v>
      </c>
      <c r="R4" s="9">
        <v>20</v>
      </c>
      <c r="S4" s="9">
        <v>30</v>
      </c>
      <c r="T4" s="9">
        <v>30</v>
      </c>
      <c r="U4" s="9">
        <v>20</v>
      </c>
      <c r="V4" s="9">
        <v>20</v>
      </c>
      <c r="W4" s="9">
        <v>30</v>
      </c>
      <c r="X4" s="9">
        <v>30</v>
      </c>
      <c r="Y4" s="9">
        <v>30</v>
      </c>
      <c r="Z4" s="9">
        <v>30</v>
      </c>
      <c r="AA4" s="9">
        <v>20</v>
      </c>
      <c r="AB4" s="9">
        <v>20</v>
      </c>
      <c r="AC4" s="9">
        <v>30</v>
      </c>
      <c r="AD4" s="9">
        <v>30</v>
      </c>
      <c r="AE4" s="9">
        <v>20</v>
      </c>
      <c r="AF4" s="9">
        <v>20</v>
      </c>
      <c r="AG4" s="9">
        <v>30</v>
      </c>
      <c r="AH4" s="9">
        <v>30</v>
      </c>
      <c r="AI4" s="9">
        <v>20</v>
      </c>
      <c r="AJ4" s="9">
        <v>20</v>
      </c>
      <c r="AK4" s="9">
        <v>30</v>
      </c>
      <c r="AL4" s="9">
        <v>30</v>
      </c>
      <c r="AM4" s="9">
        <v>20</v>
      </c>
      <c r="AN4" s="9">
        <v>20</v>
      </c>
      <c r="AO4" s="9">
        <v>30</v>
      </c>
      <c r="AP4" s="9">
        <v>30</v>
      </c>
      <c r="AQ4" s="9">
        <v>20</v>
      </c>
      <c r="AR4" s="9">
        <v>20</v>
      </c>
      <c r="AS4" s="9">
        <v>30</v>
      </c>
      <c r="AT4" s="9">
        <v>30</v>
      </c>
      <c r="AU4" s="9">
        <v>20</v>
      </c>
      <c r="AV4" s="9">
        <v>20</v>
      </c>
      <c r="AW4" s="10">
        <v>4.01</v>
      </c>
      <c r="AX4" s="10" t="s">
        <v>16</v>
      </c>
      <c r="AY4" s="10"/>
      <c r="AZ4" s="10"/>
      <c r="BA4" s="11"/>
      <c r="BB4">
        <f t="shared" ref="BB4:BB67" si="0">AW4</f>
        <v>4.01</v>
      </c>
      <c r="BC4">
        <f t="shared" ref="BC4:BC67" si="1">IF(AW4&gt;0,AW4,AY4)</f>
        <v>4.01</v>
      </c>
    </row>
    <row r="5" spans="1:55" ht="15.5">
      <c r="A5" s="5">
        <v>25</v>
      </c>
      <c r="B5" s="5">
        <v>25</v>
      </c>
      <c r="C5" s="5">
        <v>25</v>
      </c>
      <c r="D5" s="5">
        <v>25</v>
      </c>
      <c r="E5" s="5">
        <v>25</v>
      </c>
      <c r="F5" s="5">
        <v>25</v>
      </c>
      <c r="G5" s="5">
        <v>25</v>
      </c>
      <c r="H5" s="5">
        <v>25</v>
      </c>
      <c r="I5" s="5">
        <v>25</v>
      </c>
      <c r="J5" s="5">
        <v>25</v>
      </c>
      <c r="K5" s="5">
        <v>25</v>
      </c>
      <c r="L5" s="5">
        <v>25</v>
      </c>
      <c r="M5" s="5">
        <v>25</v>
      </c>
      <c r="N5" s="5">
        <v>25</v>
      </c>
      <c r="O5" s="5">
        <v>25</v>
      </c>
      <c r="P5" s="5">
        <v>25</v>
      </c>
      <c r="Q5" s="5">
        <v>25</v>
      </c>
      <c r="R5" s="5">
        <v>25</v>
      </c>
      <c r="S5" s="5">
        <v>25</v>
      </c>
      <c r="T5" s="5">
        <v>25</v>
      </c>
      <c r="U5" s="5">
        <v>25</v>
      </c>
      <c r="V5" s="5">
        <v>25</v>
      </c>
      <c r="W5" s="5">
        <v>25</v>
      </c>
      <c r="X5" s="5">
        <v>25</v>
      </c>
      <c r="Y5" s="5">
        <v>25</v>
      </c>
      <c r="Z5" s="5">
        <v>25</v>
      </c>
      <c r="AA5" s="5">
        <v>25</v>
      </c>
      <c r="AB5" s="5">
        <v>25</v>
      </c>
      <c r="AC5" s="5">
        <v>25</v>
      </c>
      <c r="AD5" s="5">
        <v>25</v>
      </c>
      <c r="AE5" s="5">
        <v>25</v>
      </c>
      <c r="AF5" s="5">
        <v>25</v>
      </c>
      <c r="AG5" s="5">
        <v>25</v>
      </c>
      <c r="AH5" s="5">
        <v>25</v>
      </c>
      <c r="AI5" s="5">
        <v>25</v>
      </c>
      <c r="AJ5" s="5">
        <v>25</v>
      </c>
      <c r="AK5" s="5">
        <v>25</v>
      </c>
      <c r="AL5" s="5">
        <v>25</v>
      </c>
      <c r="AM5" s="5">
        <v>25</v>
      </c>
      <c r="AN5" s="5">
        <v>25</v>
      </c>
      <c r="AO5" s="5">
        <v>25</v>
      </c>
      <c r="AP5" s="5">
        <v>25</v>
      </c>
      <c r="AQ5" s="5">
        <v>25</v>
      </c>
      <c r="AR5" s="5">
        <v>25</v>
      </c>
      <c r="AS5" s="5">
        <v>25</v>
      </c>
      <c r="AT5" s="5">
        <v>25</v>
      </c>
      <c r="AU5" s="5">
        <v>25</v>
      </c>
      <c r="AV5" s="5">
        <v>25</v>
      </c>
      <c r="AW5" s="12">
        <v>4.4800000000000004</v>
      </c>
      <c r="AX5" s="12" t="s">
        <v>16</v>
      </c>
      <c r="AY5" s="12"/>
      <c r="AZ5" s="12"/>
      <c r="BA5" s="13"/>
      <c r="BB5">
        <f t="shared" si="0"/>
        <v>4.4800000000000004</v>
      </c>
      <c r="BC5">
        <f t="shared" si="1"/>
        <v>4.4800000000000004</v>
      </c>
    </row>
    <row r="6" spans="1:55" ht="15.5">
      <c r="A6" s="9">
        <v>30</v>
      </c>
      <c r="B6" s="9">
        <v>30</v>
      </c>
      <c r="C6" s="9">
        <v>20</v>
      </c>
      <c r="D6" s="9">
        <v>20</v>
      </c>
      <c r="E6" s="9">
        <v>20</v>
      </c>
      <c r="F6" s="9">
        <v>20</v>
      </c>
      <c r="G6" s="9">
        <v>30</v>
      </c>
      <c r="H6" s="9">
        <v>30</v>
      </c>
      <c r="I6" s="9">
        <v>10</v>
      </c>
      <c r="J6" s="9">
        <v>40</v>
      </c>
      <c r="K6" s="9">
        <v>25</v>
      </c>
      <c r="L6" s="9">
        <v>25</v>
      </c>
      <c r="M6" s="9">
        <v>20</v>
      </c>
      <c r="N6" s="9">
        <v>30</v>
      </c>
      <c r="O6" s="9">
        <v>20</v>
      </c>
      <c r="P6" s="9">
        <v>30</v>
      </c>
      <c r="Q6" s="9">
        <v>20</v>
      </c>
      <c r="R6" s="9">
        <v>30</v>
      </c>
      <c r="S6" s="9">
        <v>30</v>
      </c>
      <c r="T6" s="9">
        <v>20</v>
      </c>
      <c r="U6" s="9">
        <v>20</v>
      </c>
      <c r="V6" s="9">
        <v>30</v>
      </c>
      <c r="W6" s="9">
        <v>30</v>
      </c>
      <c r="X6" s="9">
        <v>20</v>
      </c>
      <c r="Y6" s="9">
        <v>30</v>
      </c>
      <c r="Z6" s="9">
        <v>30</v>
      </c>
      <c r="AA6" s="9">
        <v>20</v>
      </c>
      <c r="AB6" s="9">
        <v>20</v>
      </c>
      <c r="AC6" s="9">
        <v>30</v>
      </c>
      <c r="AD6" s="9">
        <v>20</v>
      </c>
      <c r="AE6" s="9">
        <v>30</v>
      </c>
      <c r="AF6" s="9">
        <v>20</v>
      </c>
      <c r="AG6" s="9">
        <v>20</v>
      </c>
      <c r="AH6" s="9">
        <v>30</v>
      </c>
      <c r="AI6" s="9">
        <v>20</v>
      </c>
      <c r="AJ6" s="9">
        <v>30</v>
      </c>
      <c r="AK6" s="9">
        <v>30</v>
      </c>
      <c r="AL6" s="9">
        <v>30</v>
      </c>
      <c r="AM6" s="9">
        <v>20</v>
      </c>
      <c r="AN6" s="9">
        <v>20</v>
      </c>
      <c r="AO6" s="9">
        <v>30</v>
      </c>
      <c r="AP6" s="9">
        <v>20</v>
      </c>
      <c r="AQ6" s="9">
        <v>30</v>
      </c>
      <c r="AR6" s="9">
        <v>20</v>
      </c>
      <c r="AS6" s="9">
        <v>30</v>
      </c>
      <c r="AT6" s="9">
        <v>20</v>
      </c>
      <c r="AU6" s="9">
        <v>30</v>
      </c>
      <c r="AV6" s="9">
        <v>20</v>
      </c>
      <c r="AW6" s="10">
        <v>4.37</v>
      </c>
      <c r="AX6" s="10" t="s">
        <v>16</v>
      </c>
      <c r="AY6" s="10"/>
      <c r="AZ6" s="10"/>
      <c r="BA6" s="11"/>
      <c r="BB6">
        <f t="shared" si="0"/>
        <v>4.37</v>
      </c>
      <c r="BC6">
        <f t="shared" si="1"/>
        <v>4.37</v>
      </c>
    </row>
    <row r="7" spans="1:55" ht="15.5">
      <c r="A7" s="5">
        <v>50</v>
      </c>
      <c r="B7" s="5">
        <v>20</v>
      </c>
      <c r="C7" s="5">
        <v>10</v>
      </c>
      <c r="D7" s="5">
        <v>20</v>
      </c>
      <c r="E7" s="5">
        <v>10</v>
      </c>
      <c r="F7" s="5">
        <v>30</v>
      </c>
      <c r="G7" s="5">
        <v>30</v>
      </c>
      <c r="H7" s="5">
        <v>30</v>
      </c>
      <c r="I7" s="5">
        <v>40</v>
      </c>
      <c r="J7" s="5">
        <v>20</v>
      </c>
      <c r="K7" s="5">
        <v>20</v>
      </c>
      <c r="L7" s="5">
        <v>20</v>
      </c>
      <c r="M7" s="5">
        <v>30</v>
      </c>
      <c r="N7" s="5">
        <v>30</v>
      </c>
      <c r="O7" s="5">
        <v>20</v>
      </c>
      <c r="P7" s="5">
        <v>20</v>
      </c>
      <c r="Q7" s="5">
        <v>15</v>
      </c>
      <c r="R7" s="5">
        <v>15</v>
      </c>
      <c r="S7" s="5">
        <v>25</v>
      </c>
      <c r="T7" s="5">
        <v>45</v>
      </c>
      <c r="U7" s="5">
        <v>20</v>
      </c>
      <c r="V7" s="5">
        <v>20</v>
      </c>
      <c r="W7" s="5">
        <v>20</v>
      </c>
      <c r="X7" s="5">
        <v>40</v>
      </c>
      <c r="Y7" s="5">
        <v>20</v>
      </c>
      <c r="Z7" s="5">
        <v>20</v>
      </c>
      <c r="AA7" s="5">
        <v>20</v>
      </c>
      <c r="AB7" s="5">
        <v>40</v>
      </c>
      <c r="AC7" s="5">
        <v>20</v>
      </c>
      <c r="AD7" s="5">
        <v>20</v>
      </c>
      <c r="AE7" s="5">
        <v>20</v>
      </c>
      <c r="AF7" s="5">
        <v>40</v>
      </c>
      <c r="AG7" s="5">
        <v>40</v>
      </c>
      <c r="AH7" s="5">
        <v>20</v>
      </c>
      <c r="AI7" s="5">
        <v>20</v>
      </c>
      <c r="AJ7" s="5">
        <v>20</v>
      </c>
      <c r="AK7" s="5">
        <v>40</v>
      </c>
      <c r="AL7" s="5">
        <v>20</v>
      </c>
      <c r="AM7" s="5">
        <v>20</v>
      </c>
      <c r="AN7" s="5">
        <v>20</v>
      </c>
      <c r="AO7" s="5">
        <v>40</v>
      </c>
      <c r="AP7" s="5">
        <v>20</v>
      </c>
      <c r="AQ7" s="5">
        <v>20</v>
      </c>
      <c r="AR7" s="5">
        <v>20</v>
      </c>
      <c r="AS7" s="5">
        <v>40</v>
      </c>
      <c r="AT7" s="5">
        <v>20</v>
      </c>
      <c r="AU7" s="5">
        <v>20</v>
      </c>
      <c r="AV7" s="5">
        <v>20</v>
      </c>
      <c r="AW7" s="12">
        <v>4.3499999999999996</v>
      </c>
      <c r="AX7" s="7" t="s">
        <v>16</v>
      </c>
      <c r="AY7" s="7"/>
      <c r="AZ7" s="7"/>
      <c r="BA7" s="8"/>
      <c r="BB7">
        <f t="shared" si="0"/>
        <v>4.3499999999999996</v>
      </c>
      <c r="BC7">
        <f t="shared" si="1"/>
        <v>4.3499999999999996</v>
      </c>
    </row>
    <row r="8" spans="1:55" ht="15.5">
      <c r="A8" s="9">
        <v>40</v>
      </c>
      <c r="B8" s="9">
        <v>20</v>
      </c>
      <c r="C8" s="9">
        <v>20</v>
      </c>
      <c r="D8" s="9">
        <v>20</v>
      </c>
      <c r="E8" s="9">
        <v>40</v>
      </c>
      <c r="F8" s="9">
        <v>20</v>
      </c>
      <c r="G8" s="9">
        <v>20</v>
      </c>
      <c r="H8" s="9">
        <v>20</v>
      </c>
      <c r="I8" s="9">
        <v>30</v>
      </c>
      <c r="J8" s="9">
        <v>30</v>
      </c>
      <c r="K8" s="9">
        <v>20</v>
      </c>
      <c r="L8" s="9">
        <v>20</v>
      </c>
      <c r="M8" s="9">
        <v>20</v>
      </c>
      <c r="N8" s="9">
        <v>30</v>
      </c>
      <c r="O8" s="9">
        <v>20</v>
      </c>
      <c r="P8" s="9">
        <v>30</v>
      </c>
      <c r="Q8" s="9">
        <v>30</v>
      </c>
      <c r="R8" s="9">
        <v>30</v>
      </c>
      <c r="S8" s="9">
        <v>20</v>
      </c>
      <c r="T8" s="9">
        <v>20</v>
      </c>
      <c r="U8" s="9">
        <v>30</v>
      </c>
      <c r="V8" s="9">
        <v>20</v>
      </c>
      <c r="W8" s="9">
        <v>30</v>
      </c>
      <c r="X8" s="9">
        <v>20</v>
      </c>
      <c r="Y8" s="9">
        <v>30</v>
      </c>
      <c r="Z8" s="9">
        <v>30</v>
      </c>
      <c r="AA8" s="9">
        <v>20</v>
      </c>
      <c r="AB8" s="9">
        <v>20</v>
      </c>
      <c r="AC8" s="9">
        <v>30</v>
      </c>
      <c r="AD8" s="9">
        <v>20</v>
      </c>
      <c r="AE8" s="9">
        <v>30</v>
      </c>
      <c r="AF8" s="9">
        <v>20</v>
      </c>
      <c r="AG8" s="9">
        <v>30</v>
      </c>
      <c r="AH8" s="9">
        <v>20</v>
      </c>
      <c r="AI8" s="9">
        <v>20</v>
      </c>
      <c r="AJ8" s="9">
        <v>30</v>
      </c>
      <c r="AK8" s="9">
        <v>30</v>
      </c>
      <c r="AL8" s="9">
        <v>20</v>
      </c>
      <c r="AM8" s="9">
        <v>30</v>
      </c>
      <c r="AN8" s="9">
        <v>20</v>
      </c>
      <c r="AO8" s="9">
        <v>30</v>
      </c>
      <c r="AP8" s="9">
        <v>30</v>
      </c>
      <c r="AQ8" s="9">
        <v>20</v>
      </c>
      <c r="AR8" s="9">
        <v>20</v>
      </c>
      <c r="AS8" s="9">
        <v>20</v>
      </c>
      <c r="AT8" s="9">
        <v>30</v>
      </c>
      <c r="AU8" s="9">
        <v>30</v>
      </c>
      <c r="AV8" s="9">
        <v>20</v>
      </c>
      <c r="AW8" s="14">
        <v>4.29</v>
      </c>
      <c r="AX8" s="15" t="s">
        <v>16</v>
      </c>
      <c r="AY8" s="14">
        <v>4.54</v>
      </c>
      <c r="AZ8" s="15" t="s">
        <v>16</v>
      </c>
      <c r="BA8" s="16"/>
      <c r="BB8">
        <f t="shared" si="0"/>
        <v>4.29</v>
      </c>
      <c r="BC8">
        <f t="shared" si="1"/>
        <v>4.29</v>
      </c>
    </row>
    <row r="9" spans="1:55" ht="15.5">
      <c r="A9" s="5">
        <v>20</v>
      </c>
      <c r="B9" s="5">
        <v>20</v>
      </c>
      <c r="C9" s="5">
        <v>20</v>
      </c>
      <c r="D9" s="5">
        <v>40</v>
      </c>
      <c r="E9" s="5">
        <v>25</v>
      </c>
      <c r="F9" s="5">
        <v>25</v>
      </c>
      <c r="G9" s="5">
        <v>25</v>
      </c>
      <c r="H9" s="5">
        <v>25</v>
      </c>
      <c r="I9" s="5">
        <v>25</v>
      </c>
      <c r="J9" s="5">
        <v>25</v>
      </c>
      <c r="K9" s="5">
        <v>25</v>
      </c>
      <c r="L9" s="5">
        <v>25</v>
      </c>
      <c r="M9" s="5">
        <v>25</v>
      </c>
      <c r="N9" s="5">
        <v>25</v>
      </c>
      <c r="O9" s="5">
        <v>25</v>
      </c>
      <c r="P9" s="5">
        <v>25</v>
      </c>
      <c r="Q9" s="5">
        <v>25</v>
      </c>
      <c r="R9" s="5">
        <v>25</v>
      </c>
      <c r="S9" s="5">
        <v>25</v>
      </c>
      <c r="T9" s="5">
        <v>25</v>
      </c>
      <c r="U9" s="5">
        <v>25</v>
      </c>
      <c r="V9" s="5">
        <v>25</v>
      </c>
      <c r="W9" s="5">
        <v>25</v>
      </c>
      <c r="X9" s="5">
        <v>25</v>
      </c>
      <c r="Y9" s="5">
        <v>25</v>
      </c>
      <c r="Z9" s="5">
        <v>25</v>
      </c>
      <c r="AA9" s="5">
        <v>25</v>
      </c>
      <c r="AB9" s="5">
        <v>25</v>
      </c>
      <c r="AC9" s="5">
        <v>25</v>
      </c>
      <c r="AD9" s="5">
        <v>25</v>
      </c>
      <c r="AE9" s="5">
        <v>25</v>
      </c>
      <c r="AF9" s="5">
        <v>25</v>
      </c>
      <c r="AG9" s="5">
        <v>25</v>
      </c>
      <c r="AH9" s="5">
        <v>25</v>
      </c>
      <c r="AI9" s="5">
        <v>25</v>
      </c>
      <c r="AJ9" s="5">
        <v>25</v>
      </c>
      <c r="AK9" s="5">
        <v>25</v>
      </c>
      <c r="AL9" s="5">
        <v>25</v>
      </c>
      <c r="AM9" s="5">
        <v>25</v>
      </c>
      <c r="AN9" s="5">
        <v>25</v>
      </c>
      <c r="AO9" s="5">
        <v>25</v>
      </c>
      <c r="AP9" s="5">
        <v>25</v>
      </c>
      <c r="AQ9" s="5">
        <v>25</v>
      </c>
      <c r="AR9" s="5">
        <v>25</v>
      </c>
      <c r="AS9" s="5">
        <v>25</v>
      </c>
      <c r="AT9" s="5">
        <v>25</v>
      </c>
      <c r="AU9" s="5">
        <v>25</v>
      </c>
      <c r="AV9" s="5">
        <v>25</v>
      </c>
      <c r="AW9" s="17"/>
      <c r="AX9" s="17"/>
      <c r="AY9" s="6">
        <v>4.07</v>
      </c>
      <c r="AZ9" s="17" t="s">
        <v>16</v>
      </c>
      <c r="BA9" s="18"/>
      <c r="BB9">
        <f t="shared" si="0"/>
        <v>0</v>
      </c>
      <c r="BC9">
        <f t="shared" si="1"/>
        <v>4.07</v>
      </c>
    </row>
    <row r="10" spans="1:55" ht="15.5">
      <c r="A10" s="9">
        <v>25</v>
      </c>
      <c r="B10" s="9">
        <v>25</v>
      </c>
      <c r="C10" s="9">
        <v>25</v>
      </c>
      <c r="D10" s="9">
        <v>25</v>
      </c>
      <c r="E10" s="9">
        <v>25</v>
      </c>
      <c r="F10" s="9">
        <v>25</v>
      </c>
      <c r="G10" s="9">
        <v>25</v>
      </c>
      <c r="H10" s="9">
        <v>25</v>
      </c>
      <c r="I10" s="9">
        <v>25</v>
      </c>
      <c r="J10" s="9">
        <v>25</v>
      </c>
      <c r="K10" s="9">
        <v>25</v>
      </c>
      <c r="L10" s="9">
        <v>25</v>
      </c>
      <c r="M10" s="9">
        <v>25</v>
      </c>
      <c r="N10" s="9">
        <v>25</v>
      </c>
      <c r="O10" s="9">
        <v>25</v>
      </c>
      <c r="P10" s="9">
        <v>25</v>
      </c>
      <c r="Q10" s="9">
        <v>25</v>
      </c>
      <c r="R10" s="9">
        <v>25</v>
      </c>
      <c r="S10" s="9">
        <v>25</v>
      </c>
      <c r="T10" s="9">
        <v>25</v>
      </c>
      <c r="U10" s="9">
        <v>25</v>
      </c>
      <c r="V10" s="9">
        <v>25</v>
      </c>
      <c r="W10" s="9">
        <v>25</v>
      </c>
      <c r="X10" s="9">
        <v>25</v>
      </c>
      <c r="Y10" s="9">
        <v>25</v>
      </c>
      <c r="Z10" s="9">
        <v>25</v>
      </c>
      <c r="AA10" s="9">
        <v>25</v>
      </c>
      <c r="AB10" s="9">
        <v>25</v>
      </c>
      <c r="AC10" s="9">
        <v>25</v>
      </c>
      <c r="AD10" s="9">
        <v>25</v>
      </c>
      <c r="AE10" s="9">
        <v>25</v>
      </c>
      <c r="AF10" s="9">
        <v>25</v>
      </c>
      <c r="AG10" s="9">
        <v>25</v>
      </c>
      <c r="AH10" s="9">
        <v>25</v>
      </c>
      <c r="AI10" s="9">
        <v>25</v>
      </c>
      <c r="AJ10" s="9">
        <v>25</v>
      </c>
      <c r="AK10" s="9">
        <v>25</v>
      </c>
      <c r="AL10" s="9">
        <v>25</v>
      </c>
      <c r="AM10" s="9">
        <v>25</v>
      </c>
      <c r="AN10" s="9">
        <v>25</v>
      </c>
      <c r="AO10" s="9">
        <v>25</v>
      </c>
      <c r="AP10" s="9">
        <v>25</v>
      </c>
      <c r="AQ10" s="9">
        <v>25</v>
      </c>
      <c r="AR10" s="9">
        <v>25</v>
      </c>
      <c r="AS10" s="9">
        <v>25</v>
      </c>
      <c r="AT10" s="9">
        <v>25</v>
      </c>
      <c r="AU10" s="9">
        <v>25</v>
      </c>
      <c r="AV10" s="9">
        <v>25</v>
      </c>
      <c r="AW10" s="10">
        <v>4.03</v>
      </c>
      <c r="AX10" s="10" t="s">
        <v>16</v>
      </c>
      <c r="AY10" s="19"/>
      <c r="AZ10" s="19"/>
      <c r="BA10" s="20"/>
      <c r="BB10">
        <f t="shared" si="0"/>
        <v>4.03</v>
      </c>
      <c r="BC10">
        <f t="shared" si="1"/>
        <v>4.03</v>
      </c>
    </row>
    <row r="11" spans="1:55" ht="15.5">
      <c r="A11" s="5">
        <v>25</v>
      </c>
      <c r="B11" s="5">
        <v>25</v>
      </c>
      <c r="C11" s="5">
        <v>25</v>
      </c>
      <c r="D11" s="5">
        <v>25</v>
      </c>
      <c r="E11" s="5">
        <v>25</v>
      </c>
      <c r="F11" s="5">
        <v>25</v>
      </c>
      <c r="G11" s="5">
        <v>25</v>
      </c>
      <c r="H11" s="5">
        <v>25</v>
      </c>
      <c r="I11" s="5">
        <v>25</v>
      </c>
      <c r="J11" s="5">
        <v>25</v>
      </c>
      <c r="K11" s="5">
        <v>25</v>
      </c>
      <c r="L11" s="5">
        <v>25</v>
      </c>
      <c r="M11" s="5">
        <v>25</v>
      </c>
      <c r="N11" s="5">
        <v>25</v>
      </c>
      <c r="O11" s="5">
        <v>25</v>
      </c>
      <c r="P11" s="5">
        <v>25</v>
      </c>
      <c r="Q11" s="5">
        <v>25</v>
      </c>
      <c r="R11" s="5">
        <v>25</v>
      </c>
      <c r="S11" s="5">
        <v>25</v>
      </c>
      <c r="T11" s="5">
        <v>25</v>
      </c>
      <c r="U11" s="5">
        <v>25</v>
      </c>
      <c r="V11" s="5">
        <v>25</v>
      </c>
      <c r="W11" s="5">
        <v>25</v>
      </c>
      <c r="X11" s="5">
        <v>25</v>
      </c>
      <c r="Y11" s="5">
        <v>25</v>
      </c>
      <c r="Z11" s="5">
        <v>25</v>
      </c>
      <c r="AA11" s="5">
        <v>25</v>
      </c>
      <c r="AB11" s="5">
        <v>25</v>
      </c>
      <c r="AC11" s="5">
        <v>25</v>
      </c>
      <c r="AD11" s="5">
        <v>25</v>
      </c>
      <c r="AE11" s="5">
        <v>25</v>
      </c>
      <c r="AF11" s="5">
        <v>25</v>
      </c>
      <c r="AG11" s="5">
        <v>25</v>
      </c>
      <c r="AH11" s="5">
        <v>25</v>
      </c>
      <c r="AI11" s="5">
        <v>25</v>
      </c>
      <c r="AJ11" s="5">
        <v>25</v>
      </c>
      <c r="AK11" s="5">
        <v>25</v>
      </c>
      <c r="AL11" s="5">
        <v>25</v>
      </c>
      <c r="AM11" s="5">
        <v>25</v>
      </c>
      <c r="AN11" s="5">
        <v>25</v>
      </c>
      <c r="AO11" s="5">
        <v>25</v>
      </c>
      <c r="AP11" s="5">
        <v>25</v>
      </c>
      <c r="AQ11" s="5">
        <v>25</v>
      </c>
      <c r="AR11" s="5">
        <v>25</v>
      </c>
      <c r="AS11" s="5">
        <v>25</v>
      </c>
      <c r="AT11" s="5">
        <v>25</v>
      </c>
      <c r="AU11" s="5">
        <v>25</v>
      </c>
      <c r="AV11" s="5">
        <v>25</v>
      </c>
      <c r="AW11" s="6">
        <v>3.81</v>
      </c>
      <c r="AX11" s="17" t="s">
        <v>26</v>
      </c>
      <c r="AY11" s="6">
        <v>3.91</v>
      </c>
      <c r="AZ11" s="17" t="s">
        <v>26</v>
      </c>
      <c r="BA11" s="18"/>
      <c r="BB11">
        <f t="shared" si="0"/>
        <v>3.81</v>
      </c>
      <c r="BC11">
        <f t="shared" si="1"/>
        <v>3.81</v>
      </c>
    </row>
    <row r="12" spans="1:55" ht="15.5">
      <c r="A12" s="9">
        <v>30</v>
      </c>
      <c r="B12" s="9">
        <v>30</v>
      </c>
      <c r="C12" s="9">
        <v>10</v>
      </c>
      <c r="D12" s="9">
        <v>30</v>
      </c>
      <c r="E12" s="9">
        <v>30</v>
      </c>
      <c r="F12" s="9">
        <v>40</v>
      </c>
      <c r="G12" s="9">
        <v>10</v>
      </c>
      <c r="H12" s="9">
        <v>20</v>
      </c>
      <c r="I12" s="9">
        <v>20</v>
      </c>
      <c r="J12" s="9">
        <v>20</v>
      </c>
      <c r="K12" s="9">
        <v>30</v>
      </c>
      <c r="L12" s="9">
        <v>30</v>
      </c>
      <c r="M12" s="9">
        <v>20</v>
      </c>
      <c r="N12" s="9">
        <v>20</v>
      </c>
      <c r="O12" s="9">
        <v>30</v>
      </c>
      <c r="P12" s="9">
        <v>30</v>
      </c>
      <c r="Q12" s="9">
        <v>20</v>
      </c>
      <c r="R12" s="9">
        <v>40</v>
      </c>
      <c r="S12" s="9">
        <v>10</v>
      </c>
      <c r="T12" s="9">
        <v>30</v>
      </c>
      <c r="U12" s="9">
        <v>20</v>
      </c>
      <c r="V12" s="9">
        <v>40</v>
      </c>
      <c r="W12" s="9">
        <v>10</v>
      </c>
      <c r="X12" s="9">
        <v>30</v>
      </c>
      <c r="Y12" s="9">
        <v>40</v>
      </c>
      <c r="Z12" s="9">
        <v>20</v>
      </c>
      <c r="AA12" s="9">
        <v>10</v>
      </c>
      <c r="AB12" s="9">
        <v>30</v>
      </c>
      <c r="AC12" s="9">
        <v>40</v>
      </c>
      <c r="AD12" s="9">
        <v>20</v>
      </c>
      <c r="AE12" s="9">
        <v>10</v>
      </c>
      <c r="AF12" s="9">
        <v>30</v>
      </c>
      <c r="AG12" s="9">
        <v>30</v>
      </c>
      <c r="AH12" s="9">
        <v>30</v>
      </c>
      <c r="AI12" s="9">
        <v>10</v>
      </c>
      <c r="AJ12" s="9">
        <v>30</v>
      </c>
      <c r="AK12" s="9">
        <v>30</v>
      </c>
      <c r="AL12" s="9">
        <v>30</v>
      </c>
      <c r="AM12" s="9">
        <v>10</v>
      </c>
      <c r="AN12" s="9">
        <v>30</v>
      </c>
      <c r="AO12" s="9">
        <v>20</v>
      </c>
      <c r="AP12" s="9">
        <v>20</v>
      </c>
      <c r="AQ12" s="9">
        <v>30</v>
      </c>
      <c r="AR12" s="9">
        <v>30</v>
      </c>
      <c r="AS12" s="9">
        <v>30</v>
      </c>
      <c r="AT12" s="9">
        <v>30</v>
      </c>
      <c r="AU12" s="9">
        <v>20</v>
      </c>
      <c r="AV12" s="9">
        <v>20</v>
      </c>
      <c r="AW12" s="10">
        <v>4.1500000000000004</v>
      </c>
      <c r="AX12" s="15" t="s">
        <v>16</v>
      </c>
      <c r="AY12" s="19"/>
      <c r="AZ12" s="19"/>
      <c r="BA12" s="20"/>
      <c r="BB12">
        <f t="shared" si="0"/>
        <v>4.1500000000000004</v>
      </c>
      <c r="BC12">
        <f t="shared" si="1"/>
        <v>4.1500000000000004</v>
      </c>
    </row>
    <row r="13" spans="1:55" ht="15.5">
      <c r="A13" s="5">
        <v>40</v>
      </c>
      <c r="B13" s="5">
        <v>30</v>
      </c>
      <c r="C13" s="5">
        <v>20</v>
      </c>
      <c r="D13" s="5">
        <v>10</v>
      </c>
      <c r="E13" s="5">
        <v>40</v>
      </c>
      <c r="F13" s="5">
        <v>30</v>
      </c>
      <c r="G13" s="5">
        <v>20</v>
      </c>
      <c r="H13" s="5">
        <v>10</v>
      </c>
      <c r="I13" s="5">
        <v>30</v>
      </c>
      <c r="J13" s="5">
        <v>30</v>
      </c>
      <c r="K13" s="5">
        <v>20</v>
      </c>
      <c r="L13" s="5">
        <v>20</v>
      </c>
      <c r="M13" s="5">
        <v>20</v>
      </c>
      <c r="N13" s="5">
        <v>20</v>
      </c>
      <c r="O13" s="5">
        <v>30</v>
      </c>
      <c r="P13" s="5">
        <v>30</v>
      </c>
      <c r="Q13" s="5">
        <v>10</v>
      </c>
      <c r="R13" s="5">
        <v>20</v>
      </c>
      <c r="S13" s="5">
        <v>30</v>
      </c>
      <c r="T13" s="5">
        <v>40</v>
      </c>
      <c r="U13" s="5">
        <v>20</v>
      </c>
      <c r="V13" s="5">
        <v>20</v>
      </c>
      <c r="W13" s="5">
        <v>40</v>
      </c>
      <c r="X13" s="5">
        <v>20</v>
      </c>
      <c r="Y13" s="5">
        <v>40</v>
      </c>
      <c r="Z13" s="5">
        <v>40</v>
      </c>
      <c r="AA13" s="5">
        <v>10</v>
      </c>
      <c r="AB13" s="5">
        <v>10</v>
      </c>
      <c r="AC13" s="5">
        <v>10</v>
      </c>
      <c r="AD13" s="5">
        <v>20</v>
      </c>
      <c r="AE13" s="5">
        <v>30</v>
      </c>
      <c r="AF13" s="5">
        <v>40</v>
      </c>
      <c r="AG13" s="5">
        <v>40</v>
      </c>
      <c r="AH13" s="5">
        <v>20</v>
      </c>
      <c r="AI13" s="5">
        <v>30</v>
      </c>
      <c r="AJ13" s="5">
        <v>10</v>
      </c>
      <c r="AK13" s="5">
        <v>20</v>
      </c>
      <c r="AL13" s="5">
        <v>30</v>
      </c>
      <c r="AM13" s="5">
        <v>30</v>
      </c>
      <c r="AN13" s="5">
        <v>20</v>
      </c>
      <c r="AO13" s="5">
        <v>30</v>
      </c>
      <c r="AP13" s="5">
        <v>20</v>
      </c>
      <c r="AQ13" s="5">
        <v>30</v>
      </c>
      <c r="AR13" s="5">
        <v>20</v>
      </c>
      <c r="AS13" s="5">
        <v>35</v>
      </c>
      <c r="AT13" s="5">
        <v>35</v>
      </c>
      <c r="AU13" s="5">
        <v>10</v>
      </c>
      <c r="AV13" s="5">
        <v>20</v>
      </c>
      <c r="AW13" s="6">
        <v>5.0199999999999996</v>
      </c>
      <c r="AX13" s="6" t="s">
        <v>28</v>
      </c>
      <c r="AY13" s="21"/>
      <c r="AZ13" s="21"/>
      <c r="BA13" s="22"/>
      <c r="BB13">
        <f t="shared" si="0"/>
        <v>5.0199999999999996</v>
      </c>
      <c r="BC13">
        <f t="shared" si="1"/>
        <v>5.0199999999999996</v>
      </c>
    </row>
    <row r="14" spans="1:55" ht="15.5">
      <c r="A14" s="9">
        <v>25</v>
      </c>
      <c r="B14" s="9">
        <v>25</v>
      </c>
      <c r="C14" s="9">
        <v>25</v>
      </c>
      <c r="D14" s="9">
        <v>25</v>
      </c>
      <c r="E14" s="9">
        <v>25</v>
      </c>
      <c r="F14" s="9">
        <v>25</v>
      </c>
      <c r="G14" s="9">
        <v>25</v>
      </c>
      <c r="H14" s="9">
        <v>25</v>
      </c>
      <c r="I14" s="9">
        <v>25</v>
      </c>
      <c r="J14" s="9">
        <v>25</v>
      </c>
      <c r="K14" s="9">
        <v>25</v>
      </c>
      <c r="L14" s="9">
        <v>25</v>
      </c>
      <c r="M14" s="9">
        <v>25</v>
      </c>
      <c r="N14" s="9">
        <v>25</v>
      </c>
      <c r="O14" s="9">
        <v>25</v>
      </c>
      <c r="P14" s="9">
        <v>25</v>
      </c>
      <c r="Q14" s="9">
        <v>25</v>
      </c>
      <c r="R14" s="9">
        <v>25</v>
      </c>
      <c r="S14" s="9">
        <v>25</v>
      </c>
      <c r="T14" s="9">
        <v>25</v>
      </c>
      <c r="U14" s="9">
        <v>25</v>
      </c>
      <c r="V14" s="9">
        <v>25</v>
      </c>
      <c r="W14" s="9">
        <v>25</v>
      </c>
      <c r="X14" s="9">
        <v>25</v>
      </c>
      <c r="Y14" s="9">
        <v>25</v>
      </c>
      <c r="Z14" s="9">
        <v>25</v>
      </c>
      <c r="AA14" s="9">
        <v>25</v>
      </c>
      <c r="AB14" s="9">
        <v>25</v>
      </c>
      <c r="AC14" s="9">
        <v>25</v>
      </c>
      <c r="AD14" s="9">
        <v>25</v>
      </c>
      <c r="AE14" s="9">
        <v>25</v>
      </c>
      <c r="AF14" s="9">
        <v>25</v>
      </c>
      <c r="AG14" s="9">
        <v>25</v>
      </c>
      <c r="AH14" s="9">
        <v>25</v>
      </c>
      <c r="AI14" s="9">
        <v>25</v>
      </c>
      <c r="AJ14" s="9">
        <v>25</v>
      </c>
      <c r="AK14" s="9">
        <v>25</v>
      </c>
      <c r="AL14" s="9">
        <v>25</v>
      </c>
      <c r="AM14" s="9">
        <v>25</v>
      </c>
      <c r="AN14" s="9">
        <v>25</v>
      </c>
      <c r="AO14" s="9">
        <v>25</v>
      </c>
      <c r="AP14" s="9">
        <v>25</v>
      </c>
      <c r="AQ14" s="9">
        <v>25</v>
      </c>
      <c r="AR14" s="9">
        <v>25</v>
      </c>
      <c r="AS14" s="9">
        <v>25</v>
      </c>
      <c r="AT14" s="9">
        <v>25</v>
      </c>
      <c r="AU14" s="9">
        <v>25</v>
      </c>
      <c r="AV14" s="9">
        <v>25</v>
      </c>
      <c r="AW14" s="14"/>
      <c r="AX14" s="23"/>
      <c r="AY14" s="14">
        <v>4.25</v>
      </c>
      <c r="AZ14" s="24" t="s">
        <v>16</v>
      </c>
      <c r="BA14" s="25"/>
      <c r="BB14">
        <f t="shared" si="0"/>
        <v>0</v>
      </c>
      <c r="BC14">
        <f t="shared" si="1"/>
        <v>4.25</v>
      </c>
    </row>
    <row r="15" spans="1:55" ht="15.5">
      <c r="A15" s="5">
        <v>25</v>
      </c>
      <c r="B15" s="5">
        <v>25</v>
      </c>
      <c r="C15" s="5">
        <v>25</v>
      </c>
      <c r="D15" s="5">
        <v>25</v>
      </c>
      <c r="E15" s="5">
        <v>25</v>
      </c>
      <c r="F15" s="5">
        <v>25</v>
      </c>
      <c r="G15" s="5">
        <v>25</v>
      </c>
      <c r="H15" s="5">
        <v>25</v>
      </c>
      <c r="I15" s="5">
        <v>25</v>
      </c>
      <c r="J15" s="5">
        <v>25</v>
      </c>
      <c r="K15" s="5">
        <v>25</v>
      </c>
      <c r="L15" s="5">
        <v>25</v>
      </c>
      <c r="M15" s="5">
        <v>25</v>
      </c>
      <c r="N15" s="5">
        <v>25</v>
      </c>
      <c r="O15" s="5">
        <v>25</v>
      </c>
      <c r="P15" s="5">
        <v>25</v>
      </c>
      <c r="Q15" s="5">
        <v>25</v>
      </c>
      <c r="R15" s="5">
        <v>25</v>
      </c>
      <c r="S15" s="5">
        <v>25</v>
      </c>
      <c r="T15" s="5">
        <v>25</v>
      </c>
      <c r="U15" s="5">
        <v>25</v>
      </c>
      <c r="V15" s="5">
        <v>25</v>
      </c>
      <c r="W15" s="5">
        <v>25</v>
      </c>
      <c r="X15" s="5">
        <v>25</v>
      </c>
      <c r="Y15" s="5">
        <v>25</v>
      </c>
      <c r="Z15" s="5">
        <v>25</v>
      </c>
      <c r="AA15" s="5">
        <v>25</v>
      </c>
      <c r="AB15" s="5">
        <v>25</v>
      </c>
      <c r="AC15" s="5">
        <v>25</v>
      </c>
      <c r="AD15" s="5">
        <v>25</v>
      </c>
      <c r="AE15" s="5">
        <v>25</v>
      </c>
      <c r="AF15" s="5">
        <v>25</v>
      </c>
      <c r="AG15" s="5">
        <v>25</v>
      </c>
      <c r="AH15" s="5">
        <v>25</v>
      </c>
      <c r="AI15" s="5">
        <v>25</v>
      </c>
      <c r="AJ15" s="5">
        <v>25</v>
      </c>
      <c r="AK15" s="5">
        <v>25</v>
      </c>
      <c r="AL15" s="5">
        <v>25</v>
      </c>
      <c r="AM15" s="5">
        <v>25</v>
      </c>
      <c r="AN15" s="5">
        <v>25</v>
      </c>
      <c r="AO15" s="5">
        <v>25</v>
      </c>
      <c r="AP15" s="5">
        <v>25</v>
      </c>
      <c r="AQ15" s="5">
        <v>25</v>
      </c>
      <c r="AR15" s="5">
        <v>25</v>
      </c>
      <c r="AS15" s="5">
        <v>25</v>
      </c>
      <c r="AT15" s="5">
        <v>25</v>
      </c>
      <c r="AU15" s="5">
        <v>25</v>
      </c>
      <c r="AV15" s="5">
        <v>25</v>
      </c>
      <c r="AW15" s="12">
        <v>4.0599999999999996</v>
      </c>
      <c r="AX15" s="17" t="s">
        <v>16</v>
      </c>
      <c r="AY15" s="12">
        <v>4.16</v>
      </c>
      <c r="AZ15" s="17" t="s">
        <v>16</v>
      </c>
      <c r="BA15" s="18"/>
      <c r="BB15">
        <f t="shared" si="0"/>
        <v>4.0599999999999996</v>
      </c>
      <c r="BC15">
        <f t="shared" si="1"/>
        <v>4.0599999999999996</v>
      </c>
    </row>
    <row r="16" spans="1:55" ht="15.5">
      <c r="A16" s="9">
        <v>30</v>
      </c>
      <c r="B16" s="9">
        <v>30</v>
      </c>
      <c r="C16" s="9">
        <v>20</v>
      </c>
      <c r="D16" s="9">
        <v>20</v>
      </c>
      <c r="E16" s="9">
        <v>20</v>
      </c>
      <c r="F16" s="9">
        <v>40</v>
      </c>
      <c r="G16" s="9">
        <v>20</v>
      </c>
      <c r="H16" s="9">
        <v>20</v>
      </c>
      <c r="I16" s="9">
        <v>30</v>
      </c>
      <c r="J16" s="9">
        <v>20</v>
      </c>
      <c r="K16" s="9">
        <v>20</v>
      </c>
      <c r="L16" s="9">
        <v>30</v>
      </c>
      <c r="M16" s="9">
        <v>30</v>
      </c>
      <c r="N16" s="9">
        <v>20</v>
      </c>
      <c r="O16" s="9">
        <v>20</v>
      </c>
      <c r="P16" s="9">
        <v>30</v>
      </c>
      <c r="Q16" s="9">
        <v>20</v>
      </c>
      <c r="R16" s="9">
        <v>30</v>
      </c>
      <c r="S16" s="9">
        <v>20</v>
      </c>
      <c r="T16" s="9">
        <v>30</v>
      </c>
      <c r="U16" s="9">
        <v>20</v>
      </c>
      <c r="V16" s="9">
        <v>30</v>
      </c>
      <c r="W16" s="9">
        <v>20</v>
      </c>
      <c r="X16" s="9">
        <v>30</v>
      </c>
      <c r="Y16" s="9">
        <v>20</v>
      </c>
      <c r="Z16" s="9">
        <v>30</v>
      </c>
      <c r="AA16" s="9">
        <v>20</v>
      </c>
      <c r="AB16" s="9">
        <v>30</v>
      </c>
      <c r="AC16" s="9">
        <v>20</v>
      </c>
      <c r="AD16" s="9">
        <v>30</v>
      </c>
      <c r="AE16" s="9">
        <v>20</v>
      </c>
      <c r="AF16" s="9">
        <v>30</v>
      </c>
      <c r="AG16" s="9">
        <v>20</v>
      </c>
      <c r="AH16" s="9">
        <v>30</v>
      </c>
      <c r="AI16" s="9">
        <v>30</v>
      </c>
      <c r="AJ16" s="9">
        <v>20</v>
      </c>
      <c r="AK16" s="9">
        <v>20</v>
      </c>
      <c r="AL16" s="9">
        <v>30</v>
      </c>
      <c r="AM16" s="9">
        <v>30</v>
      </c>
      <c r="AN16" s="9">
        <v>20</v>
      </c>
      <c r="AO16" s="9">
        <v>30</v>
      </c>
      <c r="AP16" s="9">
        <v>20</v>
      </c>
      <c r="AQ16" s="9">
        <v>20</v>
      </c>
      <c r="AR16" s="9">
        <v>30</v>
      </c>
      <c r="AS16" s="9">
        <v>30</v>
      </c>
      <c r="AT16" s="9">
        <v>20</v>
      </c>
      <c r="AU16" s="9">
        <v>20</v>
      </c>
      <c r="AV16" s="9">
        <v>30</v>
      </c>
      <c r="AW16" s="10">
        <v>4.01</v>
      </c>
      <c r="AX16" s="26" t="s">
        <v>16</v>
      </c>
      <c r="AY16" s="10">
        <v>4.71</v>
      </c>
      <c r="AZ16" s="26" t="s">
        <v>16</v>
      </c>
      <c r="BA16" s="27"/>
      <c r="BB16">
        <f t="shared" si="0"/>
        <v>4.01</v>
      </c>
      <c r="BC16">
        <f t="shared" si="1"/>
        <v>4.01</v>
      </c>
    </row>
    <row r="17" spans="1:55" ht="15.5">
      <c r="A17" s="5">
        <v>30</v>
      </c>
      <c r="B17" s="5">
        <v>30</v>
      </c>
      <c r="C17" s="5">
        <v>20</v>
      </c>
      <c r="D17" s="5">
        <v>20</v>
      </c>
      <c r="E17" s="5">
        <v>30</v>
      </c>
      <c r="F17" s="5">
        <v>30</v>
      </c>
      <c r="G17" s="5">
        <v>20</v>
      </c>
      <c r="H17" s="5">
        <v>20</v>
      </c>
      <c r="I17" s="5">
        <v>20</v>
      </c>
      <c r="J17" s="5">
        <v>30</v>
      </c>
      <c r="K17" s="5">
        <v>20</v>
      </c>
      <c r="L17" s="5">
        <v>30</v>
      </c>
      <c r="M17" s="5">
        <v>20</v>
      </c>
      <c r="N17" s="5">
        <v>30</v>
      </c>
      <c r="O17" s="5">
        <v>20</v>
      </c>
      <c r="P17" s="5">
        <v>30</v>
      </c>
      <c r="Q17" s="5">
        <v>30</v>
      </c>
      <c r="R17" s="5">
        <v>30</v>
      </c>
      <c r="S17" s="5">
        <v>20</v>
      </c>
      <c r="T17" s="5">
        <v>20</v>
      </c>
      <c r="U17" s="5">
        <v>20</v>
      </c>
      <c r="V17" s="5">
        <v>30</v>
      </c>
      <c r="W17" s="5">
        <v>20</v>
      </c>
      <c r="X17" s="5">
        <v>30</v>
      </c>
      <c r="Y17" s="5">
        <v>30</v>
      </c>
      <c r="Z17" s="5">
        <v>30</v>
      </c>
      <c r="AA17" s="5">
        <v>20</v>
      </c>
      <c r="AB17" s="5">
        <v>20</v>
      </c>
      <c r="AC17" s="5">
        <v>20</v>
      </c>
      <c r="AD17" s="5">
        <v>30</v>
      </c>
      <c r="AE17" s="5">
        <v>20</v>
      </c>
      <c r="AF17" s="5">
        <v>30</v>
      </c>
      <c r="AG17" s="5">
        <v>30</v>
      </c>
      <c r="AH17" s="5">
        <v>30</v>
      </c>
      <c r="AI17" s="5">
        <v>20</v>
      </c>
      <c r="AJ17" s="5">
        <v>20</v>
      </c>
      <c r="AK17" s="5">
        <v>20</v>
      </c>
      <c r="AL17" s="5">
        <v>30</v>
      </c>
      <c r="AM17" s="5">
        <v>20</v>
      </c>
      <c r="AN17" s="5">
        <v>30</v>
      </c>
      <c r="AO17" s="5">
        <v>30</v>
      </c>
      <c r="AP17" s="5">
        <v>30</v>
      </c>
      <c r="AQ17" s="5">
        <v>20</v>
      </c>
      <c r="AR17" s="5">
        <v>20</v>
      </c>
      <c r="AS17" s="5">
        <v>30</v>
      </c>
      <c r="AT17" s="5">
        <v>30</v>
      </c>
      <c r="AU17" s="5">
        <v>20</v>
      </c>
      <c r="AV17" s="5">
        <v>20</v>
      </c>
      <c r="AW17" s="6">
        <v>4.21</v>
      </c>
      <c r="AX17" s="28" t="s">
        <v>16</v>
      </c>
      <c r="AY17" s="6">
        <v>4.91</v>
      </c>
      <c r="AZ17" s="28" t="s">
        <v>16</v>
      </c>
      <c r="BA17" s="29"/>
      <c r="BB17">
        <f t="shared" si="0"/>
        <v>4.21</v>
      </c>
      <c r="BC17">
        <f t="shared" si="1"/>
        <v>4.21</v>
      </c>
    </row>
    <row r="18" spans="1:55" ht="15.5">
      <c r="A18" s="9">
        <v>25</v>
      </c>
      <c r="B18" s="9">
        <v>25</v>
      </c>
      <c r="C18" s="9">
        <v>25</v>
      </c>
      <c r="D18" s="9">
        <v>25</v>
      </c>
      <c r="E18" s="9">
        <v>30</v>
      </c>
      <c r="F18" s="9">
        <v>10</v>
      </c>
      <c r="G18" s="9">
        <v>30</v>
      </c>
      <c r="H18" s="9">
        <v>30</v>
      </c>
      <c r="I18" s="9">
        <v>25</v>
      </c>
      <c r="J18" s="9">
        <v>25</v>
      </c>
      <c r="K18" s="9">
        <v>25</v>
      </c>
      <c r="L18" s="9">
        <v>25</v>
      </c>
      <c r="M18" s="9">
        <v>25</v>
      </c>
      <c r="N18" s="9">
        <v>25</v>
      </c>
      <c r="O18" s="9">
        <v>25</v>
      </c>
      <c r="P18" s="9">
        <v>25</v>
      </c>
      <c r="Q18" s="9">
        <v>25</v>
      </c>
      <c r="R18" s="9">
        <v>25</v>
      </c>
      <c r="S18" s="9">
        <v>25</v>
      </c>
      <c r="T18" s="9">
        <v>25</v>
      </c>
      <c r="U18" s="9">
        <v>25</v>
      </c>
      <c r="V18" s="9">
        <v>25</v>
      </c>
      <c r="W18" s="9">
        <v>25</v>
      </c>
      <c r="X18" s="9">
        <v>25</v>
      </c>
      <c r="Y18" s="9">
        <v>25</v>
      </c>
      <c r="Z18" s="9">
        <v>25</v>
      </c>
      <c r="AA18" s="9">
        <v>25</v>
      </c>
      <c r="AB18" s="9">
        <v>25</v>
      </c>
      <c r="AC18" s="9">
        <v>25</v>
      </c>
      <c r="AD18" s="9">
        <v>25</v>
      </c>
      <c r="AE18" s="9">
        <v>25</v>
      </c>
      <c r="AF18" s="9">
        <v>25</v>
      </c>
      <c r="AG18" s="9">
        <v>10</v>
      </c>
      <c r="AH18" s="9">
        <v>30</v>
      </c>
      <c r="AI18" s="9">
        <v>30</v>
      </c>
      <c r="AJ18" s="9">
        <v>30</v>
      </c>
      <c r="AK18" s="9">
        <v>10</v>
      </c>
      <c r="AL18" s="9">
        <v>30</v>
      </c>
      <c r="AM18" s="9">
        <v>30</v>
      </c>
      <c r="AN18" s="9">
        <v>30</v>
      </c>
      <c r="AO18" s="9">
        <v>25</v>
      </c>
      <c r="AP18" s="9">
        <v>25</v>
      </c>
      <c r="AQ18" s="9">
        <v>25</v>
      </c>
      <c r="AR18" s="9">
        <v>25</v>
      </c>
      <c r="AS18" s="9">
        <v>25</v>
      </c>
      <c r="AT18" s="9">
        <v>25</v>
      </c>
      <c r="AU18" s="9">
        <v>25</v>
      </c>
      <c r="AV18" s="9">
        <v>25</v>
      </c>
      <c r="AW18" s="10">
        <v>3.88</v>
      </c>
      <c r="AX18" s="10" t="s">
        <v>26</v>
      </c>
      <c r="AY18" s="10">
        <v>4.12</v>
      </c>
      <c r="AZ18" s="26" t="s">
        <v>16</v>
      </c>
      <c r="BA18" s="27"/>
      <c r="BB18">
        <f t="shared" si="0"/>
        <v>3.88</v>
      </c>
      <c r="BC18">
        <f t="shared" si="1"/>
        <v>3.88</v>
      </c>
    </row>
    <row r="19" spans="1:55" ht="15.5">
      <c r="A19" s="5">
        <v>10</v>
      </c>
      <c r="B19" s="5">
        <v>10</v>
      </c>
      <c r="C19" s="5">
        <v>10</v>
      </c>
      <c r="D19" s="5">
        <v>70</v>
      </c>
      <c r="E19" s="5">
        <v>10</v>
      </c>
      <c r="F19" s="5">
        <v>10</v>
      </c>
      <c r="G19" s="5">
        <v>30</v>
      </c>
      <c r="H19" s="5">
        <v>50</v>
      </c>
      <c r="I19" s="5">
        <v>55</v>
      </c>
      <c r="J19" s="5">
        <v>15</v>
      </c>
      <c r="K19" s="5">
        <v>15</v>
      </c>
      <c r="L19" s="5">
        <v>15</v>
      </c>
      <c r="M19" s="5">
        <v>20</v>
      </c>
      <c r="N19" s="5">
        <v>10</v>
      </c>
      <c r="O19" s="5">
        <v>10</v>
      </c>
      <c r="P19" s="5">
        <v>60</v>
      </c>
      <c r="Q19" s="5">
        <v>10</v>
      </c>
      <c r="R19" s="5">
        <v>10</v>
      </c>
      <c r="S19" s="5">
        <v>10</v>
      </c>
      <c r="T19" s="5">
        <v>70</v>
      </c>
      <c r="U19" s="5">
        <v>20</v>
      </c>
      <c r="V19" s="5">
        <v>20</v>
      </c>
      <c r="W19" s="5">
        <v>30</v>
      </c>
      <c r="X19" s="5">
        <v>30</v>
      </c>
      <c r="Y19" s="5">
        <v>10</v>
      </c>
      <c r="Z19" s="5">
        <v>10</v>
      </c>
      <c r="AA19" s="5">
        <v>10</v>
      </c>
      <c r="AB19" s="5">
        <v>70</v>
      </c>
      <c r="AC19" s="5">
        <v>30</v>
      </c>
      <c r="AD19" s="5">
        <v>20</v>
      </c>
      <c r="AE19" s="5">
        <v>20</v>
      </c>
      <c r="AF19" s="5">
        <v>30</v>
      </c>
      <c r="AG19" s="5">
        <v>20</v>
      </c>
      <c r="AH19" s="5">
        <v>35</v>
      </c>
      <c r="AI19" s="5">
        <v>10</v>
      </c>
      <c r="AJ19" s="5">
        <v>35</v>
      </c>
      <c r="AK19" s="5">
        <v>20</v>
      </c>
      <c r="AL19" s="5">
        <v>30</v>
      </c>
      <c r="AM19" s="5">
        <v>10</v>
      </c>
      <c r="AN19" s="5">
        <v>40</v>
      </c>
      <c r="AO19" s="5">
        <v>20</v>
      </c>
      <c r="AP19" s="5">
        <v>20</v>
      </c>
      <c r="AQ19" s="5">
        <v>20</v>
      </c>
      <c r="AR19" s="5">
        <v>40</v>
      </c>
      <c r="AS19" s="5">
        <v>20</v>
      </c>
      <c r="AT19" s="5">
        <v>20</v>
      </c>
      <c r="AU19" s="5">
        <v>30</v>
      </c>
      <c r="AV19" s="5">
        <v>30</v>
      </c>
      <c r="AW19" s="6">
        <v>4.1100000000000003</v>
      </c>
      <c r="AX19" s="6" t="s">
        <v>16</v>
      </c>
      <c r="AY19" s="6">
        <v>4.2300000000000004</v>
      </c>
      <c r="AZ19" s="6" t="s">
        <v>16</v>
      </c>
      <c r="BA19" s="30"/>
      <c r="BB19">
        <f t="shared" si="0"/>
        <v>4.1100000000000003</v>
      </c>
      <c r="BC19">
        <f t="shared" si="1"/>
        <v>4.1100000000000003</v>
      </c>
    </row>
    <row r="20" spans="1:55" ht="15.5">
      <c r="A20" s="9">
        <v>10</v>
      </c>
      <c r="B20" s="9">
        <v>20</v>
      </c>
      <c r="C20" s="9">
        <v>35</v>
      </c>
      <c r="D20" s="9">
        <v>35</v>
      </c>
      <c r="E20" s="9">
        <v>10</v>
      </c>
      <c r="F20" s="9">
        <v>30</v>
      </c>
      <c r="G20" s="9">
        <v>30</v>
      </c>
      <c r="H20" s="9">
        <v>30</v>
      </c>
      <c r="I20" s="9">
        <v>20</v>
      </c>
      <c r="J20" s="9">
        <v>30</v>
      </c>
      <c r="K20" s="9">
        <v>20</v>
      </c>
      <c r="L20" s="9">
        <v>30</v>
      </c>
      <c r="M20" s="9">
        <v>20</v>
      </c>
      <c r="N20" s="9">
        <v>30</v>
      </c>
      <c r="O20" s="9">
        <v>20</v>
      </c>
      <c r="P20" s="9">
        <v>30</v>
      </c>
      <c r="Q20" s="9">
        <v>20</v>
      </c>
      <c r="R20" s="9">
        <v>30</v>
      </c>
      <c r="S20" s="9">
        <v>20</v>
      </c>
      <c r="T20" s="9">
        <v>30</v>
      </c>
      <c r="U20" s="9">
        <v>20</v>
      </c>
      <c r="V20" s="9">
        <v>30</v>
      </c>
      <c r="W20" s="9">
        <v>20</v>
      </c>
      <c r="X20" s="9">
        <v>30</v>
      </c>
      <c r="Y20" s="9">
        <v>20</v>
      </c>
      <c r="Z20" s="9">
        <v>20</v>
      </c>
      <c r="AA20" s="9">
        <v>30</v>
      </c>
      <c r="AB20" s="9">
        <v>30</v>
      </c>
      <c r="AC20" s="9">
        <v>15</v>
      </c>
      <c r="AD20" s="9">
        <v>25</v>
      </c>
      <c r="AE20" s="9">
        <v>25</v>
      </c>
      <c r="AF20" s="9">
        <v>35</v>
      </c>
      <c r="AG20" s="9">
        <v>20</v>
      </c>
      <c r="AH20" s="9">
        <v>30</v>
      </c>
      <c r="AI20" s="9">
        <v>20</v>
      </c>
      <c r="AJ20" s="9">
        <v>30</v>
      </c>
      <c r="AK20" s="9">
        <v>10</v>
      </c>
      <c r="AL20" s="9">
        <v>30</v>
      </c>
      <c r="AM20" s="9">
        <v>30</v>
      </c>
      <c r="AN20" s="9">
        <v>30</v>
      </c>
      <c r="AO20" s="9">
        <v>20</v>
      </c>
      <c r="AP20" s="9">
        <v>30</v>
      </c>
      <c r="AQ20" s="9">
        <v>20</v>
      </c>
      <c r="AR20" s="9">
        <v>30</v>
      </c>
      <c r="AS20" s="9">
        <v>20</v>
      </c>
      <c r="AT20" s="9">
        <v>30</v>
      </c>
      <c r="AU20" s="9">
        <v>20</v>
      </c>
      <c r="AV20" s="9">
        <v>30</v>
      </c>
      <c r="AW20" s="10">
        <v>4.07</v>
      </c>
      <c r="AX20" s="10" t="s">
        <v>16</v>
      </c>
      <c r="AY20" s="19"/>
      <c r="AZ20" s="19"/>
      <c r="BA20" s="20"/>
      <c r="BB20">
        <f t="shared" si="0"/>
        <v>4.07</v>
      </c>
      <c r="BC20">
        <f t="shared" si="1"/>
        <v>4.07</v>
      </c>
    </row>
    <row r="21" spans="1:55" ht="15.5">
      <c r="A21" s="5">
        <v>20</v>
      </c>
      <c r="B21" s="5">
        <v>20</v>
      </c>
      <c r="C21" s="5">
        <v>20</v>
      </c>
      <c r="D21" s="5">
        <v>40</v>
      </c>
      <c r="E21" s="5">
        <v>15</v>
      </c>
      <c r="F21" s="5">
        <v>35</v>
      </c>
      <c r="G21" s="5">
        <v>25</v>
      </c>
      <c r="H21" s="5">
        <v>25</v>
      </c>
      <c r="I21" s="5">
        <v>20</v>
      </c>
      <c r="J21" s="5">
        <v>30</v>
      </c>
      <c r="K21" s="5">
        <v>30</v>
      </c>
      <c r="L21" s="5">
        <v>20</v>
      </c>
      <c r="M21" s="5">
        <v>50</v>
      </c>
      <c r="N21" s="5">
        <v>20</v>
      </c>
      <c r="O21" s="5">
        <v>10</v>
      </c>
      <c r="P21" s="5">
        <v>20</v>
      </c>
      <c r="Q21" s="5">
        <v>20</v>
      </c>
      <c r="R21" s="5">
        <v>40</v>
      </c>
      <c r="S21" s="5">
        <v>20</v>
      </c>
      <c r="T21" s="5">
        <v>20</v>
      </c>
      <c r="U21" s="5">
        <v>20</v>
      </c>
      <c r="V21" s="5">
        <v>20</v>
      </c>
      <c r="W21" s="5">
        <v>30</v>
      </c>
      <c r="X21" s="5">
        <v>30</v>
      </c>
      <c r="Y21" s="5">
        <v>25</v>
      </c>
      <c r="Z21" s="5">
        <v>25</v>
      </c>
      <c r="AA21" s="5">
        <v>25</v>
      </c>
      <c r="AB21" s="5">
        <v>25</v>
      </c>
      <c r="AC21" s="5">
        <v>25</v>
      </c>
      <c r="AD21" s="5">
        <v>25</v>
      </c>
      <c r="AE21" s="5">
        <v>25</v>
      </c>
      <c r="AF21" s="5">
        <v>25</v>
      </c>
      <c r="AG21" s="5">
        <v>20</v>
      </c>
      <c r="AH21" s="5">
        <v>30</v>
      </c>
      <c r="AI21" s="5">
        <v>20</v>
      </c>
      <c r="AJ21" s="5">
        <v>30</v>
      </c>
      <c r="AK21" s="5">
        <v>20</v>
      </c>
      <c r="AL21" s="5">
        <v>40</v>
      </c>
      <c r="AM21" s="5">
        <v>20</v>
      </c>
      <c r="AN21" s="5">
        <v>20</v>
      </c>
      <c r="AO21" s="5">
        <v>30</v>
      </c>
      <c r="AP21" s="5">
        <v>10</v>
      </c>
      <c r="AQ21" s="5">
        <v>30</v>
      </c>
      <c r="AR21" s="5">
        <v>30</v>
      </c>
      <c r="AS21" s="5">
        <v>20</v>
      </c>
      <c r="AT21" s="5">
        <v>30</v>
      </c>
      <c r="AU21" s="5">
        <v>20</v>
      </c>
      <c r="AV21" s="5">
        <v>30</v>
      </c>
      <c r="AW21" s="6">
        <v>3.88</v>
      </c>
      <c r="AX21" s="7" t="s">
        <v>26</v>
      </c>
      <c r="AY21" s="21"/>
      <c r="AZ21" s="21"/>
      <c r="BA21" s="22"/>
      <c r="BB21">
        <f t="shared" si="0"/>
        <v>3.88</v>
      </c>
      <c r="BC21">
        <f t="shared" si="1"/>
        <v>3.88</v>
      </c>
    </row>
    <row r="22" spans="1:55" ht="15.5">
      <c r="A22" s="9">
        <v>25</v>
      </c>
      <c r="B22" s="9">
        <v>25</v>
      </c>
      <c r="C22" s="9">
        <v>25</v>
      </c>
      <c r="D22" s="9">
        <v>25</v>
      </c>
      <c r="E22" s="9">
        <v>25</v>
      </c>
      <c r="F22" s="9">
        <v>25</v>
      </c>
      <c r="G22" s="9">
        <v>25</v>
      </c>
      <c r="H22" s="9">
        <v>25</v>
      </c>
      <c r="I22" s="9">
        <v>25</v>
      </c>
      <c r="J22" s="9">
        <v>25</v>
      </c>
      <c r="K22" s="9">
        <v>25</v>
      </c>
      <c r="L22" s="9">
        <v>25</v>
      </c>
      <c r="M22" s="9">
        <v>25</v>
      </c>
      <c r="N22" s="9">
        <v>25</v>
      </c>
      <c r="O22" s="9">
        <v>25</v>
      </c>
      <c r="P22" s="9">
        <v>25</v>
      </c>
      <c r="Q22" s="9">
        <v>25</v>
      </c>
      <c r="R22" s="9">
        <v>25</v>
      </c>
      <c r="S22" s="9">
        <v>25</v>
      </c>
      <c r="T22" s="9">
        <v>25</v>
      </c>
      <c r="U22" s="9">
        <v>25</v>
      </c>
      <c r="V22" s="9">
        <v>25</v>
      </c>
      <c r="W22" s="9">
        <v>25</v>
      </c>
      <c r="X22" s="9">
        <v>25</v>
      </c>
      <c r="Y22" s="9">
        <v>25</v>
      </c>
      <c r="Z22" s="9">
        <v>25</v>
      </c>
      <c r="AA22" s="9">
        <v>25</v>
      </c>
      <c r="AB22" s="9">
        <v>25</v>
      </c>
      <c r="AC22" s="9">
        <v>25</v>
      </c>
      <c r="AD22" s="9">
        <v>25</v>
      </c>
      <c r="AE22" s="9">
        <v>25</v>
      </c>
      <c r="AF22" s="9">
        <v>25</v>
      </c>
      <c r="AG22" s="9">
        <v>25</v>
      </c>
      <c r="AH22" s="9">
        <v>25</v>
      </c>
      <c r="AI22" s="9">
        <v>25</v>
      </c>
      <c r="AJ22" s="9">
        <v>25</v>
      </c>
      <c r="AK22" s="9">
        <v>25</v>
      </c>
      <c r="AL22" s="9">
        <v>25</v>
      </c>
      <c r="AM22" s="9">
        <v>25</v>
      </c>
      <c r="AN22" s="9">
        <v>25</v>
      </c>
      <c r="AO22" s="9">
        <v>25</v>
      </c>
      <c r="AP22" s="9">
        <v>25</v>
      </c>
      <c r="AQ22" s="9">
        <v>25</v>
      </c>
      <c r="AR22" s="9">
        <v>25</v>
      </c>
      <c r="AS22" s="9">
        <v>25</v>
      </c>
      <c r="AT22" s="9">
        <v>25</v>
      </c>
      <c r="AU22" s="9">
        <v>25</v>
      </c>
      <c r="AV22" s="9">
        <v>25</v>
      </c>
      <c r="AW22" s="26"/>
      <c r="AX22" s="26"/>
      <c r="AY22" s="10">
        <v>4.1500000000000004</v>
      </c>
      <c r="AZ22" s="14" t="s">
        <v>16</v>
      </c>
      <c r="BA22" s="31"/>
      <c r="BB22">
        <f t="shared" si="0"/>
        <v>0</v>
      </c>
      <c r="BC22">
        <f t="shared" si="1"/>
        <v>4.1500000000000004</v>
      </c>
    </row>
    <row r="23" spans="1:55" ht="15.5">
      <c r="A23" s="5">
        <v>70</v>
      </c>
      <c r="B23" s="5">
        <v>10</v>
      </c>
      <c r="C23" s="5">
        <v>10</v>
      </c>
      <c r="D23" s="5">
        <v>10</v>
      </c>
      <c r="E23" s="5">
        <v>20</v>
      </c>
      <c r="F23" s="5">
        <v>10</v>
      </c>
      <c r="G23" s="5">
        <v>10</v>
      </c>
      <c r="H23" s="5">
        <v>60</v>
      </c>
      <c r="I23" s="5">
        <v>10</v>
      </c>
      <c r="J23" s="5">
        <v>10</v>
      </c>
      <c r="K23" s="5">
        <v>10</v>
      </c>
      <c r="L23" s="5">
        <v>70</v>
      </c>
      <c r="M23" s="5">
        <v>20</v>
      </c>
      <c r="N23" s="5">
        <v>10</v>
      </c>
      <c r="O23" s="5">
        <v>10</v>
      </c>
      <c r="P23" s="5">
        <v>60</v>
      </c>
      <c r="Q23" s="5">
        <v>10</v>
      </c>
      <c r="R23" s="5">
        <v>10</v>
      </c>
      <c r="S23" s="5">
        <v>60</v>
      </c>
      <c r="T23" s="5">
        <v>20</v>
      </c>
      <c r="U23" s="5">
        <v>10</v>
      </c>
      <c r="V23" s="5">
        <v>10</v>
      </c>
      <c r="W23" s="5">
        <v>60</v>
      </c>
      <c r="X23" s="5">
        <v>20</v>
      </c>
      <c r="Y23" s="5">
        <v>70</v>
      </c>
      <c r="Z23" s="5">
        <v>10</v>
      </c>
      <c r="AA23" s="5">
        <v>10</v>
      </c>
      <c r="AB23" s="5">
        <v>10</v>
      </c>
      <c r="AC23" s="5">
        <v>60</v>
      </c>
      <c r="AD23" s="5">
        <v>20</v>
      </c>
      <c r="AE23" s="5">
        <v>10</v>
      </c>
      <c r="AF23" s="5">
        <v>10</v>
      </c>
      <c r="AG23" s="5">
        <v>20</v>
      </c>
      <c r="AH23" s="5">
        <v>60</v>
      </c>
      <c r="AI23" s="5">
        <v>10</v>
      </c>
      <c r="AJ23" s="5">
        <v>10</v>
      </c>
      <c r="AK23" s="5">
        <v>20</v>
      </c>
      <c r="AL23" s="5">
        <v>50</v>
      </c>
      <c r="AM23" s="5">
        <v>10</v>
      </c>
      <c r="AN23" s="5">
        <v>20</v>
      </c>
      <c r="AO23" s="5">
        <v>70</v>
      </c>
      <c r="AP23" s="5">
        <v>10</v>
      </c>
      <c r="AQ23" s="5">
        <v>10</v>
      </c>
      <c r="AR23" s="5">
        <v>10</v>
      </c>
      <c r="AS23" s="5">
        <v>70</v>
      </c>
      <c r="AT23" s="5">
        <v>10</v>
      </c>
      <c r="AU23" s="5">
        <v>10</v>
      </c>
      <c r="AV23" s="5">
        <v>10</v>
      </c>
      <c r="AW23" s="6">
        <v>4.71</v>
      </c>
      <c r="AX23" s="7" t="s">
        <v>16</v>
      </c>
      <c r="AY23" s="28"/>
      <c r="AZ23" s="28"/>
      <c r="BA23" s="29"/>
      <c r="BB23">
        <f t="shared" si="0"/>
        <v>4.71</v>
      </c>
      <c r="BC23">
        <f t="shared" si="1"/>
        <v>4.71</v>
      </c>
    </row>
    <row r="24" spans="1:55" ht="15.5">
      <c r="A24" s="9">
        <v>20</v>
      </c>
      <c r="B24" s="9">
        <v>20</v>
      </c>
      <c r="C24" s="9">
        <v>20</v>
      </c>
      <c r="D24" s="9">
        <v>40</v>
      </c>
      <c r="E24" s="9">
        <v>10</v>
      </c>
      <c r="F24" s="9">
        <v>10</v>
      </c>
      <c r="G24" s="9">
        <v>40</v>
      </c>
      <c r="H24" s="9">
        <v>40</v>
      </c>
      <c r="I24" s="9">
        <v>20</v>
      </c>
      <c r="J24" s="9">
        <v>20</v>
      </c>
      <c r="K24" s="9">
        <v>30</v>
      </c>
      <c r="L24" s="9">
        <v>30</v>
      </c>
      <c r="M24" s="9">
        <v>10</v>
      </c>
      <c r="N24" s="9">
        <v>10</v>
      </c>
      <c r="O24" s="9">
        <v>60</v>
      </c>
      <c r="P24" s="9">
        <v>20</v>
      </c>
      <c r="Q24" s="9">
        <v>10</v>
      </c>
      <c r="R24" s="9">
        <v>10</v>
      </c>
      <c r="S24" s="9">
        <v>10</v>
      </c>
      <c r="T24" s="9">
        <v>70</v>
      </c>
      <c r="U24" s="9">
        <v>20</v>
      </c>
      <c r="V24" s="9">
        <v>20</v>
      </c>
      <c r="W24" s="9">
        <v>20</v>
      </c>
      <c r="X24" s="9">
        <v>40</v>
      </c>
      <c r="Y24" s="9">
        <v>20</v>
      </c>
      <c r="Z24" s="9">
        <v>20</v>
      </c>
      <c r="AA24" s="9">
        <v>30</v>
      </c>
      <c r="AB24" s="9">
        <v>30</v>
      </c>
      <c r="AC24" s="9">
        <v>10</v>
      </c>
      <c r="AD24" s="9">
        <v>30</v>
      </c>
      <c r="AE24" s="9">
        <v>20</v>
      </c>
      <c r="AF24" s="9">
        <v>40</v>
      </c>
      <c r="AG24" s="9">
        <v>30</v>
      </c>
      <c r="AH24" s="9">
        <v>30</v>
      </c>
      <c r="AI24" s="9">
        <v>20</v>
      </c>
      <c r="AJ24" s="9">
        <v>20</v>
      </c>
      <c r="AK24" s="9">
        <v>10</v>
      </c>
      <c r="AL24" s="9">
        <v>10</v>
      </c>
      <c r="AM24" s="9">
        <v>70</v>
      </c>
      <c r="AN24" s="9">
        <v>10</v>
      </c>
      <c r="AO24" s="9">
        <v>40</v>
      </c>
      <c r="AP24" s="9">
        <v>10</v>
      </c>
      <c r="AQ24" s="9">
        <v>20</v>
      </c>
      <c r="AR24" s="9">
        <v>30</v>
      </c>
      <c r="AS24" s="9">
        <v>10</v>
      </c>
      <c r="AT24" s="9">
        <v>20</v>
      </c>
      <c r="AU24" s="9">
        <v>30</v>
      </c>
      <c r="AV24" s="9">
        <v>40</v>
      </c>
      <c r="AW24" s="14">
        <v>4.17</v>
      </c>
      <c r="AX24" s="15" t="s">
        <v>16</v>
      </c>
      <c r="AY24" s="14">
        <v>4.47</v>
      </c>
      <c r="AZ24" s="15" t="s">
        <v>16</v>
      </c>
      <c r="BA24" s="16"/>
      <c r="BB24">
        <f t="shared" si="0"/>
        <v>4.17</v>
      </c>
      <c r="BC24">
        <f t="shared" si="1"/>
        <v>4.17</v>
      </c>
    </row>
    <row r="25" spans="1:55" ht="15.5">
      <c r="A25" s="5">
        <v>25</v>
      </c>
      <c r="B25" s="5">
        <v>25</v>
      </c>
      <c r="C25" s="5">
        <v>25</v>
      </c>
      <c r="D25" s="5">
        <v>25</v>
      </c>
      <c r="E25" s="5">
        <v>25</v>
      </c>
      <c r="F25" s="5">
        <v>25</v>
      </c>
      <c r="G25" s="5">
        <v>25</v>
      </c>
      <c r="H25" s="5">
        <v>25</v>
      </c>
      <c r="I25" s="5">
        <v>25</v>
      </c>
      <c r="J25" s="5">
        <v>25</v>
      </c>
      <c r="K25" s="5">
        <v>25</v>
      </c>
      <c r="L25" s="5">
        <v>25</v>
      </c>
      <c r="M25" s="5">
        <v>25</v>
      </c>
      <c r="N25" s="5">
        <v>25</v>
      </c>
      <c r="O25" s="5">
        <v>25</v>
      </c>
      <c r="P25" s="5">
        <v>25</v>
      </c>
      <c r="Q25" s="5">
        <v>25</v>
      </c>
      <c r="R25" s="5">
        <v>25</v>
      </c>
      <c r="S25" s="5">
        <v>25</v>
      </c>
      <c r="T25" s="5">
        <v>25</v>
      </c>
      <c r="U25" s="5">
        <v>25</v>
      </c>
      <c r="V25" s="5">
        <v>25</v>
      </c>
      <c r="W25" s="5">
        <v>25</v>
      </c>
      <c r="X25" s="5">
        <v>25</v>
      </c>
      <c r="Y25" s="5">
        <v>25</v>
      </c>
      <c r="Z25" s="5">
        <v>25</v>
      </c>
      <c r="AA25" s="5">
        <v>25</v>
      </c>
      <c r="AB25" s="5">
        <v>25</v>
      </c>
      <c r="AC25" s="5">
        <v>25</v>
      </c>
      <c r="AD25" s="5">
        <v>25</v>
      </c>
      <c r="AE25" s="5">
        <v>25</v>
      </c>
      <c r="AF25" s="5">
        <v>25</v>
      </c>
      <c r="AG25" s="5">
        <v>25</v>
      </c>
      <c r="AH25" s="5">
        <v>25</v>
      </c>
      <c r="AI25" s="5">
        <v>25</v>
      </c>
      <c r="AJ25" s="5">
        <v>25</v>
      </c>
      <c r="AK25" s="5">
        <v>25</v>
      </c>
      <c r="AL25" s="5">
        <v>25</v>
      </c>
      <c r="AM25" s="5">
        <v>25</v>
      </c>
      <c r="AN25" s="5">
        <v>25</v>
      </c>
      <c r="AO25" s="5">
        <v>25</v>
      </c>
      <c r="AP25" s="5">
        <v>25</v>
      </c>
      <c r="AQ25" s="5">
        <v>25</v>
      </c>
      <c r="AR25" s="5">
        <v>25</v>
      </c>
      <c r="AS25" s="5">
        <v>25</v>
      </c>
      <c r="AT25" s="5">
        <v>25</v>
      </c>
      <c r="AU25" s="5">
        <v>25</v>
      </c>
      <c r="AV25" s="5">
        <v>25</v>
      </c>
      <c r="AW25" s="6">
        <v>4.45</v>
      </c>
      <c r="AX25" s="7" t="s">
        <v>16</v>
      </c>
      <c r="AY25" s="28"/>
      <c r="AZ25" s="28"/>
      <c r="BA25" s="29"/>
      <c r="BB25">
        <f t="shared" si="0"/>
        <v>4.45</v>
      </c>
      <c r="BC25">
        <f t="shared" si="1"/>
        <v>4.45</v>
      </c>
    </row>
    <row r="26" spans="1:55" ht="15.5">
      <c r="A26" s="9">
        <v>20</v>
      </c>
      <c r="B26" s="9">
        <v>20</v>
      </c>
      <c r="C26" s="9">
        <v>20</v>
      </c>
      <c r="D26" s="9">
        <v>40</v>
      </c>
      <c r="E26" s="9">
        <v>20</v>
      </c>
      <c r="F26" s="9">
        <v>20</v>
      </c>
      <c r="G26" s="9">
        <v>20</v>
      </c>
      <c r="H26" s="9">
        <v>40</v>
      </c>
      <c r="I26" s="9">
        <v>10</v>
      </c>
      <c r="J26" s="9">
        <v>10</v>
      </c>
      <c r="K26" s="9">
        <v>10</v>
      </c>
      <c r="L26" s="9">
        <v>70</v>
      </c>
      <c r="M26" s="9">
        <v>20</v>
      </c>
      <c r="N26" s="9">
        <v>20</v>
      </c>
      <c r="O26" s="9">
        <v>40</v>
      </c>
      <c r="P26" s="9">
        <v>20</v>
      </c>
      <c r="Q26" s="9">
        <v>10</v>
      </c>
      <c r="R26" s="9">
        <v>20</v>
      </c>
      <c r="S26" s="9">
        <v>20</v>
      </c>
      <c r="T26" s="9">
        <v>50</v>
      </c>
      <c r="U26" s="9">
        <v>40</v>
      </c>
      <c r="V26" s="9">
        <v>20</v>
      </c>
      <c r="W26" s="9">
        <v>20</v>
      </c>
      <c r="X26" s="9">
        <v>20</v>
      </c>
      <c r="Y26" s="9">
        <v>40</v>
      </c>
      <c r="Z26" s="9">
        <v>40</v>
      </c>
      <c r="AA26" s="9">
        <v>10</v>
      </c>
      <c r="AB26" s="9">
        <v>10</v>
      </c>
      <c r="AC26" s="9">
        <v>30</v>
      </c>
      <c r="AD26" s="9">
        <v>20</v>
      </c>
      <c r="AE26" s="9">
        <v>20</v>
      </c>
      <c r="AF26" s="9">
        <v>30</v>
      </c>
      <c r="AG26" s="9">
        <v>20</v>
      </c>
      <c r="AH26" s="9">
        <v>50</v>
      </c>
      <c r="AI26" s="9">
        <v>10</v>
      </c>
      <c r="AJ26" s="9">
        <v>20</v>
      </c>
      <c r="AK26" s="9">
        <v>20</v>
      </c>
      <c r="AL26" s="9">
        <v>20</v>
      </c>
      <c r="AM26" s="9">
        <v>40</v>
      </c>
      <c r="AN26" s="9">
        <v>20</v>
      </c>
      <c r="AO26" s="9">
        <v>40</v>
      </c>
      <c r="AP26" s="9">
        <v>20</v>
      </c>
      <c r="AQ26" s="9">
        <v>20</v>
      </c>
      <c r="AR26" s="9">
        <v>20</v>
      </c>
      <c r="AS26" s="9">
        <v>40</v>
      </c>
      <c r="AT26" s="9">
        <v>20</v>
      </c>
      <c r="AU26" s="9">
        <v>20</v>
      </c>
      <c r="AV26" s="9">
        <v>20</v>
      </c>
      <c r="AW26" s="24"/>
      <c r="AX26" s="24"/>
      <c r="AY26" s="10">
        <v>4.1500000000000004</v>
      </c>
      <c r="AZ26" s="15" t="s">
        <v>16</v>
      </c>
      <c r="BA26" s="16"/>
      <c r="BB26">
        <f t="shared" si="0"/>
        <v>0</v>
      </c>
      <c r="BC26">
        <f t="shared" si="1"/>
        <v>4.1500000000000004</v>
      </c>
    </row>
    <row r="27" spans="1:55" ht="15.5">
      <c r="A27" s="5">
        <v>30</v>
      </c>
      <c r="B27" s="5">
        <v>30</v>
      </c>
      <c r="C27" s="5">
        <v>20</v>
      </c>
      <c r="D27" s="5">
        <v>20</v>
      </c>
      <c r="E27" s="5">
        <v>70</v>
      </c>
      <c r="F27" s="5">
        <v>10</v>
      </c>
      <c r="G27" s="5">
        <v>10</v>
      </c>
      <c r="H27" s="5">
        <v>10</v>
      </c>
      <c r="I27" s="5">
        <v>10</v>
      </c>
      <c r="J27" s="5">
        <v>10</v>
      </c>
      <c r="K27" s="5">
        <v>10</v>
      </c>
      <c r="L27" s="5">
        <v>70</v>
      </c>
      <c r="M27" s="5">
        <v>10</v>
      </c>
      <c r="N27" s="5">
        <v>10</v>
      </c>
      <c r="O27" s="5">
        <v>10</v>
      </c>
      <c r="P27" s="5">
        <v>70</v>
      </c>
      <c r="Q27" s="5">
        <v>10</v>
      </c>
      <c r="R27" s="5">
        <v>10</v>
      </c>
      <c r="S27" s="5">
        <v>70</v>
      </c>
      <c r="T27" s="5">
        <v>10</v>
      </c>
      <c r="U27" s="5">
        <v>10</v>
      </c>
      <c r="V27" s="5">
        <v>10</v>
      </c>
      <c r="W27" s="5">
        <v>10</v>
      </c>
      <c r="X27" s="5">
        <v>70</v>
      </c>
      <c r="Y27" s="5">
        <v>70</v>
      </c>
      <c r="Z27" s="5">
        <v>10</v>
      </c>
      <c r="AA27" s="5">
        <v>10</v>
      </c>
      <c r="AB27" s="5">
        <v>10</v>
      </c>
      <c r="AC27" s="5">
        <v>70</v>
      </c>
      <c r="AD27" s="5">
        <v>10</v>
      </c>
      <c r="AE27" s="5">
        <v>10</v>
      </c>
      <c r="AF27" s="5">
        <v>10</v>
      </c>
      <c r="AG27" s="5">
        <v>10</v>
      </c>
      <c r="AH27" s="5">
        <v>70</v>
      </c>
      <c r="AI27" s="5">
        <v>10</v>
      </c>
      <c r="AJ27" s="5">
        <v>10</v>
      </c>
      <c r="AK27" s="5">
        <v>10</v>
      </c>
      <c r="AL27" s="5">
        <v>70</v>
      </c>
      <c r="AM27" s="5">
        <v>10</v>
      </c>
      <c r="AN27" s="5">
        <v>10</v>
      </c>
      <c r="AO27" s="5">
        <v>70</v>
      </c>
      <c r="AP27" s="5">
        <v>10</v>
      </c>
      <c r="AQ27" s="5">
        <v>10</v>
      </c>
      <c r="AR27" s="5">
        <v>10</v>
      </c>
      <c r="AS27" s="5">
        <v>70</v>
      </c>
      <c r="AT27" s="5">
        <v>10</v>
      </c>
      <c r="AU27" s="5">
        <v>10</v>
      </c>
      <c r="AV27" s="5">
        <v>10</v>
      </c>
      <c r="AW27" s="12">
        <v>4.46</v>
      </c>
      <c r="AX27" s="7" t="s">
        <v>16</v>
      </c>
      <c r="AY27" s="17"/>
      <c r="AZ27" s="17"/>
      <c r="BA27" s="18"/>
      <c r="BB27">
        <f t="shared" si="0"/>
        <v>4.46</v>
      </c>
      <c r="BC27">
        <f t="shared" si="1"/>
        <v>4.46</v>
      </c>
    </row>
    <row r="28" spans="1:55" ht="15.5">
      <c r="A28" s="9">
        <v>10</v>
      </c>
      <c r="B28" s="9">
        <v>30</v>
      </c>
      <c r="C28" s="9">
        <v>30</v>
      </c>
      <c r="D28" s="9">
        <v>30</v>
      </c>
      <c r="E28" s="9">
        <v>30</v>
      </c>
      <c r="F28" s="9">
        <v>10</v>
      </c>
      <c r="G28" s="9">
        <v>30</v>
      </c>
      <c r="H28" s="9">
        <v>30</v>
      </c>
      <c r="I28" s="9">
        <v>30</v>
      </c>
      <c r="J28" s="9">
        <v>20</v>
      </c>
      <c r="K28" s="9">
        <v>20</v>
      </c>
      <c r="L28" s="9">
        <v>30</v>
      </c>
      <c r="M28" s="9">
        <v>20</v>
      </c>
      <c r="N28" s="9">
        <v>20</v>
      </c>
      <c r="O28" s="9">
        <v>30</v>
      </c>
      <c r="P28" s="9">
        <v>30</v>
      </c>
      <c r="Q28" s="9">
        <v>30</v>
      </c>
      <c r="R28" s="9">
        <v>30</v>
      </c>
      <c r="S28" s="9">
        <v>30</v>
      </c>
      <c r="T28" s="9">
        <v>10</v>
      </c>
      <c r="U28" s="9">
        <v>20</v>
      </c>
      <c r="V28" s="9">
        <v>20</v>
      </c>
      <c r="W28" s="9">
        <v>30</v>
      </c>
      <c r="X28" s="9">
        <v>30</v>
      </c>
      <c r="Y28" s="9">
        <v>30</v>
      </c>
      <c r="Z28" s="9">
        <v>30</v>
      </c>
      <c r="AA28" s="9">
        <v>20</v>
      </c>
      <c r="AB28" s="9">
        <v>20</v>
      </c>
      <c r="AC28" s="9">
        <v>30</v>
      </c>
      <c r="AD28" s="9">
        <v>30</v>
      </c>
      <c r="AE28" s="9">
        <v>20</v>
      </c>
      <c r="AF28" s="9">
        <v>20</v>
      </c>
      <c r="AG28" s="9">
        <v>30</v>
      </c>
      <c r="AH28" s="9">
        <v>30</v>
      </c>
      <c r="AI28" s="9">
        <v>20</v>
      </c>
      <c r="AJ28" s="9">
        <v>20</v>
      </c>
      <c r="AK28" s="9">
        <v>30</v>
      </c>
      <c r="AL28" s="9">
        <v>30</v>
      </c>
      <c r="AM28" s="9">
        <v>20</v>
      </c>
      <c r="AN28" s="9">
        <v>20</v>
      </c>
      <c r="AO28" s="9">
        <v>30</v>
      </c>
      <c r="AP28" s="9">
        <v>20</v>
      </c>
      <c r="AQ28" s="9">
        <v>20</v>
      </c>
      <c r="AR28" s="9">
        <v>30</v>
      </c>
      <c r="AS28" s="9">
        <v>30</v>
      </c>
      <c r="AT28" s="9">
        <v>20</v>
      </c>
      <c r="AU28" s="9">
        <v>20</v>
      </c>
      <c r="AV28" s="9">
        <v>30</v>
      </c>
      <c r="AW28" s="10">
        <v>4.91</v>
      </c>
      <c r="AX28" s="15" t="s">
        <v>16</v>
      </c>
      <c r="AY28" s="26" t="s">
        <v>31</v>
      </c>
      <c r="AZ28" s="19"/>
      <c r="BA28" s="20"/>
      <c r="BB28">
        <f t="shared" si="0"/>
        <v>4.91</v>
      </c>
      <c r="BC28">
        <f t="shared" si="1"/>
        <v>4.91</v>
      </c>
    </row>
    <row r="29" spans="1:55" ht="15.5">
      <c r="A29" s="5">
        <v>30</v>
      </c>
      <c r="B29" s="5">
        <v>20</v>
      </c>
      <c r="C29" s="5">
        <v>40</v>
      </c>
      <c r="D29" s="5">
        <v>10</v>
      </c>
      <c r="E29" s="5">
        <v>20</v>
      </c>
      <c r="F29" s="5">
        <v>30</v>
      </c>
      <c r="G29" s="5">
        <v>30</v>
      </c>
      <c r="H29" s="5">
        <v>20</v>
      </c>
      <c r="I29" s="5">
        <v>40</v>
      </c>
      <c r="J29" s="5">
        <v>15</v>
      </c>
      <c r="K29" s="5">
        <v>30</v>
      </c>
      <c r="L29" s="5">
        <v>15</v>
      </c>
      <c r="M29" s="5">
        <v>20</v>
      </c>
      <c r="N29" s="5">
        <v>20</v>
      </c>
      <c r="O29" s="5">
        <v>30</v>
      </c>
      <c r="P29" s="5">
        <v>30</v>
      </c>
      <c r="Q29" s="5">
        <v>30</v>
      </c>
      <c r="R29" s="5">
        <v>20</v>
      </c>
      <c r="S29" s="5">
        <v>30</v>
      </c>
      <c r="T29" s="5">
        <v>20</v>
      </c>
      <c r="U29" s="5">
        <v>30</v>
      </c>
      <c r="V29" s="5">
        <v>10</v>
      </c>
      <c r="W29" s="5">
        <v>30</v>
      </c>
      <c r="X29" s="5">
        <v>30</v>
      </c>
      <c r="Y29" s="5">
        <v>30</v>
      </c>
      <c r="Z29" s="5">
        <v>20</v>
      </c>
      <c r="AA29" s="5">
        <v>20</v>
      </c>
      <c r="AB29" s="5">
        <v>30</v>
      </c>
      <c r="AC29" s="5">
        <v>20</v>
      </c>
      <c r="AD29" s="5">
        <v>30</v>
      </c>
      <c r="AE29" s="5">
        <v>30</v>
      </c>
      <c r="AF29" s="5">
        <v>20</v>
      </c>
      <c r="AG29" s="5">
        <v>25</v>
      </c>
      <c r="AH29" s="5">
        <v>25</v>
      </c>
      <c r="AI29" s="5">
        <v>25</v>
      </c>
      <c r="AJ29" s="5">
        <v>25</v>
      </c>
      <c r="AK29" s="5">
        <v>25</v>
      </c>
      <c r="AL29" s="5">
        <v>25</v>
      </c>
      <c r="AM29" s="5">
        <v>25</v>
      </c>
      <c r="AN29" s="5">
        <v>25</v>
      </c>
      <c r="AO29" s="5">
        <v>20</v>
      </c>
      <c r="AP29" s="5">
        <v>40</v>
      </c>
      <c r="AQ29" s="5">
        <v>20</v>
      </c>
      <c r="AR29" s="5">
        <v>20</v>
      </c>
      <c r="AS29" s="5">
        <v>30</v>
      </c>
      <c r="AT29" s="5">
        <v>30</v>
      </c>
      <c r="AU29" s="5">
        <v>20</v>
      </c>
      <c r="AV29" s="5">
        <v>20</v>
      </c>
      <c r="AW29" s="6">
        <v>4.1100000000000003</v>
      </c>
      <c r="AX29" s="6" t="s">
        <v>16</v>
      </c>
      <c r="AY29" s="21"/>
      <c r="AZ29" s="21"/>
      <c r="BA29" s="22"/>
      <c r="BB29">
        <f t="shared" si="0"/>
        <v>4.1100000000000003</v>
      </c>
      <c r="BC29">
        <f t="shared" si="1"/>
        <v>4.1100000000000003</v>
      </c>
    </row>
    <row r="30" spans="1:55" ht="15.5">
      <c r="A30" s="9">
        <v>10</v>
      </c>
      <c r="B30" s="9">
        <v>30</v>
      </c>
      <c r="C30" s="9">
        <v>30</v>
      </c>
      <c r="D30" s="9">
        <v>30</v>
      </c>
      <c r="E30" s="9">
        <v>20</v>
      </c>
      <c r="F30" s="9">
        <v>20</v>
      </c>
      <c r="G30" s="9">
        <v>20</v>
      </c>
      <c r="H30" s="9">
        <v>40</v>
      </c>
      <c r="I30" s="9">
        <v>25</v>
      </c>
      <c r="J30" s="9">
        <v>25</v>
      </c>
      <c r="K30" s="9">
        <v>25</v>
      </c>
      <c r="L30" s="9">
        <v>25</v>
      </c>
      <c r="M30" s="9">
        <v>25</v>
      </c>
      <c r="N30" s="9">
        <v>25</v>
      </c>
      <c r="O30" s="9">
        <v>25</v>
      </c>
      <c r="P30" s="9">
        <v>25</v>
      </c>
      <c r="Q30" s="9">
        <v>10</v>
      </c>
      <c r="R30" s="9">
        <v>20</v>
      </c>
      <c r="S30" s="9">
        <v>35</v>
      </c>
      <c r="T30" s="9">
        <v>35</v>
      </c>
      <c r="U30" s="9">
        <v>10</v>
      </c>
      <c r="V30" s="9">
        <v>30</v>
      </c>
      <c r="W30" s="9">
        <v>30</v>
      </c>
      <c r="X30" s="9">
        <v>30</v>
      </c>
      <c r="Y30" s="9">
        <v>20</v>
      </c>
      <c r="Z30" s="9">
        <v>40</v>
      </c>
      <c r="AA30" s="9">
        <v>20</v>
      </c>
      <c r="AB30" s="9">
        <v>20</v>
      </c>
      <c r="AC30" s="9">
        <v>25</v>
      </c>
      <c r="AD30" s="9">
        <v>25</v>
      </c>
      <c r="AE30" s="9">
        <v>25</v>
      </c>
      <c r="AF30" s="9">
        <v>25</v>
      </c>
      <c r="AG30" s="9">
        <v>25</v>
      </c>
      <c r="AH30" s="9">
        <v>25</v>
      </c>
      <c r="AI30" s="9">
        <v>25</v>
      </c>
      <c r="AJ30" s="9">
        <v>25</v>
      </c>
      <c r="AK30" s="9">
        <v>25</v>
      </c>
      <c r="AL30" s="9">
        <v>25</v>
      </c>
      <c r="AM30" s="9">
        <v>25</v>
      </c>
      <c r="AN30" s="9">
        <v>25</v>
      </c>
      <c r="AO30" s="9">
        <v>25</v>
      </c>
      <c r="AP30" s="9">
        <v>25</v>
      </c>
      <c r="AQ30" s="9">
        <v>25</v>
      </c>
      <c r="AR30" s="9">
        <v>25</v>
      </c>
      <c r="AS30" s="9">
        <v>25</v>
      </c>
      <c r="AT30" s="9">
        <v>25</v>
      </c>
      <c r="AU30" s="9">
        <v>25</v>
      </c>
      <c r="AV30" s="9">
        <v>25</v>
      </c>
      <c r="AW30" s="10">
        <v>4.25</v>
      </c>
      <c r="AX30" s="15" t="s">
        <v>16</v>
      </c>
      <c r="AY30" s="19"/>
      <c r="AZ30" s="19"/>
      <c r="BA30" s="20"/>
      <c r="BB30">
        <f t="shared" si="0"/>
        <v>4.25</v>
      </c>
      <c r="BC30">
        <f t="shared" si="1"/>
        <v>4.25</v>
      </c>
    </row>
    <row r="31" spans="1:55" ht="15.5">
      <c r="A31" s="5">
        <v>30</v>
      </c>
      <c r="B31" s="5">
        <v>30</v>
      </c>
      <c r="C31" s="5">
        <v>10</v>
      </c>
      <c r="D31" s="5">
        <v>30</v>
      </c>
      <c r="E31" s="5">
        <v>20</v>
      </c>
      <c r="F31" s="5">
        <v>20</v>
      </c>
      <c r="G31" s="5">
        <v>20</v>
      </c>
      <c r="H31" s="5">
        <v>40</v>
      </c>
      <c r="I31" s="5">
        <v>25</v>
      </c>
      <c r="J31" s="5">
        <v>25</v>
      </c>
      <c r="K31" s="5">
        <v>25</v>
      </c>
      <c r="L31" s="5">
        <v>25</v>
      </c>
      <c r="M31" s="5">
        <v>30</v>
      </c>
      <c r="N31" s="5">
        <v>30</v>
      </c>
      <c r="O31" s="5">
        <v>30</v>
      </c>
      <c r="P31" s="5">
        <v>10</v>
      </c>
      <c r="Q31" s="5">
        <v>10</v>
      </c>
      <c r="R31" s="5">
        <v>30</v>
      </c>
      <c r="S31" s="5">
        <v>30</v>
      </c>
      <c r="T31" s="5">
        <v>30</v>
      </c>
      <c r="U31" s="5">
        <v>10</v>
      </c>
      <c r="V31" s="5">
        <v>30</v>
      </c>
      <c r="W31" s="5">
        <v>30</v>
      </c>
      <c r="X31" s="5">
        <v>30</v>
      </c>
      <c r="Y31" s="5">
        <v>30</v>
      </c>
      <c r="Z31" s="5">
        <v>30</v>
      </c>
      <c r="AA31" s="5">
        <v>10</v>
      </c>
      <c r="AB31" s="5">
        <v>30</v>
      </c>
      <c r="AC31" s="5">
        <v>20</v>
      </c>
      <c r="AD31" s="5">
        <v>30</v>
      </c>
      <c r="AE31" s="5">
        <v>20</v>
      </c>
      <c r="AF31" s="5">
        <v>30</v>
      </c>
      <c r="AG31" s="5">
        <v>25</v>
      </c>
      <c r="AH31" s="5">
        <v>25</v>
      </c>
      <c r="AI31" s="5">
        <v>25</v>
      </c>
      <c r="AJ31" s="5">
        <v>25</v>
      </c>
      <c r="AK31" s="5">
        <v>20</v>
      </c>
      <c r="AL31" s="5">
        <v>20</v>
      </c>
      <c r="AM31" s="5">
        <v>40</v>
      </c>
      <c r="AN31" s="5">
        <v>20</v>
      </c>
      <c r="AO31" s="5">
        <v>50</v>
      </c>
      <c r="AP31" s="5">
        <v>10</v>
      </c>
      <c r="AQ31" s="5">
        <v>20</v>
      </c>
      <c r="AR31" s="5">
        <v>20</v>
      </c>
      <c r="AS31" s="5">
        <v>30</v>
      </c>
      <c r="AT31" s="5">
        <v>10</v>
      </c>
      <c r="AU31" s="5">
        <v>30</v>
      </c>
      <c r="AV31" s="5">
        <v>30</v>
      </c>
      <c r="AW31" s="12">
        <v>4.49</v>
      </c>
      <c r="AX31" s="17" t="s">
        <v>16</v>
      </c>
      <c r="AY31" s="17"/>
      <c r="AZ31" s="17"/>
      <c r="BA31" s="18"/>
      <c r="BB31">
        <f t="shared" si="0"/>
        <v>4.49</v>
      </c>
      <c r="BC31">
        <f t="shared" si="1"/>
        <v>4.49</v>
      </c>
    </row>
    <row r="32" spans="1:55" ht="15.5">
      <c r="A32" s="9">
        <v>20</v>
      </c>
      <c r="B32" s="9">
        <v>20</v>
      </c>
      <c r="C32" s="9">
        <v>30</v>
      </c>
      <c r="D32" s="9">
        <v>30</v>
      </c>
      <c r="E32" s="9">
        <v>20</v>
      </c>
      <c r="F32" s="9">
        <v>20</v>
      </c>
      <c r="G32" s="9">
        <v>30</v>
      </c>
      <c r="H32" s="9">
        <v>30</v>
      </c>
      <c r="I32" s="9">
        <v>20</v>
      </c>
      <c r="J32" s="9">
        <v>30</v>
      </c>
      <c r="K32" s="9">
        <v>20</v>
      </c>
      <c r="L32" s="9">
        <v>30</v>
      </c>
      <c r="M32" s="9">
        <v>20</v>
      </c>
      <c r="N32" s="9">
        <v>20</v>
      </c>
      <c r="O32" s="9">
        <v>30</v>
      </c>
      <c r="P32" s="9">
        <v>30</v>
      </c>
      <c r="Q32" s="9">
        <v>30</v>
      </c>
      <c r="R32" s="9">
        <v>30</v>
      </c>
      <c r="S32" s="9">
        <v>20</v>
      </c>
      <c r="T32" s="9">
        <v>20</v>
      </c>
      <c r="U32" s="9">
        <v>30</v>
      </c>
      <c r="V32" s="9">
        <v>30</v>
      </c>
      <c r="W32" s="9">
        <v>20</v>
      </c>
      <c r="X32" s="9">
        <v>20</v>
      </c>
      <c r="Y32" s="9">
        <v>20</v>
      </c>
      <c r="Z32" s="9">
        <v>30</v>
      </c>
      <c r="AA32" s="9">
        <v>20</v>
      </c>
      <c r="AB32" s="9">
        <v>30</v>
      </c>
      <c r="AC32" s="9">
        <v>20</v>
      </c>
      <c r="AD32" s="9">
        <v>30</v>
      </c>
      <c r="AE32" s="9">
        <v>20</v>
      </c>
      <c r="AF32" s="9">
        <v>30</v>
      </c>
      <c r="AG32" s="9">
        <v>20</v>
      </c>
      <c r="AH32" s="9">
        <v>20</v>
      </c>
      <c r="AI32" s="9">
        <v>30</v>
      </c>
      <c r="AJ32" s="9">
        <v>30</v>
      </c>
      <c r="AK32" s="9">
        <v>20</v>
      </c>
      <c r="AL32" s="9">
        <v>20</v>
      </c>
      <c r="AM32" s="9">
        <v>30</v>
      </c>
      <c r="AN32" s="9">
        <v>30</v>
      </c>
      <c r="AO32" s="9">
        <v>30</v>
      </c>
      <c r="AP32" s="9">
        <v>20</v>
      </c>
      <c r="AQ32" s="9">
        <v>20</v>
      </c>
      <c r="AR32" s="9">
        <v>30</v>
      </c>
      <c r="AS32" s="9">
        <v>30</v>
      </c>
      <c r="AT32" s="9">
        <v>20</v>
      </c>
      <c r="AU32" s="9">
        <v>20</v>
      </c>
      <c r="AV32" s="9">
        <v>30</v>
      </c>
      <c r="AW32" s="14">
        <v>4.55</v>
      </c>
      <c r="AX32" s="14" t="s">
        <v>16</v>
      </c>
      <c r="AY32" s="19" t="s">
        <v>32</v>
      </c>
      <c r="AZ32" s="19"/>
      <c r="BA32" s="20"/>
      <c r="BB32">
        <f t="shared" si="0"/>
        <v>4.55</v>
      </c>
      <c r="BC32">
        <f t="shared" si="1"/>
        <v>4.55</v>
      </c>
    </row>
    <row r="33" spans="1:55" ht="15.5">
      <c r="A33" s="5">
        <v>25</v>
      </c>
      <c r="B33" s="5">
        <v>25</v>
      </c>
      <c r="C33" s="5">
        <v>25</v>
      </c>
      <c r="D33" s="5">
        <v>25</v>
      </c>
      <c r="E33" s="5">
        <v>25</v>
      </c>
      <c r="F33" s="5">
        <v>25</v>
      </c>
      <c r="G33" s="5">
        <v>25</v>
      </c>
      <c r="H33" s="5">
        <v>25</v>
      </c>
      <c r="I33" s="5">
        <v>25</v>
      </c>
      <c r="J33" s="5">
        <v>25</v>
      </c>
      <c r="K33" s="5">
        <v>25</v>
      </c>
      <c r="L33" s="5">
        <v>25</v>
      </c>
      <c r="M33" s="5">
        <v>25</v>
      </c>
      <c r="N33" s="5">
        <v>25</v>
      </c>
      <c r="O33" s="5">
        <v>25</v>
      </c>
      <c r="P33" s="5">
        <v>25</v>
      </c>
      <c r="Q33" s="5">
        <v>25</v>
      </c>
      <c r="R33" s="5">
        <v>25</v>
      </c>
      <c r="S33" s="5">
        <v>25</v>
      </c>
      <c r="T33" s="5">
        <v>25</v>
      </c>
      <c r="U33" s="5">
        <v>25</v>
      </c>
      <c r="V33" s="5">
        <v>25</v>
      </c>
      <c r="W33" s="5">
        <v>25</v>
      </c>
      <c r="X33" s="5">
        <v>25</v>
      </c>
      <c r="Y33" s="5">
        <v>25</v>
      </c>
      <c r="Z33" s="5">
        <v>25</v>
      </c>
      <c r="AA33" s="5">
        <v>25</v>
      </c>
      <c r="AB33" s="5">
        <v>25</v>
      </c>
      <c r="AC33" s="5">
        <v>25</v>
      </c>
      <c r="AD33" s="5">
        <v>25</v>
      </c>
      <c r="AE33" s="5">
        <v>25</v>
      </c>
      <c r="AF33" s="5">
        <v>25</v>
      </c>
      <c r="AG33" s="5">
        <v>25</v>
      </c>
      <c r="AH33" s="5">
        <v>25</v>
      </c>
      <c r="AI33" s="5">
        <v>25</v>
      </c>
      <c r="AJ33" s="5">
        <v>25</v>
      </c>
      <c r="AK33" s="5">
        <v>10</v>
      </c>
      <c r="AL33" s="5">
        <v>10</v>
      </c>
      <c r="AM33" s="5">
        <v>30</v>
      </c>
      <c r="AN33" s="5">
        <v>50</v>
      </c>
      <c r="AO33" s="5">
        <v>40</v>
      </c>
      <c r="AP33" s="5">
        <v>20</v>
      </c>
      <c r="AQ33" s="5">
        <v>20</v>
      </c>
      <c r="AR33" s="5">
        <v>20</v>
      </c>
      <c r="AS33" s="5">
        <v>10</v>
      </c>
      <c r="AT33" s="5">
        <v>30</v>
      </c>
      <c r="AU33" s="5">
        <v>30</v>
      </c>
      <c r="AV33" s="5">
        <v>30</v>
      </c>
      <c r="AW33" s="6">
        <v>4.1500000000000004</v>
      </c>
      <c r="AX33" s="7" t="s">
        <v>16</v>
      </c>
      <c r="AY33" s="21"/>
      <c r="AZ33" s="21"/>
      <c r="BA33" s="22"/>
      <c r="BB33">
        <f t="shared" si="0"/>
        <v>4.1500000000000004</v>
      </c>
      <c r="BC33">
        <f t="shared" si="1"/>
        <v>4.1500000000000004</v>
      </c>
    </row>
    <row r="34" spans="1:55" ht="15.5">
      <c r="A34" s="9">
        <v>30</v>
      </c>
      <c r="B34" s="9">
        <v>30</v>
      </c>
      <c r="C34" s="9">
        <v>20</v>
      </c>
      <c r="D34" s="9">
        <v>20</v>
      </c>
      <c r="E34" s="9">
        <v>30</v>
      </c>
      <c r="F34" s="9">
        <v>30</v>
      </c>
      <c r="G34" s="9">
        <v>20</v>
      </c>
      <c r="H34" s="9">
        <v>20</v>
      </c>
      <c r="I34" s="9">
        <v>30</v>
      </c>
      <c r="J34" s="9">
        <v>30</v>
      </c>
      <c r="K34" s="9">
        <v>20</v>
      </c>
      <c r="L34" s="9">
        <v>20</v>
      </c>
      <c r="M34" s="9">
        <v>30</v>
      </c>
      <c r="N34" s="9">
        <v>30</v>
      </c>
      <c r="O34" s="9">
        <v>20</v>
      </c>
      <c r="P34" s="9">
        <v>20</v>
      </c>
      <c r="Q34" s="9">
        <v>30</v>
      </c>
      <c r="R34" s="9">
        <v>30</v>
      </c>
      <c r="S34" s="9">
        <v>20</v>
      </c>
      <c r="T34" s="9">
        <v>20</v>
      </c>
      <c r="U34" s="9">
        <v>30</v>
      </c>
      <c r="V34" s="9">
        <v>30</v>
      </c>
      <c r="W34" s="9">
        <v>20</v>
      </c>
      <c r="X34" s="9">
        <v>20</v>
      </c>
      <c r="Y34" s="9">
        <v>20</v>
      </c>
      <c r="Z34" s="9">
        <v>20</v>
      </c>
      <c r="AA34" s="9">
        <v>30</v>
      </c>
      <c r="AB34" s="9">
        <v>30</v>
      </c>
      <c r="AC34" s="9">
        <v>30</v>
      </c>
      <c r="AD34" s="9">
        <v>30</v>
      </c>
      <c r="AE34" s="9">
        <v>20</v>
      </c>
      <c r="AF34" s="9">
        <v>20</v>
      </c>
      <c r="AG34" s="9">
        <v>20</v>
      </c>
      <c r="AH34" s="9">
        <v>20</v>
      </c>
      <c r="AI34" s="9">
        <v>30</v>
      </c>
      <c r="AJ34" s="9">
        <v>30</v>
      </c>
      <c r="AK34" s="9">
        <v>30</v>
      </c>
      <c r="AL34" s="9">
        <v>30</v>
      </c>
      <c r="AM34" s="9">
        <v>20</v>
      </c>
      <c r="AN34" s="9">
        <v>20</v>
      </c>
      <c r="AO34" s="9">
        <v>20</v>
      </c>
      <c r="AP34" s="9">
        <v>20</v>
      </c>
      <c r="AQ34" s="9">
        <v>30</v>
      </c>
      <c r="AR34" s="9">
        <v>30</v>
      </c>
      <c r="AS34" s="9">
        <v>30</v>
      </c>
      <c r="AT34" s="9">
        <v>20</v>
      </c>
      <c r="AU34" s="9">
        <v>30</v>
      </c>
      <c r="AV34" s="9">
        <v>20</v>
      </c>
      <c r="AW34" s="10">
        <v>4.1500000000000004</v>
      </c>
      <c r="AX34" s="15" t="s">
        <v>16</v>
      </c>
      <c r="AY34" s="19" t="s">
        <v>33</v>
      </c>
      <c r="AZ34" s="19"/>
      <c r="BA34" s="20"/>
      <c r="BB34">
        <f t="shared" si="0"/>
        <v>4.1500000000000004</v>
      </c>
      <c r="BC34">
        <f t="shared" si="1"/>
        <v>4.1500000000000004</v>
      </c>
    </row>
    <row r="35" spans="1:55" ht="15.5">
      <c r="A35" s="5">
        <v>40</v>
      </c>
      <c r="B35" s="5">
        <v>20</v>
      </c>
      <c r="C35" s="5">
        <v>20</v>
      </c>
      <c r="D35" s="5">
        <v>20</v>
      </c>
      <c r="E35" s="5">
        <v>20</v>
      </c>
      <c r="F35" s="5">
        <v>20</v>
      </c>
      <c r="G35" s="5">
        <v>30</v>
      </c>
      <c r="H35" s="5">
        <v>30</v>
      </c>
      <c r="I35" s="5">
        <v>40</v>
      </c>
      <c r="J35" s="5">
        <v>20</v>
      </c>
      <c r="K35" s="5">
        <v>20</v>
      </c>
      <c r="L35" s="5">
        <v>20</v>
      </c>
      <c r="M35" s="5">
        <v>30</v>
      </c>
      <c r="N35" s="5">
        <v>20</v>
      </c>
      <c r="O35" s="5">
        <v>20</v>
      </c>
      <c r="P35" s="5">
        <v>30</v>
      </c>
      <c r="Q35" s="5">
        <v>20</v>
      </c>
      <c r="R35" s="5">
        <v>20</v>
      </c>
      <c r="S35" s="5">
        <v>10</v>
      </c>
      <c r="T35" s="5">
        <v>50</v>
      </c>
      <c r="U35" s="5">
        <v>20</v>
      </c>
      <c r="V35" s="5">
        <v>20</v>
      </c>
      <c r="W35" s="5">
        <v>30</v>
      </c>
      <c r="X35" s="5">
        <v>30</v>
      </c>
      <c r="Y35" s="5">
        <v>30</v>
      </c>
      <c r="Z35" s="5">
        <v>30</v>
      </c>
      <c r="AA35" s="5">
        <v>20</v>
      </c>
      <c r="AB35" s="5">
        <v>20</v>
      </c>
      <c r="AC35" s="5">
        <v>20</v>
      </c>
      <c r="AD35" s="5">
        <v>20</v>
      </c>
      <c r="AE35" s="5">
        <v>20</v>
      </c>
      <c r="AF35" s="5">
        <v>40</v>
      </c>
      <c r="AG35" s="5">
        <v>20</v>
      </c>
      <c r="AH35" s="5">
        <v>20</v>
      </c>
      <c r="AI35" s="5">
        <v>30</v>
      </c>
      <c r="AJ35" s="5">
        <v>30</v>
      </c>
      <c r="AK35" s="5">
        <v>10</v>
      </c>
      <c r="AL35" s="5">
        <v>20</v>
      </c>
      <c r="AM35" s="5">
        <v>30</v>
      </c>
      <c r="AN35" s="5">
        <v>40</v>
      </c>
      <c r="AO35" s="5">
        <v>20</v>
      </c>
      <c r="AP35" s="5">
        <v>10</v>
      </c>
      <c r="AQ35" s="5">
        <v>30</v>
      </c>
      <c r="AR35" s="5">
        <v>40</v>
      </c>
      <c r="AS35" s="5">
        <v>30</v>
      </c>
      <c r="AT35" s="5">
        <v>20</v>
      </c>
      <c r="AU35" s="5">
        <v>20</v>
      </c>
      <c r="AV35" s="5">
        <v>30</v>
      </c>
      <c r="AW35" s="6">
        <v>4.8600000000000003</v>
      </c>
      <c r="AX35" s="6" t="s">
        <v>16</v>
      </c>
      <c r="AY35" s="21"/>
      <c r="AZ35" s="21"/>
      <c r="BA35" s="22"/>
      <c r="BB35">
        <f t="shared" si="0"/>
        <v>4.8600000000000003</v>
      </c>
      <c r="BC35">
        <f t="shared" si="1"/>
        <v>4.8600000000000003</v>
      </c>
    </row>
    <row r="36" spans="1:55" ht="15.5">
      <c r="A36" s="9">
        <v>20</v>
      </c>
      <c r="B36" s="9">
        <v>20</v>
      </c>
      <c r="C36" s="9">
        <v>30</v>
      </c>
      <c r="D36" s="9">
        <v>30</v>
      </c>
      <c r="E36" s="9">
        <v>20</v>
      </c>
      <c r="F36" s="9">
        <v>30</v>
      </c>
      <c r="G36" s="9">
        <v>30</v>
      </c>
      <c r="H36" s="9">
        <v>20</v>
      </c>
      <c r="I36" s="9">
        <v>30</v>
      </c>
      <c r="J36" s="9">
        <v>10</v>
      </c>
      <c r="K36" s="9">
        <v>30</v>
      </c>
      <c r="L36" s="9">
        <v>30</v>
      </c>
      <c r="M36" s="9">
        <v>10</v>
      </c>
      <c r="N36" s="9">
        <v>30</v>
      </c>
      <c r="O36" s="9">
        <v>30</v>
      </c>
      <c r="P36" s="9">
        <v>30</v>
      </c>
      <c r="Q36" s="9">
        <v>10</v>
      </c>
      <c r="R36" s="9">
        <v>30</v>
      </c>
      <c r="S36" s="9">
        <v>30</v>
      </c>
      <c r="T36" s="9">
        <v>30</v>
      </c>
      <c r="U36" s="9">
        <v>15</v>
      </c>
      <c r="V36" s="9">
        <v>25</v>
      </c>
      <c r="W36" s="9">
        <v>25</v>
      </c>
      <c r="X36" s="9">
        <v>35</v>
      </c>
      <c r="Y36" s="9">
        <v>10</v>
      </c>
      <c r="Z36" s="9">
        <v>30</v>
      </c>
      <c r="AA36" s="9">
        <v>30</v>
      </c>
      <c r="AB36" s="9">
        <v>30</v>
      </c>
      <c r="AC36" s="9">
        <v>25</v>
      </c>
      <c r="AD36" s="9">
        <v>25</v>
      </c>
      <c r="AE36" s="9">
        <v>25</v>
      </c>
      <c r="AF36" s="9">
        <v>25</v>
      </c>
      <c r="AG36" s="9">
        <v>25</v>
      </c>
      <c r="AH36" s="9">
        <v>25</v>
      </c>
      <c r="AI36" s="9">
        <v>25</v>
      </c>
      <c r="AJ36" s="9">
        <v>25</v>
      </c>
      <c r="AK36" s="9">
        <v>30</v>
      </c>
      <c r="AL36" s="9">
        <v>30</v>
      </c>
      <c r="AM36" s="9">
        <v>10</v>
      </c>
      <c r="AN36" s="9">
        <v>30</v>
      </c>
      <c r="AO36" s="9">
        <v>10</v>
      </c>
      <c r="AP36" s="9">
        <v>30</v>
      </c>
      <c r="AQ36" s="9">
        <v>30</v>
      </c>
      <c r="AR36" s="9">
        <v>30</v>
      </c>
      <c r="AS36" s="9">
        <v>10</v>
      </c>
      <c r="AT36" s="9">
        <v>30</v>
      </c>
      <c r="AU36" s="9">
        <v>30</v>
      </c>
      <c r="AV36" s="9">
        <v>30</v>
      </c>
      <c r="AW36" s="10">
        <v>4.1500000000000004</v>
      </c>
      <c r="AX36" s="15" t="s">
        <v>16</v>
      </c>
      <c r="AY36" s="19"/>
      <c r="AZ36" s="19"/>
      <c r="BA36" s="20"/>
      <c r="BB36">
        <f t="shared" si="0"/>
        <v>4.1500000000000004</v>
      </c>
      <c r="BC36">
        <f t="shared" si="1"/>
        <v>4.1500000000000004</v>
      </c>
    </row>
    <row r="37" spans="1:55" ht="15.5">
      <c r="A37" s="5">
        <v>40</v>
      </c>
      <c r="B37" s="5">
        <v>30</v>
      </c>
      <c r="C37" s="5">
        <v>10</v>
      </c>
      <c r="D37" s="5">
        <v>20</v>
      </c>
      <c r="E37" s="5">
        <v>40</v>
      </c>
      <c r="F37" s="5">
        <v>20</v>
      </c>
      <c r="G37" s="5">
        <v>10</v>
      </c>
      <c r="H37" s="5">
        <v>30</v>
      </c>
      <c r="I37" s="5">
        <v>20</v>
      </c>
      <c r="J37" s="5">
        <v>10</v>
      </c>
      <c r="K37" s="5">
        <v>30</v>
      </c>
      <c r="L37" s="5">
        <v>40</v>
      </c>
      <c r="M37" s="5">
        <v>20</v>
      </c>
      <c r="N37" s="5">
        <v>10</v>
      </c>
      <c r="O37" s="5">
        <v>30</v>
      </c>
      <c r="P37" s="5">
        <v>40</v>
      </c>
      <c r="Q37" s="5">
        <v>10</v>
      </c>
      <c r="R37" s="5">
        <v>30</v>
      </c>
      <c r="S37" s="5">
        <v>20</v>
      </c>
      <c r="T37" s="5">
        <v>40</v>
      </c>
      <c r="U37" s="5">
        <v>10</v>
      </c>
      <c r="V37" s="5">
        <v>20</v>
      </c>
      <c r="W37" s="5">
        <v>30</v>
      </c>
      <c r="X37" s="5">
        <v>40</v>
      </c>
      <c r="Y37" s="5">
        <v>20</v>
      </c>
      <c r="Z37" s="5">
        <v>20</v>
      </c>
      <c r="AA37" s="5">
        <v>30</v>
      </c>
      <c r="AB37" s="5">
        <v>30</v>
      </c>
      <c r="AC37" s="5">
        <v>20</v>
      </c>
      <c r="AD37" s="5">
        <v>20</v>
      </c>
      <c r="AE37" s="5">
        <v>20</v>
      </c>
      <c r="AF37" s="5">
        <v>40</v>
      </c>
      <c r="AG37" s="5">
        <v>40</v>
      </c>
      <c r="AH37" s="5">
        <v>30</v>
      </c>
      <c r="AI37" s="5">
        <v>10</v>
      </c>
      <c r="AJ37" s="5">
        <v>20</v>
      </c>
      <c r="AK37" s="5">
        <v>40</v>
      </c>
      <c r="AL37" s="5">
        <v>20</v>
      </c>
      <c r="AM37" s="5">
        <v>30</v>
      </c>
      <c r="AN37" s="5">
        <v>10</v>
      </c>
      <c r="AO37" s="5">
        <v>20</v>
      </c>
      <c r="AP37" s="5">
        <v>20</v>
      </c>
      <c r="AQ37" s="5">
        <v>30</v>
      </c>
      <c r="AR37" s="5">
        <v>30</v>
      </c>
      <c r="AS37" s="5">
        <v>30</v>
      </c>
      <c r="AT37" s="5">
        <v>30</v>
      </c>
      <c r="AU37" s="5">
        <v>20</v>
      </c>
      <c r="AV37" s="5">
        <v>20</v>
      </c>
      <c r="AW37" s="17"/>
      <c r="AX37" s="17"/>
      <c r="AY37" s="6">
        <v>3.74</v>
      </c>
      <c r="AZ37" s="6" t="s">
        <v>26</v>
      </c>
      <c r="BA37" s="30"/>
      <c r="BB37">
        <f t="shared" si="0"/>
        <v>0</v>
      </c>
      <c r="BC37">
        <f t="shared" si="1"/>
        <v>3.74</v>
      </c>
    </row>
    <row r="38" spans="1:55" ht="15.5">
      <c r="A38" s="9">
        <v>30</v>
      </c>
      <c r="B38" s="9">
        <v>20</v>
      </c>
      <c r="C38" s="9">
        <v>30</v>
      </c>
      <c r="D38" s="9">
        <v>20</v>
      </c>
      <c r="E38" s="9">
        <v>30</v>
      </c>
      <c r="F38" s="9">
        <v>30</v>
      </c>
      <c r="G38" s="9">
        <v>20</v>
      </c>
      <c r="H38" s="9">
        <v>20</v>
      </c>
      <c r="I38" s="9">
        <v>30</v>
      </c>
      <c r="J38" s="9">
        <v>20</v>
      </c>
      <c r="K38" s="9">
        <v>20</v>
      </c>
      <c r="L38" s="9">
        <v>30</v>
      </c>
      <c r="M38" s="9">
        <v>20</v>
      </c>
      <c r="N38" s="9">
        <v>20</v>
      </c>
      <c r="O38" s="9">
        <v>20</v>
      </c>
      <c r="P38" s="9">
        <v>40</v>
      </c>
      <c r="Q38" s="9">
        <v>30</v>
      </c>
      <c r="R38" s="9">
        <v>30</v>
      </c>
      <c r="S38" s="9">
        <v>20</v>
      </c>
      <c r="T38" s="9">
        <v>20</v>
      </c>
      <c r="U38" s="9">
        <v>30</v>
      </c>
      <c r="V38" s="9">
        <v>30</v>
      </c>
      <c r="W38" s="9">
        <v>20</v>
      </c>
      <c r="X38" s="9">
        <v>20</v>
      </c>
      <c r="Y38" s="9">
        <v>30</v>
      </c>
      <c r="Z38" s="9">
        <v>20</v>
      </c>
      <c r="AA38" s="9">
        <v>30</v>
      </c>
      <c r="AB38" s="9">
        <v>20</v>
      </c>
      <c r="AC38" s="9">
        <v>30</v>
      </c>
      <c r="AD38" s="9">
        <v>30</v>
      </c>
      <c r="AE38" s="9">
        <v>20</v>
      </c>
      <c r="AF38" s="9">
        <v>20</v>
      </c>
      <c r="AG38" s="9">
        <v>20</v>
      </c>
      <c r="AH38" s="9">
        <v>20</v>
      </c>
      <c r="AI38" s="9">
        <v>30</v>
      </c>
      <c r="AJ38" s="9">
        <v>30</v>
      </c>
      <c r="AK38" s="9">
        <v>20</v>
      </c>
      <c r="AL38" s="9">
        <v>30</v>
      </c>
      <c r="AM38" s="9">
        <v>30</v>
      </c>
      <c r="AN38" s="9">
        <v>20</v>
      </c>
      <c r="AO38" s="9">
        <v>30</v>
      </c>
      <c r="AP38" s="9">
        <v>30</v>
      </c>
      <c r="AQ38" s="9">
        <v>20</v>
      </c>
      <c r="AR38" s="9">
        <v>20</v>
      </c>
      <c r="AS38" s="9">
        <v>20</v>
      </c>
      <c r="AT38" s="9">
        <v>20</v>
      </c>
      <c r="AU38" s="9">
        <v>30</v>
      </c>
      <c r="AV38" s="9">
        <v>30</v>
      </c>
      <c r="AW38" s="23"/>
      <c r="AX38" s="23"/>
      <c r="AY38" s="10">
        <v>3.94</v>
      </c>
      <c r="AZ38" s="10" t="s">
        <v>26</v>
      </c>
      <c r="BA38" s="11"/>
      <c r="BB38">
        <f t="shared" si="0"/>
        <v>0</v>
      </c>
      <c r="BC38">
        <f t="shared" si="1"/>
        <v>3.94</v>
      </c>
    </row>
    <row r="39" spans="1:55" ht="15.5">
      <c r="A39" s="5">
        <v>20</v>
      </c>
      <c r="B39" s="5">
        <v>30</v>
      </c>
      <c r="C39" s="5">
        <v>20</v>
      </c>
      <c r="D39" s="5">
        <v>30</v>
      </c>
      <c r="E39" s="5">
        <v>20</v>
      </c>
      <c r="F39" s="5">
        <v>30</v>
      </c>
      <c r="G39" s="5">
        <v>20</v>
      </c>
      <c r="H39" s="5">
        <v>30</v>
      </c>
      <c r="I39" s="5">
        <v>20</v>
      </c>
      <c r="J39" s="5">
        <v>30</v>
      </c>
      <c r="K39" s="5">
        <v>20</v>
      </c>
      <c r="L39" s="5">
        <v>30</v>
      </c>
      <c r="M39" s="5">
        <v>20</v>
      </c>
      <c r="N39" s="5">
        <v>30</v>
      </c>
      <c r="O39" s="5">
        <v>20</v>
      </c>
      <c r="P39" s="5">
        <v>30</v>
      </c>
      <c r="Q39" s="5">
        <v>30</v>
      </c>
      <c r="R39" s="5">
        <v>20</v>
      </c>
      <c r="S39" s="5">
        <v>30</v>
      </c>
      <c r="T39" s="5">
        <v>20</v>
      </c>
      <c r="U39" s="5">
        <v>20</v>
      </c>
      <c r="V39" s="5">
        <v>30</v>
      </c>
      <c r="W39" s="5">
        <v>20</v>
      </c>
      <c r="X39" s="5">
        <v>30</v>
      </c>
      <c r="Y39" s="5">
        <v>30</v>
      </c>
      <c r="Z39" s="5">
        <v>20</v>
      </c>
      <c r="AA39" s="5">
        <v>30</v>
      </c>
      <c r="AB39" s="5">
        <v>20</v>
      </c>
      <c r="AC39" s="5">
        <v>30</v>
      </c>
      <c r="AD39" s="5">
        <v>20</v>
      </c>
      <c r="AE39" s="5">
        <v>30</v>
      </c>
      <c r="AF39" s="5">
        <v>20</v>
      </c>
      <c r="AG39" s="5">
        <v>30</v>
      </c>
      <c r="AH39" s="5">
        <v>20</v>
      </c>
      <c r="AI39" s="5">
        <v>30</v>
      </c>
      <c r="AJ39" s="5">
        <v>20</v>
      </c>
      <c r="AK39" s="5">
        <v>30</v>
      </c>
      <c r="AL39" s="5">
        <v>20</v>
      </c>
      <c r="AM39" s="5">
        <v>30</v>
      </c>
      <c r="AN39" s="5">
        <v>20</v>
      </c>
      <c r="AO39" s="5">
        <v>20</v>
      </c>
      <c r="AP39" s="5">
        <v>30</v>
      </c>
      <c r="AQ39" s="5">
        <v>20</v>
      </c>
      <c r="AR39" s="5">
        <v>30</v>
      </c>
      <c r="AS39" s="5">
        <v>30</v>
      </c>
      <c r="AT39" s="5">
        <v>20</v>
      </c>
      <c r="AU39" s="5">
        <v>30</v>
      </c>
      <c r="AV39" s="5">
        <v>20</v>
      </c>
      <c r="AW39" s="6">
        <v>4.3499999999999996</v>
      </c>
      <c r="AX39" s="7" t="s">
        <v>16</v>
      </c>
      <c r="AY39" s="21" t="s">
        <v>34</v>
      </c>
      <c r="AZ39" s="21"/>
      <c r="BA39" s="22"/>
      <c r="BB39">
        <f t="shared" si="0"/>
        <v>4.3499999999999996</v>
      </c>
      <c r="BC39">
        <f t="shared" si="1"/>
        <v>4.3499999999999996</v>
      </c>
    </row>
    <row r="40" spans="1:55" ht="15.5">
      <c r="A40" s="9">
        <v>30</v>
      </c>
      <c r="B40" s="9">
        <v>30</v>
      </c>
      <c r="C40" s="9">
        <v>20</v>
      </c>
      <c r="D40" s="9">
        <v>20</v>
      </c>
      <c r="E40" s="9">
        <v>25</v>
      </c>
      <c r="F40" s="9">
        <v>25</v>
      </c>
      <c r="G40" s="9">
        <v>25</v>
      </c>
      <c r="H40" s="9">
        <v>25</v>
      </c>
      <c r="I40" s="9">
        <v>25</v>
      </c>
      <c r="J40" s="9">
        <v>25</v>
      </c>
      <c r="K40" s="9">
        <v>25</v>
      </c>
      <c r="L40" s="9">
        <v>25</v>
      </c>
      <c r="M40" s="9">
        <v>25</v>
      </c>
      <c r="N40" s="9">
        <v>25</v>
      </c>
      <c r="O40" s="9">
        <v>25</v>
      </c>
      <c r="P40" s="9">
        <v>25</v>
      </c>
      <c r="Q40" s="9">
        <v>25</v>
      </c>
      <c r="R40" s="9">
        <v>25</v>
      </c>
      <c r="S40" s="9">
        <v>25</v>
      </c>
      <c r="T40" s="9">
        <v>25</v>
      </c>
      <c r="U40" s="9">
        <v>25</v>
      </c>
      <c r="V40" s="9">
        <v>25</v>
      </c>
      <c r="W40" s="9">
        <v>25</v>
      </c>
      <c r="X40" s="9">
        <v>25</v>
      </c>
      <c r="Y40" s="9">
        <v>25</v>
      </c>
      <c r="Z40" s="9">
        <v>25</v>
      </c>
      <c r="AA40" s="9">
        <v>25</v>
      </c>
      <c r="AB40" s="9">
        <v>25</v>
      </c>
      <c r="AC40" s="9">
        <v>25</v>
      </c>
      <c r="AD40" s="9">
        <v>25</v>
      </c>
      <c r="AE40" s="9">
        <v>25</v>
      </c>
      <c r="AF40" s="9">
        <v>25</v>
      </c>
      <c r="AG40" s="9">
        <v>25</v>
      </c>
      <c r="AH40" s="9">
        <v>25</v>
      </c>
      <c r="AI40" s="9">
        <v>25</v>
      </c>
      <c r="AJ40" s="9">
        <v>25</v>
      </c>
      <c r="AK40" s="9">
        <v>25</v>
      </c>
      <c r="AL40" s="9">
        <v>25</v>
      </c>
      <c r="AM40" s="9">
        <v>25</v>
      </c>
      <c r="AN40" s="9">
        <v>25</v>
      </c>
      <c r="AO40" s="9">
        <v>25</v>
      </c>
      <c r="AP40" s="9">
        <v>25</v>
      </c>
      <c r="AQ40" s="9">
        <v>25</v>
      </c>
      <c r="AR40" s="9">
        <v>25</v>
      </c>
      <c r="AS40" s="9">
        <v>25</v>
      </c>
      <c r="AT40" s="9">
        <v>25</v>
      </c>
      <c r="AU40" s="9">
        <v>25</v>
      </c>
      <c r="AV40" s="9">
        <v>25</v>
      </c>
      <c r="AW40" s="10">
        <v>4.8</v>
      </c>
      <c r="AX40" s="15" t="s">
        <v>16</v>
      </c>
      <c r="AY40" s="19"/>
      <c r="AZ40" s="19"/>
      <c r="BA40" s="20"/>
      <c r="BB40">
        <f t="shared" si="0"/>
        <v>4.8</v>
      </c>
      <c r="BC40">
        <f t="shared" si="1"/>
        <v>4.8</v>
      </c>
    </row>
    <row r="41" spans="1:55" ht="15.5">
      <c r="A41" s="5">
        <v>10</v>
      </c>
      <c r="B41" s="5">
        <v>30</v>
      </c>
      <c r="C41" s="5">
        <v>30</v>
      </c>
      <c r="D41" s="5">
        <v>30</v>
      </c>
      <c r="E41" s="5">
        <v>25</v>
      </c>
      <c r="F41" s="5">
        <v>25</v>
      </c>
      <c r="G41" s="5">
        <v>25</v>
      </c>
      <c r="H41" s="5">
        <v>25</v>
      </c>
      <c r="I41" s="5">
        <v>25</v>
      </c>
      <c r="J41" s="5">
        <v>25</v>
      </c>
      <c r="K41" s="5">
        <v>25</v>
      </c>
      <c r="L41" s="5">
        <v>25</v>
      </c>
      <c r="M41" s="5">
        <v>25</v>
      </c>
      <c r="N41" s="5">
        <v>25</v>
      </c>
      <c r="O41" s="5">
        <v>25</v>
      </c>
      <c r="P41" s="5">
        <v>25</v>
      </c>
      <c r="Q41" s="5">
        <v>25</v>
      </c>
      <c r="R41" s="5">
        <v>25</v>
      </c>
      <c r="S41" s="5">
        <v>25</v>
      </c>
      <c r="T41" s="5">
        <v>25</v>
      </c>
      <c r="U41" s="5">
        <v>25</v>
      </c>
      <c r="V41" s="5">
        <v>25</v>
      </c>
      <c r="W41" s="5">
        <v>25</v>
      </c>
      <c r="X41" s="5">
        <v>25</v>
      </c>
      <c r="Y41" s="5">
        <v>25</v>
      </c>
      <c r="Z41" s="5">
        <v>25</v>
      </c>
      <c r="AA41" s="5">
        <v>25</v>
      </c>
      <c r="AB41" s="5">
        <v>25</v>
      </c>
      <c r="AC41" s="5">
        <v>25</v>
      </c>
      <c r="AD41" s="5">
        <v>25</v>
      </c>
      <c r="AE41" s="5">
        <v>25</v>
      </c>
      <c r="AF41" s="5">
        <v>25</v>
      </c>
      <c r="AG41" s="5">
        <v>25</v>
      </c>
      <c r="AH41" s="5">
        <v>25</v>
      </c>
      <c r="AI41" s="5">
        <v>25</v>
      </c>
      <c r="AJ41" s="5">
        <v>25</v>
      </c>
      <c r="AK41" s="5">
        <v>25</v>
      </c>
      <c r="AL41" s="5">
        <v>25</v>
      </c>
      <c r="AM41" s="5">
        <v>25</v>
      </c>
      <c r="AN41" s="5">
        <v>25</v>
      </c>
      <c r="AO41" s="5">
        <v>25</v>
      </c>
      <c r="AP41" s="5">
        <v>25</v>
      </c>
      <c r="AQ41" s="5">
        <v>25</v>
      </c>
      <c r="AR41" s="5">
        <v>25</v>
      </c>
      <c r="AS41" s="5">
        <v>25</v>
      </c>
      <c r="AT41" s="5">
        <v>25</v>
      </c>
      <c r="AU41" s="5">
        <v>25</v>
      </c>
      <c r="AV41" s="5">
        <v>25</v>
      </c>
      <c r="AW41" s="6">
        <v>4.8</v>
      </c>
      <c r="AX41" s="7" t="s">
        <v>16</v>
      </c>
      <c r="AY41" s="21"/>
      <c r="AZ41" s="21"/>
      <c r="BA41" s="22"/>
      <c r="BB41">
        <f t="shared" si="0"/>
        <v>4.8</v>
      </c>
      <c r="BC41">
        <f t="shared" si="1"/>
        <v>4.8</v>
      </c>
    </row>
    <row r="42" spans="1:55" ht="15.5">
      <c r="A42" s="9">
        <v>40</v>
      </c>
      <c r="B42" s="9">
        <v>30</v>
      </c>
      <c r="C42" s="9">
        <v>20</v>
      </c>
      <c r="D42" s="9">
        <v>10</v>
      </c>
      <c r="E42" s="9">
        <v>40</v>
      </c>
      <c r="F42" s="9">
        <v>30</v>
      </c>
      <c r="G42" s="9">
        <v>20</v>
      </c>
      <c r="H42" s="9">
        <v>10</v>
      </c>
      <c r="I42" s="9">
        <v>40</v>
      </c>
      <c r="J42" s="9">
        <v>30</v>
      </c>
      <c r="K42" s="9">
        <v>20</v>
      </c>
      <c r="L42" s="9">
        <v>10</v>
      </c>
      <c r="M42" s="9">
        <v>40</v>
      </c>
      <c r="N42" s="9">
        <v>30</v>
      </c>
      <c r="O42" s="9">
        <v>20</v>
      </c>
      <c r="P42" s="9">
        <v>10</v>
      </c>
      <c r="Q42" s="9">
        <v>40</v>
      </c>
      <c r="R42" s="9">
        <v>30</v>
      </c>
      <c r="S42" s="9">
        <v>20</v>
      </c>
      <c r="T42" s="9">
        <v>10</v>
      </c>
      <c r="U42" s="9">
        <v>40</v>
      </c>
      <c r="V42" s="9">
        <v>30</v>
      </c>
      <c r="W42" s="9">
        <v>20</v>
      </c>
      <c r="X42" s="9">
        <v>10</v>
      </c>
      <c r="Y42" s="9">
        <v>40</v>
      </c>
      <c r="Z42" s="9">
        <v>30</v>
      </c>
      <c r="AA42" s="9">
        <v>20</v>
      </c>
      <c r="AB42" s="9">
        <v>10</v>
      </c>
      <c r="AC42" s="9">
        <v>40</v>
      </c>
      <c r="AD42" s="9">
        <v>30</v>
      </c>
      <c r="AE42" s="9">
        <v>20</v>
      </c>
      <c r="AF42" s="9">
        <v>10</v>
      </c>
      <c r="AG42" s="9">
        <v>40</v>
      </c>
      <c r="AH42" s="9">
        <v>30</v>
      </c>
      <c r="AI42" s="9">
        <v>20</v>
      </c>
      <c r="AJ42" s="9">
        <v>10</v>
      </c>
      <c r="AK42" s="9">
        <v>40</v>
      </c>
      <c r="AL42" s="9">
        <v>30</v>
      </c>
      <c r="AM42" s="9">
        <v>20</v>
      </c>
      <c r="AN42" s="9">
        <v>10</v>
      </c>
      <c r="AO42" s="9">
        <v>40</v>
      </c>
      <c r="AP42" s="9">
        <v>30</v>
      </c>
      <c r="AQ42" s="9">
        <v>20</v>
      </c>
      <c r="AR42" s="9">
        <v>10</v>
      </c>
      <c r="AS42" s="9">
        <v>40</v>
      </c>
      <c r="AT42" s="9">
        <v>30</v>
      </c>
      <c r="AU42" s="9">
        <v>20</v>
      </c>
      <c r="AV42" s="9">
        <v>10</v>
      </c>
      <c r="AW42" s="10">
        <v>4.95</v>
      </c>
      <c r="AX42" s="10" t="s">
        <v>16</v>
      </c>
      <c r="AY42" s="19"/>
      <c r="AZ42" s="19"/>
      <c r="BA42" s="20"/>
      <c r="BB42">
        <f t="shared" si="0"/>
        <v>4.95</v>
      </c>
      <c r="BC42">
        <f t="shared" si="1"/>
        <v>4.95</v>
      </c>
    </row>
    <row r="43" spans="1:55" ht="15.5">
      <c r="A43" s="5">
        <v>30</v>
      </c>
      <c r="B43" s="5">
        <v>30</v>
      </c>
      <c r="C43" s="5">
        <v>20</v>
      </c>
      <c r="D43" s="5">
        <v>20</v>
      </c>
      <c r="E43" s="5">
        <v>20</v>
      </c>
      <c r="F43" s="5">
        <v>20</v>
      </c>
      <c r="G43" s="5">
        <v>30</v>
      </c>
      <c r="H43" s="5">
        <v>30</v>
      </c>
      <c r="I43" s="5">
        <v>20</v>
      </c>
      <c r="J43" s="5">
        <v>20</v>
      </c>
      <c r="K43" s="5">
        <v>30</v>
      </c>
      <c r="L43" s="5">
        <v>30</v>
      </c>
      <c r="M43" s="5">
        <v>20</v>
      </c>
      <c r="N43" s="5">
        <v>20</v>
      </c>
      <c r="O43" s="5">
        <v>20</v>
      </c>
      <c r="P43" s="5">
        <v>40</v>
      </c>
      <c r="Q43" s="5">
        <v>20</v>
      </c>
      <c r="R43" s="5">
        <v>20</v>
      </c>
      <c r="S43" s="5">
        <v>30</v>
      </c>
      <c r="T43" s="5">
        <v>30</v>
      </c>
      <c r="U43" s="5">
        <v>30</v>
      </c>
      <c r="V43" s="5">
        <v>30</v>
      </c>
      <c r="W43" s="5">
        <v>20</v>
      </c>
      <c r="X43" s="5">
        <v>20</v>
      </c>
      <c r="Y43" s="5">
        <v>20</v>
      </c>
      <c r="Z43" s="5">
        <v>20</v>
      </c>
      <c r="AA43" s="5">
        <v>40</v>
      </c>
      <c r="AB43" s="5">
        <v>20</v>
      </c>
      <c r="AC43" s="5">
        <v>30</v>
      </c>
      <c r="AD43" s="5">
        <v>30</v>
      </c>
      <c r="AE43" s="5">
        <v>20</v>
      </c>
      <c r="AF43" s="5">
        <v>20</v>
      </c>
      <c r="AG43" s="5">
        <v>30</v>
      </c>
      <c r="AH43" s="5">
        <v>30</v>
      </c>
      <c r="AI43" s="5">
        <v>20</v>
      </c>
      <c r="AJ43" s="5">
        <v>20</v>
      </c>
      <c r="AK43" s="5">
        <v>20</v>
      </c>
      <c r="AL43" s="5">
        <v>20</v>
      </c>
      <c r="AM43" s="5">
        <v>20</v>
      </c>
      <c r="AN43" s="5">
        <v>40</v>
      </c>
      <c r="AO43" s="5">
        <v>30</v>
      </c>
      <c r="AP43" s="5">
        <v>30</v>
      </c>
      <c r="AQ43" s="5">
        <v>20</v>
      </c>
      <c r="AR43" s="5">
        <v>20</v>
      </c>
      <c r="AS43" s="5">
        <v>20</v>
      </c>
      <c r="AT43" s="5">
        <v>20</v>
      </c>
      <c r="AU43" s="5">
        <v>30</v>
      </c>
      <c r="AV43" s="5">
        <v>30</v>
      </c>
      <c r="AW43" s="28"/>
      <c r="AX43" s="28"/>
      <c r="AY43" s="6">
        <v>4.05</v>
      </c>
      <c r="AZ43" s="12" t="s">
        <v>16</v>
      </c>
      <c r="BA43" s="13"/>
      <c r="BB43">
        <f t="shared" si="0"/>
        <v>0</v>
      </c>
      <c r="BC43">
        <f t="shared" si="1"/>
        <v>4.05</v>
      </c>
    </row>
    <row r="44" spans="1:55" ht="15.5">
      <c r="A44" s="9">
        <v>40</v>
      </c>
      <c r="B44" s="9">
        <v>20</v>
      </c>
      <c r="C44" s="9">
        <v>20</v>
      </c>
      <c r="D44" s="9">
        <v>20</v>
      </c>
      <c r="E44" s="9">
        <v>40</v>
      </c>
      <c r="F44" s="9">
        <v>20</v>
      </c>
      <c r="G44" s="9">
        <v>20</v>
      </c>
      <c r="H44" s="9">
        <v>20</v>
      </c>
      <c r="I44" s="9">
        <v>50</v>
      </c>
      <c r="J44" s="9">
        <v>30</v>
      </c>
      <c r="K44" s="9">
        <v>10</v>
      </c>
      <c r="L44" s="9">
        <v>10</v>
      </c>
      <c r="M44" s="9">
        <v>40</v>
      </c>
      <c r="N44" s="9">
        <v>20</v>
      </c>
      <c r="O44" s="9">
        <v>20</v>
      </c>
      <c r="P44" s="9">
        <v>20</v>
      </c>
      <c r="Q44" s="9">
        <v>50</v>
      </c>
      <c r="R44" s="9">
        <v>30</v>
      </c>
      <c r="S44" s="9">
        <v>10</v>
      </c>
      <c r="T44" s="9">
        <v>10</v>
      </c>
      <c r="U44" s="9">
        <v>40</v>
      </c>
      <c r="V44" s="9">
        <v>20</v>
      </c>
      <c r="W44" s="9">
        <v>20</v>
      </c>
      <c r="X44" s="9">
        <v>20</v>
      </c>
      <c r="Y44" s="9">
        <v>40</v>
      </c>
      <c r="Z44" s="9">
        <v>30</v>
      </c>
      <c r="AA44" s="9">
        <v>15</v>
      </c>
      <c r="AB44" s="9">
        <v>15</v>
      </c>
      <c r="AC44" s="9">
        <v>50</v>
      </c>
      <c r="AD44" s="9">
        <v>30</v>
      </c>
      <c r="AE44" s="9">
        <v>10</v>
      </c>
      <c r="AF44" s="9">
        <v>10</v>
      </c>
      <c r="AG44" s="9">
        <v>50</v>
      </c>
      <c r="AH44" s="9">
        <v>30</v>
      </c>
      <c r="AI44" s="9">
        <v>10</v>
      </c>
      <c r="AJ44" s="9">
        <v>10</v>
      </c>
      <c r="AK44" s="9">
        <v>50</v>
      </c>
      <c r="AL44" s="9">
        <v>30</v>
      </c>
      <c r="AM44" s="9">
        <v>10</v>
      </c>
      <c r="AN44" s="9">
        <v>10</v>
      </c>
      <c r="AO44" s="9">
        <v>50</v>
      </c>
      <c r="AP44" s="9">
        <v>30</v>
      </c>
      <c r="AQ44" s="9">
        <v>10</v>
      </c>
      <c r="AR44" s="9">
        <v>10</v>
      </c>
      <c r="AS44" s="9">
        <v>40</v>
      </c>
      <c r="AT44" s="9">
        <v>20</v>
      </c>
      <c r="AU44" s="9">
        <v>20</v>
      </c>
      <c r="AV44" s="9">
        <v>20</v>
      </c>
      <c r="AW44" s="10">
        <v>4.1500000000000004</v>
      </c>
      <c r="AX44" s="15" t="s">
        <v>16</v>
      </c>
      <c r="AY44" s="19"/>
      <c r="AZ44" s="19"/>
      <c r="BA44" s="20"/>
      <c r="BB44">
        <f t="shared" si="0"/>
        <v>4.1500000000000004</v>
      </c>
      <c r="BC44">
        <f t="shared" si="1"/>
        <v>4.1500000000000004</v>
      </c>
    </row>
    <row r="45" spans="1:55" ht="15.5">
      <c r="A45" s="5">
        <v>40</v>
      </c>
      <c r="B45" s="5">
        <v>25</v>
      </c>
      <c r="C45" s="5">
        <v>25</v>
      </c>
      <c r="D45" s="5">
        <v>10</v>
      </c>
      <c r="E45" s="5">
        <v>50</v>
      </c>
      <c r="F45" s="5">
        <v>20</v>
      </c>
      <c r="G45" s="5">
        <v>10</v>
      </c>
      <c r="H45" s="5">
        <v>20</v>
      </c>
      <c r="I45" s="5">
        <v>15</v>
      </c>
      <c r="J45" s="5">
        <v>40</v>
      </c>
      <c r="K45" s="5">
        <v>30</v>
      </c>
      <c r="L45" s="5">
        <v>15</v>
      </c>
      <c r="M45" s="5">
        <v>20</v>
      </c>
      <c r="N45" s="5">
        <v>10</v>
      </c>
      <c r="O45" s="5">
        <v>30</v>
      </c>
      <c r="P45" s="5">
        <v>40</v>
      </c>
      <c r="Q45" s="5">
        <v>10</v>
      </c>
      <c r="R45" s="5">
        <v>20</v>
      </c>
      <c r="S45" s="5">
        <v>30</v>
      </c>
      <c r="T45" s="5">
        <v>40</v>
      </c>
      <c r="U45" s="5">
        <v>10</v>
      </c>
      <c r="V45" s="5">
        <v>20</v>
      </c>
      <c r="W45" s="5">
        <v>30</v>
      </c>
      <c r="X45" s="5">
        <v>40</v>
      </c>
      <c r="Y45" s="5">
        <v>40</v>
      </c>
      <c r="Z45" s="5">
        <v>30</v>
      </c>
      <c r="AA45" s="5">
        <v>20</v>
      </c>
      <c r="AB45" s="5">
        <v>10</v>
      </c>
      <c r="AC45" s="5">
        <v>15</v>
      </c>
      <c r="AD45" s="5">
        <v>25</v>
      </c>
      <c r="AE45" s="5">
        <v>35</v>
      </c>
      <c r="AF45" s="5">
        <v>25</v>
      </c>
      <c r="AG45" s="5">
        <v>20</v>
      </c>
      <c r="AH45" s="5">
        <v>30</v>
      </c>
      <c r="AI45" s="5">
        <v>10</v>
      </c>
      <c r="AJ45" s="5">
        <v>40</v>
      </c>
      <c r="AK45" s="5">
        <v>10</v>
      </c>
      <c r="AL45" s="5">
        <v>20</v>
      </c>
      <c r="AM45" s="5">
        <v>30</v>
      </c>
      <c r="AN45" s="5">
        <v>40</v>
      </c>
      <c r="AO45" s="5">
        <v>35</v>
      </c>
      <c r="AP45" s="5">
        <v>25</v>
      </c>
      <c r="AQ45" s="5">
        <v>25</v>
      </c>
      <c r="AR45" s="5">
        <v>15</v>
      </c>
      <c r="AS45" s="5">
        <v>20</v>
      </c>
      <c r="AT45" s="5">
        <v>30</v>
      </c>
      <c r="AU45" s="5">
        <v>40</v>
      </c>
      <c r="AV45" s="5">
        <v>10</v>
      </c>
      <c r="AW45" s="6">
        <v>4.8600000000000003</v>
      </c>
      <c r="AX45" s="7" t="s">
        <v>16</v>
      </c>
      <c r="AY45" s="21"/>
      <c r="AZ45" s="21"/>
      <c r="BA45" s="22"/>
      <c r="BB45">
        <f t="shared" si="0"/>
        <v>4.8600000000000003</v>
      </c>
      <c r="BC45">
        <f t="shared" si="1"/>
        <v>4.8600000000000003</v>
      </c>
    </row>
    <row r="46" spans="1:55" ht="15.5">
      <c r="A46" s="9">
        <v>20</v>
      </c>
      <c r="B46" s="9">
        <v>10</v>
      </c>
      <c r="C46" s="9">
        <v>30</v>
      </c>
      <c r="D46" s="9">
        <v>40</v>
      </c>
      <c r="E46" s="9">
        <v>40</v>
      </c>
      <c r="F46" s="9">
        <v>10</v>
      </c>
      <c r="G46" s="9">
        <v>20</v>
      </c>
      <c r="H46" s="9">
        <v>30</v>
      </c>
      <c r="I46" s="9">
        <v>20</v>
      </c>
      <c r="J46" s="9">
        <v>30</v>
      </c>
      <c r="K46" s="9">
        <v>10</v>
      </c>
      <c r="L46" s="9">
        <v>40</v>
      </c>
      <c r="M46" s="9">
        <v>10</v>
      </c>
      <c r="N46" s="9">
        <v>20</v>
      </c>
      <c r="O46" s="9">
        <v>40</v>
      </c>
      <c r="P46" s="9">
        <v>30</v>
      </c>
      <c r="Q46" s="9">
        <v>30</v>
      </c>
      <c r="R46" s="9">
        <v>20</v>
      </c>
      <c r="S46" s="9">
        <v>10</v>
      </c>
      <c r="T46" s="9">
        <v>40</v>
      </c>
      <c r="U46" s="9">
        <v>20</v>
      </c>
      <c r="V46" s="9">
        <v>30</v>
      </c>
      <c r="W46" s="9">
        <v>10</v>
      </c>
      <c r="X46" s="9">
        <v>40</v>
      </c>
      <c r="Y46" s="9">
        <v>20</v>
      </c>
      <c r="Z46" s="9">
        <v>30</v>
      </c>
      <c r="AA46" s="9">
        <v>10</v>
      </c>
      <c r="AB46" s="9">
        <v>40</v>
      </c>
      <c r="AC46" s="9">
        <v>10</v>
      </c>
      <c r="AD46" s="9">
        <v>20</v>
      </c>
      <c r="AE46" s="9">
        <v>30</v>
      </c>
      <c r="AF46" s="9">
        <v>40</v>
      </c>
      <c r="AG46" s="9">
        <v>40</v>
      </c>
      <c r="AH46" s="9">
        <v>30</v>
      </c>
      <c r="AI46" s="9">
        <v>20</v>
      </c>
      <c r="AJ46" s="9">
        <v>10</v>
      </c>
      <c r="AK46" s="9">
        <v>40</v>
      </c>
      <c r="AL46" s="9">
        <v>30</v>
      </c>
      <c r="AM46" s="9">
        <v>20</v>
      </c>
      <c r="AN46" s="9">
        <v>10</v>
      </c>
      <c r="AO46" s="9">
        <v>40</v>
      </c>
      <c r="AP46" s="9">
        <v>30</v>
      </c>
      <c r="AQ46" s="9">
        <v>10</v>
      </c>
      <c r="AR46" s="9">
        <v>20</v>
      </c>
      <c r="AS46" s="9">
        <v>40</v>
      </c>
      <c r="AT46" s="9">
        <v>30</v>
      </c>
      <c r="AU46" s="9">
        <v>20</v>
      </c>
      <c r="AV46" s="9">
        <v>10</v>
      </c>
      <c r="AW46" s="10">
        <v>4.2300000000000004</v>
      </c>
      <c r="AX46" s="15" t="s">
        <v>16</v>
      </c>
      <c r="AY46" s="19"/>
      <c r="AZ46" s="19"/>
      <c r="BA46" s="20"/>
      <c r="BB46">
        <f t="shared" si="0"/>
        <v>4.2300000000000004</v>
      </c>
      <c r="BC46">
        <f t="shared" si="1"/>
        <v>4.2300000000000004</v>
      </c>
    </row>
    <row r="47" spans="1:55" ht="15.5">
      <c r="A47" s="5">
        <v>10</v>
      </c>
      <c r="B47" s="5">
        <v>25</v>
      </c>
      <c r="C47" s="5">
        <v>25</v>
      </c>
      <c r="D47" s="5">
        <v>40</v>
      </c>
      <c r="E47" s="5">
        <v>15</v>
      </c>
      <c r="F47" s="5">
        <v>15</v>
      </c>
      <c r="G47" s="5">
        <v>30</v>
      </c>
      <c r="H47" s="5">
        <v>40</v>
      </c>
      <c r="I47" s="5">
        <v>20</v>
      </c>
      <c r="J47" s="5">
        <v>20</v>
      </c>
      <c r="K47" s="5">
        <v>20</v>
      </c>
      <c r="L47" s="5">
        <v>40</v>
      </c>
      <c r="M47" s="5">
        <v>25</v>
      </c>
      <c r="N47" s="5">
        <v>25</v>
      </c>
      <c r="O47" s="5">
        <v>25</v>
      </c>
      <c r="P47" s="5">
        <v>25</v>
      </c>
      <c r="Q47" s="5">
        <v>25</v>
      </c>
      <c r="R47" s="5">
        <v>25</v>
      </c>
      <c r="S47" s="5">
        <v>25</v>
      </c>
      <c r="T47" s="5">
        <v>25</v>
      </c>
      <c r="U47" s="5">
        <v>25</v>
      </c>
      <c r="V47" s="5">
        <v>25</v>
      </c>
      <c r="W47" s="5">
        <v>25</v>
      </c>
      <c r="X47" s="5">
        <v>25</v>
      </c>
      <c r="Y47" s="5">
        <v>20</v>
      </c>
      <c r="Z47" s="5">
        <v>20</v>
      </c>
      <c r="AA47" s="5">
        <v>10</v>
      </c>
      <c r="AB47" s="5">
        <v>50</v>
      </c>
      <c r="AC47" s="5">
        <v>20</v>
      </c>
      <c r="AD47" s="5">
        <v>30</v>
      </c>
      <c r="AE47" s="5">
        <v>20</v>
      </c>
      <c r="AF47" s="5">
        <v>30</v>
      </c>
      <c r="AG47" s="5">
        <v>20</v>
      </c>
      <c r="AH47" s="5">
        <v>30</v>
      </c>
      <c r="AI47" s="5">
        <v>20</v>
      </c>
      <c r="AJ47" s="5">
        <v>30</v>
      </c>
      <c r="AK47" s="5">
        <v>25</v>
      </c>
      <c r="AL47" s="5">
        <v>25</v>
      </c>
      <c r="AM47" s="5">
        <v>25</v>
      </c>
      <c r="AN47" s="5">
        <v>25</v>
      </c>
      <c r="AO47" s="5">
        <v>25</v>
      </c>
      <c r="AP47" s="5">
        <v>25</v>
      </c>
      <c r="AQ47" s="5">
        <v>25</v>
      </c>
      <c r="AR47" s="5">
        <v>25</v>
      </c>
      <c r="AS47" s="5">
        <v>25</v>
      </c>
      <c r="AT47" s="5">
        <v>25</v>
      </c>
      <c r="AU47" s="5">
        <v>25</v>
      </c>
      <c r="AV47" s="5">
        <v>25</v>
      </c>
      <c r="AW47" s="6">
        <v>4.1500000000000004</v>
      </c>
      <c r="AX47" s="7" t="s">
        <v>16</v>
      </c>
      <c r="AY47" s="21"/>
      <c r="AZ47" s="21"/>
      <c r="BA47" s="22"/>
      <c r="BB47">
        <f t="shared" si="0"/>
        <v>4.1500000000000004</v>
      </c>
      <c r="BC47">
        <f t="shared" si="1"/>
        <v>4.1500000000000004</v>
      </c>
    </row>
    <row r="48" spans="1:55" ht="15.5">
      <c r="A48" s="9">
        <v>30</v>
      </c>
      <c r="B48" s="9">
        <v>30</v>
      </c>
      <c r="C48" s="9">
        <v>30</v>
      </c>
      <c r="D48" s="9">
        <v>10</v>
      </c>
      <c r="E48" s="9">
        <v>30</v>
      </c>
      <c r="F48" s="9">
        <v>30</v>
      </c>
      <c r="G48" s="9">
        <v>30</v>
      </c>
      <c r="H48" s="9">
        <v>10</v>
      </c>
      <c r="I48" s="9">
        <v>25</v>
      </c>
      <c r="J48" s="9">
        <v>25</v>
      </c>
      <c r="K48" s="9">
        <v>25</v>
      </c>
      <c r="L48" s="9">
        <v>25</v>
      </c>
      <c r="M48" s="9">
        <v>30</v>
      </c>
      <c r="N48" s="9">
        <v>30</v>
      </c>
      <c r="O48" s="9">
        <v>30</v>
      </c>
      <c r="P48" s="9">
        <v>10</v>
      </c>
      <c r="Q48" s="9">
        <v>30</v>
      </c>
      <c r="R48" s="9">
        <v>30</v>
      </c>
      <c r="S48" s="9">
        <v>30</v>
      </c>
      <c r="T48" s="9">
        <v>10</v>
      </c>
      <c r="U48" s="9">
        <v>30</v>
      </c>
      <c r="V48" s="9">
        <v>30</v>
      </c>
      <c r="W48" s="9">
        <v>30</v>
      </c>
      <c r="X48" s="9">
        <v>10</v>
      </c>
      <c r="Y48" s="9">
        <v>30</v>
      </c>
      <c r="Z48" s="9">
        <v>30</v>
      </c>
      <c r="AA48" s="9">
        <v>30</v>
      </c>
      <c r="AB48" s="9">
        <v>10</v>
      </c>
      <c r="AC48" s="9">
        <v>30</v>
      </c>
      <c r="AD48" s="9">
        <v>30</v>
      </c>
      <c r="AE48" s="9">
        <v>30</v>
      </c>
      <c r="AF48" s="9">
        <v>10</v>
      </c>
      <c r="AG48" s="9">
        <v>40</v>
      </c>
      <c r="AH48" s="9">
        <v>20</v>
      </c>
      <c r="AI48" s="9">
        <v>10</v>
      </c>
      <c r="AJ48" s="9">
        <v>30</v>
      </c>
      <c r="AK48" s="9">
        <v>30</v>
      </c>
      <c r="AL48" s="9">
        <v>30</v>
      </c>
      <c r="AM48" s="9">
        <v>30</v>
      </c>
      <c r="AN48" s="9">
        <v>10</v>
      </c>
      <c r="AO48" s="9">
        <v>40</v>
      </c>
      <c r="AP48" s="9">
        <v>30</v>
      </c>
      <c r="AQ48" s="9">
        <v>20</v>
      </c>
      <c r="AR48" s="9">
        <v>10</v>
      </c>
      <c r="AS48" s="9">
        <v>30</v>
      </c>
      <c r="AT48" s="9">
        <v>40</v>
      </c>
      <c r="AU48" s="9">
        <v>20</v>
      </c>
      <c r="AV48" s="9">
        <v>10</v>
      </c>
      <c r="AW48" s="10">
        <v>4.8600000000000003</v>
      </c>
      <c r="AX48" s="15" t="s">
        <v>16</v>
      </c>
      <c r="AY48" s="19"/>
      <c r="AZ48" s="19"/>
      <c r="BA48" s="20"/>
      <c r="BB48">
        <f t="shared" si="0"/>
        <v>4.8600000000000003</v>
      </c>
      <c r="BC48">
        <f t="shared" si="1"/>
        <v>4.8600000000000003</v>
      </c>
    </row>
    <row r="49" spans="1:55" ht="15.5">
      <c r="A49" s="5">
        <v>20</v>
      </c>
      <c r="B49" s="5">
        <v>20</v>
      </c>
      <c r="C49" s="5">
        <v>30</v>
      </c>
      <c r="D49" s="5">
        <v>30</v>
      </c>
      <c r="E49" s="5">
        <v>30</v>
      </c>
      <c r="F49" s="5">
        <v>30</v>
      </c>
      <c r="G49" s="5">
        <v>20</v>
      </c>
      <c r="H49" s="5">
        <v>20</v>
      </c>
      <c r="I49" s="5">
        <v>20</v>
      </c>
      <c r="J49" s="5">
        <v>30</v>
      </c>
      <c r="K49" s="5">
        <v>30</v>
      </c>
      <c r="L49" s="5">
        <v>20</v>
      </c>
      <c r="M49" s="5">
        <v>10</v>
      </c>
      <c r="N49" s="5">
        <v>30</v>
      </c>
      <c r="O49" s="5">
        <v>30</v>
      </c>
      <c r="P49" s="5">
        <v>30</v>
      </c>
      <c r="Q49" s="5">
        <v>25</v>
      </c>
      <c r="R49" s="5">
        <v>25</v>
      </c>
      <c r="S49" s="5">
        <v>25</v>
      </c>
      <c r="T49" s="5">
        <v>25</v>
      </c>
      <c r="U49" s="5">
        <v>25</v>
      </c>
      <c r="V49" s="5">
        <v>25</v>
      </c>
      <c r="W49" s="5">
        <v>25</v>
      </c>
      <c r="X49" s="5">
        <v>25</v>
      </c>
      <c r="Y49" s="5">
        <v>25</v>
      </c>
      <c r="Z49" s="5">
        <v>25</v>
      </c>
      <c r="AA49" s="5">
        <v>25</v>
      </c>
      <c r="AB49" s="5">
        <v>25</v>
      </c>
      <c r="AC49" s="5">
        <v>25</v>
      </c>
      <c r="AD49" s="5">
        <v>25</v>
      </c>
      <c r="AE49" s="5">
        <v>25</v>
      </c>
      <c r="AF49" s="5">
        <v>25</v>
      </c>
      <c r="AG49" s="5">
        <v>25</v>
      </c>
      <c r="AH49" s="5">
        <v>25</v>
      </c>
      <c r="AI49" s="5">
        <v>25</v>
      </c>
      <c r="AJ49" s="5">
        <v>25</v>
      </c>
      <c r="AK49" s="5">
        <v>25</v>
      </c>
      <c r="AL49" s="5">
        <v>25</v>
      </c>
      <c r="AM49" s="5">
        <v>25</v>
      </c>
      <c r="AN49" s="5">
        <v>25</v>
      </c>
      <c r="AO49" s="5">
        <v>25</v>
      </c>
      <c r="AP49" s="5">
        <v>25</v>
      </c>
      <c r="AQ49" s="5">
        <v>25</v>
      </c>
      <c r="AR49" s="5">
        <v>25</v>
      </c>
      <c r="AS49" s="5">
        <v>25</v>
      </c>
      <c r="AT49" s="5">
        <v>25</v>
      </c>
      <c r="AU49" s="5">
        <v>25</v>
      </c>
      <c r="AV49" s="5">
        <v>25</v>
      </c>
      <c r="AW49" s="6">
        <v>4.26</v>
      </c>
      <c r="AX49" s="6" t="s">
        <v>16</v>
      </c>
      <c r="AY49" s="21"/>
      <c r="AZ49" s="21"/>
      <c r="BA49" s="22"/>
      <c r="BB49">
        <f t="shared" si="0"/>
        <v>4.26</v>
      </c>
      <c r="BC49">
        <f t="shared" si="1"/>
        <v>4.26</v>
      </c>
    </row>
    <row r="50" spans="1:55" ht="15.5">
      <c r="A50" s="9">
        <v>25</v>
      </c>
      <c r="B50" s="9">
        <v>25</v>
      </c>
      <c r="C50" s="9">
        <v>25</v>
      </c>
      <c r="D50" s="9">
        <v>25</v>
      </c>
      <c r="E50" s="9">
        <v>40</v>
      </c>
      <c r="F50" s="9">
        <v>15</v>
      </c>
      <c r="G50" s="9">
        <v>15</v>
      </c>
      <c r="H50" s="9">
        <v>30</v>
      </c>
      <c r="I50" s="9">
        <v>25</v>
      </c>
      <c r="J50" s="9">
        <v>25</v>
      </c>
      <c r="K50" s="9">
        <v>25</v>
      </c>
      <c r="L50" s="9">
        <v>25</v>
      </c>
      <c r="M50" s="9">
        <v>30</v>
      </c>
      <c r="N50" s="9">
        <v>30</v>
      </c>
      <c r="O50" s="9">
        <v>10</v>
      </c>
      <c r="P50" s="9">
        <v>30</v>
      </c>
      <c r="Q50" s="9">
        <v>25</v>
      </c>
      <c r="R50" s="9">
        <v>25</v>
      </c>
      <c r="S50" s="9">
        <v>25</v>
      </c>
      <c r="T50" s="9">
        <v>25</v>
      </c>
      <c r="U50" s="9">
        <v>10</v>
      </c>
      <c r="V50" s="9">
        <v>40</v>
      </c>
      <c r="W50" s="9">
        <v>25</v>
      </c>
      <c r="X50" s="9">
        <v>25</v>
      </c>
      <c r="Y50" s="9">
        <v>25</v>
      </c>
      <c r="Z50" s="9">
        <v>25</v>
      </c>
      <c r="AA50" s="9">
        <v>25</v>
      </c>
      <c r="AB50" s="9">
        <v>25</v>
      </c>
      <c r="AC50" s="9">
        <v>25</v>
      </c>
      <c r="AD50" s="9">
        <v>25</v>
      </c>
      <c r="AE50" s="9">
        <v>25</v>
      </c>
      <c r="AF50" s="9">
        <v>25</v>
      </c>
      <c r="AG50" s="9">
        <v>25</v>
      </c>
      <c r="AH50" s="9">
        <v>25</v>
      </c>
      <c r="AI50" s="9">
        <v>25</v>
      </c>
      <c r="AJ50" s="9">
        <v>25</v>
      </c>
      <c r="AK50" s="9">
        <v>20</v>
      </c>
      <c r="AL50" s="9">
        <v>20</v>
      </c>
      <c r="AM50" s="9">
        <v>30</v>
      </c>
      <c r="AN50" s="9">
        <v>30</v>
      </c>
      <c r="AO50" s="9">
        <v>25</v>
      </c>
      <c r="AP50" s="9">
        <v>25</v>
      </c>
      <c r="AQ50" s="9">
        <v>25</v>
      </c>
      <c r="AR50" s="9">
        <v>25</v>
      </c>
      <c r="AS50" s="9">
        <v>25</v>
      </c>
      <c r="AT50" s="9">
        <v>25</v>
      </c>
      <c r="AU50" s="9">
        <v>25</v>
      </c>
      <c r="AV50" s="9">
        <v>25</v>
      </c>
      <c r="AW50" s="10">
        <v>4.3499999999999996</v>
      </c>
      <c r="AX50" s="15" t="s">
        <v>16</v>
      </c>
      <c r="AY50" s="19"/>
      <c r="AZ50" s="19"/>
      <c r="BA50" s="20"/>
      <c r="BB50">
        <f t="shared" si="0"/>
        <v>4.3499999999999996</v>
      </c>
      <c r="BC50">
        <f t="shared" si="1"/>
        <v>4.3499999999999996</v>
      </c>
    </row>
    <row r="51" spans="1:55" ht="15.5">
      <c r="A51" s="5">
        <v>30</v>
      </c>
      <c r="B51" s="5">
        <v>20</v>
      </c>
      <c r="C51" s="5">
        <v>30</v>
      </c>
      <c r="D51" s="5">
        <v>20</v>
      </c>
      <c r="E51" s="5">
        <v>30</v>
      </c>
      <c r="F51" s="5">
        <v>20</v>
      </c>
      <c r="G51" s="5">
        <v>30</v>
      </c>
      <c r="H51" s="5">
        <v>20</v>
      </c>
      <c r="I51" s="5">
        <v>30</v>
      </c>
      <c r="J51" s="5">
        <v>30</v>
      </c>
      <c r="K51" s="5">
        <v>20</v>
      </c>
      <c r="L51" s="5">
        <v>20</v>
      </c>
      <c r="M51" s="5">
        <v>30</v>
      </c>
      <c r="N51" s="5">
        <v>30</v>
      </c>
      <c r="O51" s="5">
        <v>20</v>
      </c>
      <c r="P51" s="5">
        <v>20</v>
      </c>
      <c r="Q51" s="5">
        <v>40</v>
      </c>
      <c r="R51" s="5">
        <v>20</v>
      </c>
      <c r="S51" s="5">
        <v>20</v>
      </c>
      <c r="T51" s="5">
        <v>20</v>
      </c>
      <c r="U51" s="5">
        <v>40</v>
      </c>
      <c r="V51" s="5">
        <v>20</v>
      </c>
      <c r="W51" s="5">
        <v>20</v>
      </c>
      <c r="X51" s="5">
        <v>20</v>
      </c>
      <c r="Y51" s="5">
        <v>30</v>
      </c>
      <c r="Z51" s="5">
        <v>30</v>
      </c>
      <c r="AA51" s="5">
        <v>20</v>
      </c>
      <c r="AB51" s="5">
        <v>20</v>
      </c>
      <c r="AC51" s="5">
        <v>30</v>
      </c>
      <c r="AD51" s="5">
        <v>30</v>
      </c>
      <c r="AE51" s="5">
        <v>20</v>
      </c>
      <c r="AF51" s="5">
        <v>20</v>
      </c>
      <c r="AG51" s="5">
        <v>30</v>
      </c>
      <c r="AH51" s="5">
        <v>30</v>
      </c>
      <c r="AI51" s="5">
        <v>20</v>
      </c>
      <c r="AJ51" s="5">
        <v>20</v>
      </c>
      <c r="AK51" s="5">
        <v>30</v>
      </c>
      <c r="AL51" s="5">
        <v>30</v>
      </c>
      <c r="AM51" s="5">
        <v>20</v>
      </c>
      <c r="AN51" s="5">
        <v>20</v>
      </c>
      <c r="AO51" s="5">
        <v>30</v>
      </c>
      <c r="AP51" s="5">
        <v>30</v>
      </c>
      <c r="AQ51" s="5">
        <v>20</v>
      </c>
      <c r="AR51" s="5">
        <v>20</v>
      </c>
      <c r="AS51" s="5">
        <v>30</v>
      </c>
      <c r="AT51" s="5">
        <v>30</v>
      </c>
      <c r="AU51" s="5">
        <v>20</v>
      </c>
      <c r="AV51" s="5">
        <v>20</v>
      </c>
      <c r="AW51" s="6">
        <v>4.55</v>
      </c>
      <c r="AX51" s="7" t="s">
        <v>16</v>
      </c>
      <c r="AY51" s="21"/>
      <c r="AZ51" s="21"/>
      <c r="BA51" s="22"/>
      <c r="BB51">
        <f t="shared" si="0"/>
        <v>4.55</v>
      </c>
      <c r="BC51">
        <f t="shared" si="1"/>
        <v>4.55</v>
      </c>
    </row>
    <row r="52" spans="1:55" ht="15.5">
      <c r="A52" s="9">
        <v>10</v>
      </c>
      <c r="B52" s="9">
        <v>10</v>
      </c>
      <c r="C52" s="9">
        <v>10</v>
      </c>
      <c r="D52" s="9">
        <v>70</v>
      </c>
      <c r="E52" s="9">
        <v>10</v>
      </c>
      <c r="F52" s="9">
        <v>10</v>
      </c>
      <c r="G52" s="9">
        <v>10</v>
      </c>
      <c r="H52" s="9">
        <v>70</v>
      </c>
      <c r="I52" s="9">
        <v>10</v>
      </c>
      <c r="J52" s="9">
        <v>10</v>
      </c>
      <c r="K52" s="9">
        <v>10</v>
      </c>
      <c r="L52" s="9">
        <v>70</v>
      </c>
      <c r="M52" s="9">
        <v>70</v>
      </c>
      <c r="N52" s="9">
        <v>10</v>
      </c>
      <c r="O52" s="9">
        <v>10</v>
      </c>
      <c r="P52" s="9">
        <v>10</v>
      </c>
      <c r="Q52" s="9">
        <v>10</v>
      </c>
      <c r="R52" s="9">
        <v>10</v>
      </c>
      <c r="S52" s="9">
        <v>70</v>
      </c>
      <c r="T52" s="9">
        <v>10</v>
      </c>
      <c r="U52" s="9">
        <v>10</v>
      </c>
      <c r="V52" s="9">
        <v>30</v>
      </c>
      <c r="W52" s="9">
        <v>30</v>
      </c>
      <c r="X52" s="9">
        <v>30</v>
      </c>
      <c r="Y52" s="9">
        <v>10</v>
      </c>
      <c r="Z52" s="9">
        <v>10</v>
      </c>
      <c r="AA52" s="9">
        <v>10</v>
      </c>
      <c r="AB52" s="9">
        <v>70</v>
      </c>
      <c r="AC52" s="9">
        <v>10</v>
      </c>
      <c r="AD52" s="9">
        <v>70</v>
      </c>
      <c r="AE52" s="9">
        <v>10</v>
      </c>
      <c r="AF52" s="9">
        <v>10</v>
      </c>
      <c r="AG52" s="9">
        <v>10</v>
      </c>
      <c r="AH52" s="9">
        <v>10</v>
      </c>
      <c r="AI52" s="9">
        <v>70</v>
      </c>
      <c r="AJ52" s="9">
        <v>10</v>
      </c>
      <c r="AK52" s="9">
        <v>10</v>
      </c>
      <c r="AL52" s="9">
        <v>70</v>
      </c>
      <c r="AM52" s="9">
        <v>10</v>
      </c>
      <c r="AN52" s="9">
        <v>10</v>
      </c>
      <c r="AO52" s="9">
        <v>70</v>
      </c>
      <c r="AP52" s="9">
        <v>10</v>
      </c>
      <c r="AQ52" s="9">
        <v>10</v>
      </c>
      <c r="AR52" s="9">
        <v>10</v>
      </c>
      <c r="AS52" s="9">
        <v>70</v>
      </c>
      <c r="AT52" s="9">
        <v>10</v>
      </c>
      <c r="AU52" s="9">
        <v>10</v>
      </c>
      <c r="AV52" s="9">
        <v>10</v>
      </c>
      <c r="AW52" s="14">
        <v>4.32</v>
      </c>
      <c r="AX52" s="15" t="s">
        <v>16</v>
      </c>
      <c r="AY52" s="19"/>
      <c r="AZ52" s="19"/>
      <c r="BA52" s="20"/>
      <c r="BB52">
        <f t="shared" si="0"/>
        <v>4.32</v>
      </c>
      <c r="BC52">
        <f t="shared" si="1"/>
        <v>4.32</v>
      </c>
    </row>
    <row r="53" spans="1:55" ht="15.5">
      <c r="A53" s="5">
        <v>30</v>
      </c>
      <c r="B53" s="5">
        <v>20</v>
      </c>
      <c r="C53" s="5">
        <v>20</v>
      </c>
      <c r="D53" s="5">
        <v>30</v>
      </c>
      <c r="E53" s="5">
        <v>30</v>
      </c>
      <c r="F53" s="5">
        <v>20</v>
      </c>
      <c r="G53" s="5">
        <v>20</v>
      </c>
      <c r="H53" s="5">
        <v>30</v>
      </c>
      <c r="I53" s="5">
        <v>40</v>
      </c>
      <c r="J53" s="5">
        <v>20</v>
      </c>
      <c r="K53" s="5">
        <v>10</v>
      </c>
      <c r="L53" s="5">
        <v>30</v>
      </c>
      <c r="M53" s="5">
        <v>20</v>
      </c>
      <c r="N53" s="5">
        <v>20</v>
      </c>
      <c r="O53" s="5">
        <v>20</v>
      </c>
      <c r="P53" s="5">
        <v>40</v>
      </c>
      <c r="Q53" s="5">
        <v>20</v>
      </c>
      <c r="R53" s="5">
        <v>20</v>
      </c>
      <c r="S53" s="5">
        <v>20</v>
      </c>
      <c r="T53" s="5">
        <v>40</v>
      </c>
      <c r="U53" s="5">
        <v>30</v>
      </c>
      <c r="V53" s="5">
        <v>30</v>
      </c>
      <c r="W53" s="5">
        <v>20</v>
      </c>
      <c r="X53" s="5">
        <v>20</v>
      </c>
      <c r="Y53" s="5">
        <v>20</v>
      </c>
      <c r="Z53" s="5">
        <v>30</v>
      </c>
      <c r="AA53" s="5">
        <v>30</v>
      </c>
      <c r="AB53" s="5">
        <v>20</v>
      </c>
      <c r="AC53" s="5">
        <v>20</v>
      </c>
      <c r="AD53" s="5">
        <v>20</v>
      </c>
      <c r="AE53" s="5">
        <v>30</v>
      </c>
      <c r="AF53" s="5">
        <v>30</v>
      </c>
      <c r="AG53" s="5">
        <v>40</v>
      </c>
      <c r="AH53" s="5">
        <v>10</v>
      </c>
      <c r="AI53" s="5">
        <v>40</v>
      </c>
      <c r="AJ53" s="5">
        <v>10</v>
      </c>
      <c r="AK53" s="5">
        <v>20</v>
      </c>
      <c r="AL53" s="5">
        <v>20</v>
      </c>
      <c r="AM53" s="5">
        <v>20</v>
      </c>
      <c r="AN53" s="5">
        <v>40</v>
      </c>
      <c r="AO53" s="5">
        <v>20</v>
      </c>
      <c r="AP53" s="5">
        <v>30</v>
      </c>
      <c r="AQ53" s="5">
        <v>10</v>
      </c>
      <c r="AR53" s="5">
        <v>40</v>
      </c>
      <c r="AS53" s="5">
        <v>30</v>
      </c>
      <c r="AT53" s="5">
        <v>20</v>
      </c>
      <c r="AU53" s="5">
        <v>20</v>
      </c>
      <c r="AV53" s="5">
        <v>30</v>
      </c>
      <c r="AW53" s="6">
        <v>4.55</v>
      </c>
      <c r="AX53" s="7" t="s">
        <v>16</v>
      </c>
      <c r="AY53" s="21"/>
      <c r="AZ53" s="21"/>
      <c r="BA53" s="22"/>
      <c r="BB53">
        <f t="shared" si="0"/>
        <v>4.55</v>
      </c>
      <c r="BC53">
        <f t="shared" si="1"/>
        <v>4.55</v>
      </c>
    </row>
    <row r="54" spans="1:55" ht="15.5">
      <c r="A54" s="9">
        <v>30</v>
      </c>
      <c r="B54" s="9">
        <v>20</v>
      </c>
      <c r="C54" s="9">
        <v>20</v>
      </c>
      <c r="D54" s="9">
        <v>30</v>
      </c>
      <c r="E54" s="9">
        <v>20</v>
      </c>
      <c r="F54" s="9">
        <v>30</v>
      </c>
      <c r="G54" s="9">
        <v>20</v>
      </c>
      <c r="H54" s="9">
        <v>30</v>
      </c>
      <c r="I54" s="9">
        <v>20</v>
      </c>
      <c r="J54" s="9">
        <v>30</v>
      </c>
      <c r="K54" s="9">
        <v>20</v>
      </c>
      <c r="L54" s="9">
        <v>30</v>
      </c>
      <c r="M54" s="9">
        <v>20</v>
      </c>
      <c r="N54" s="9">
        <v>30</v>
      </c>
      <c r="O54" s="9">
        <v>20</v>
      </c>
      <c r="P54" s="9">
        <v>30</v>
      </c>
      <c r="Q54" s="9">
        <v>20</v>
      </c>
      <c r="R54" s="9">
        <v>30</v>
      </c>
      <c r="S54" s="9">
        <v>20</v>
      </c>
      <c r="T54" s="9">
        <v>30</v>
      </c>
      <c r="U54" s="9">
        <v>20</v>
      </c>
      <c r="V54" s="9">
        <v>30</v>
      </c>
      <c r="W54" s="9">
        <v>20</v>
      </c>
      <c r="X54" s="9">
        <v>30</v>
      </c>
      <c r="Y54" s="9">
        <v>20</v>
      </c>
      <c r="Z54" s="9">
        <v>30</v>
      </c>
      <c r="AA54" s="9">
        <v>20</v>
      </c>
      <c r="AB54" s="9">
        <v>30</v>
      </c>
      <c r="AC54" s="9">
        <v>20</v>
      </c>
      <c r="AD54" s="9">
        <v>30</v>
      </c>
      <c r="AE54" s="9">
        <v>20</v>
      </c>
      <c r="AF54" s="9">
        <v>30</v>
      </c>
      <c r="AG54" s="9">
        <v>20</v>
      </c>
      <c r="AH54" s="9">
        <v>30</v>
      </c>
      <c r="AI54" s="9">
        <v>20</v>
      </c>
      <c r="AJ54" s="9">
        <v>30</v>
      </c>
      <c r="AK54" s="9">
        <v>20</v>
      </c>
      <c r="AL54" s="9">
        <v>30</v>
      </c>
      <c r="AM54" s="9">
        <v>20</v>
      </c>
      <c r="AN54" s="9">
        <v>30</v>
      </c>
      <c r="AO54" s="9">
        <v>20</v>
      </c>
      <c r="AP54" s="9">
        <v>30</v>
      </c>
      <c r="AQ54" s="9">
        <v>20</v>
      </c>
      <c r="AR54" s="9">
        <v>30</v>
      </c>
      <c r="AS54" s="9">
        <v>30</v>
      </c>
      <c r="AT54" s="9">
        <v>20</v>
      </c>
      <c r="AU54" s="9">
        <v>30</v>
      </c>
      <c r="AV54" s="9">
        <v>20</v>
      </c>
      <c r="AW54" s="10">
        <v>4.1500000000000004</v>
      </c>
      <c r="AX54" s="15" t="s">
        <v>16</v>
      </c>
      <c r="AY54" s="19"/>
      <c r="AZ54" s="19"/>
      <c r="BA54" s="20"/>
      <c r="BB54">
        <f t="shared" si="0"/>
        <v>4.1500000000000004</v>
      </c>
      <c r="BC54">
        <f t="shared" si="1"/>
        <v>4.1500000000000004</v>
      </c>
    </row>
    <row r="55" spans="1:55" ht="15.5">
      <c r="A55" s="5">
        <v>25</v>
      </c>
      <c r="B55" s="5">
        <v>25</v>
      </c>
      <c r="C55" s="5">
        <v>25</v>
      </c>
      <c r="D55" s="5">
        <v>25</v>
      </c>
      <c r="E55" s="5">
        <v>25</v>
      </c>
      <c r="F55" s="5">
        <v>25</v>
      </c>
      <c r="G55" s="5">
        <v>25</v>
      </c>
      <c r="H55" s="5">
        <v>25</v>
      </c>
      <c r="I55" s="5">
        <v>25</v>
      </c>
      <c r="J55" s="5">
        <v>25</v>
      </c>
      <c r="K55" s="5">
        <v>25</v>
      </c>
      <c r="L55" s="5">
        <v>25</v>
      </c>
      <c r="M55" s="5">
        <v>25</v>
      </c>
      <c r="N55" s="5">
        <v>25</v>
      </c>
      <c r="O55" s="5">
        <v>25</v>
      </c>
      <c r="P55" s="5">
        <v>25</v>
      </c>
      <c r="Q55" s="5">
        <v>25</v>
      </c>
      <c r="R55" s="5">
        <v>25</v>
      </c>
      <c r="S55" s="5">
        <v>25</v>
      </c>
      <c r="T55" s="5">
        <v>25</v>
      </c>
      <c r="U55" s="5">
        <v>25</v>
      </c>
      <c r="V55" s="5">
        <v>25</v>
      </c>
      <c r="W55" s="5">
        <v>25</v>
      </c>
      <c r="X55" s="5">
        <v>25</v>
      </c>
      <c r="Y55" s="5">
        <v>25</v>
      </c>
      <c r="Z55" s="5">
        <v>25</v>
      </c>
      <c r="AA55" s="5">
        <v>25</v>
      </c>
      <c r="AB55" s="5">
        <v>25</v>
      </c>
      <c r="AC55" s="5">
        <v>25</v>
      </c>
      <c r="AD55" s="5">
        <v>25</v>
      </c>
      <c r="AE55" s="5">
        <v>25</v>
      </c>
      <c r="AF55" s="5">
        <v>25</v>
      </c>
      <c r="AG55" s="5">
        <v>25</v>
      </c>
      <c r="AH55" s="5">
        <v>25</v>
      </c>
      <c r="AI55" s="5">
        <v>25</v>
      </c>
      <c r="AJ55" s="5">
        <v>25</v>
      </c>
      <c r="AK55" s="5">
        <v>25</v>
      </c>
      <c r="AL55" s="5">
        <v>25</v>
      </c>
      <c r="AM55" s="5">
        <v>25</v>
      </c>
      <c r="AN55" s="5">
        <v>25</v>
      </c>
      <c r="AO55" s="5">
        <v>25</v>
      </c>
      <c r="AP55" s="5">
        <v>25</v>
      </c>
      <c r="AQ55" s="5">
        <v>25</v>
      </c>
      <c r="AR55" s="5">
        <v>25</v>
      </c>
      <c r="AS55" s="5">
        <v>25</v>
      </c>
      <c r="AT55" s="5">
        <v>25</v>
      </c>
      <c r="AU55" s="5">
        <v>25</v>
      </c>
      <c r="AV55" s="5">
        <v>25</v>
      </c>
      <c r="AW55" s="6">
        <v>4.8</v>
      </c>
      <c r="AX55" s="7" t="s">
        <v>16</v>
      </c>
      <c r="AY55" s="21"/>
      <c r="AZ55" s="21"/>
      <c r="BA55" s="22"/>
      <c r="BB55">
        <f t="shared" si="0"/>
        <v>4.8</v>
      </c>
      <c r="BC55">
        <f t="shared" si="1"/>
        <v>4.8</v>
      </c>
    </row>
    <row r="56" spans="1:55" ht="15.5">
      <c r="A56" s="9">
        <v>25</v>
      </c>
      <c r="B56" s="9">
        <v>25</v>
      </c>
      <c r="C56" s="9">
        <v>25</v>
      </c>
      <c r="D56" s="9">
        <v>25</v>
      </c>
      <c r="E56" s="9">
        <v>25</v>
      </c>
      <c r="F56" s="9">
        <v>25</v>
      </c>
      <c r="G56" s="9">
        <v>25</v>
      </c>
      <c r="H56" s="9">
        <v>25</v>
      </c>
      <c r="I56" s="9">
        <v>25</v>
      </c>
      <c r="J56" s="9">
        <v>25</v>
      </c>
      <c r="K56" s="9">
        <v>25</v>
      </c>
      <c r="L56" s="9">
        <v>25</v>
      </c>
      <c r="M56" s="9">
        <v>25</v>
      </c>
      <c r="N56" s="9">
        <v>25</v>
      </c>
      <c r="O56" s="9">
        <v>25</v>
      </c>
      <c r="P56" s="9">
        <v>25</v>
      </c>
      <c r="Q56" s="9">
        <v>25</v>
      </c>
      <c r="R56" s="9">
        <v>25</v>
      </c>
      <c r="S56" s="9">
        <v>25</v>
      </c>
      <c r="T56" s="9">
        <v>25</v>
      </c>
      <c r="U56" s="9">
        <v>25</v>
      </c>
      <c r="V56" s="9">
        <v>25</v>
      </c>
      <c r="W56" s="9">
        <v>25</v>
      </c>
      <c r="X56" s="9">
        <v>25</v>
      </c>
      <c r="Y56" s="9">
        <v>25</v>
      </c>
      <c r="Z56" s="9">
        <v>25</v>
      </c>
      <c r="AA56" s="9">
        <v>25</v>
      </c>
      <c r="AB56" s="9">
        <v>25</v>
      </c>
      <c r="AC56" s="9">
        <v>25</v>
      </c>
      <c r="AD56" s="9">
        <v>25</v>
      </c>
      <c r="AE56" s="9">
        <v>25</v>
      </c>
      <c r="AF56" s="9">
        <v>25</v>
      </c>
      <c r="AG56" s="9">
        <v>25</v>
      </c>
      <c r="AH56" s="9">
        <v>25</v>
      </c>
      <c r="AI56" s="9">
        <v>25</v>
      </c>
      <c r="AJ56" s="9">
        <v>25</v>
      </c>
      <c r="AK56" s="9">
        <v>25</v>
      </c>
      <c r="AL56" s="9">
        <v>25</v>
      </c>
      <c r="AM56" s="9">
        <v>25</v>
      </c>
      <c r="AN56" s="9">
        <v>25</v>
      </c>
      <c r="AO56" s="9">
        <v>25</v>
      </c>
      <c r="AP56" s="9">
        <v>25</v>
      </c>
      <c r="AQ56" s="9">
        <v>25</v>
      </c>
      <c r="AR56" s="9">
        <v>25</v>
      </c>
      <c r="AS56" s="9">
        <v>25</v>
      </c>
      <c r="AT56" s="9">
        <v>25</v>
      </c>
      <c r="AU56" s="9">
        <v>25</v>
      </c>
      <c r="AV56" s="9">
        <v>25</v>
      </c>
      <c r="AW56" s="10">
        <v>3.64</v>
      </c>
      <c r="AX56" s="10" t="s">
        <v>26</v>
      </c>
      <c r="AY56" s="14">
        <v>4.0999999999999996</v>
      </c>
      <c r="AZ56" s="14" t="s">
        <v>16</v>
      </c>
      <c r="BA56" s="31"/>
      <c r="BB56">
        <f t="shared" si="0"/>
        <v>3.64</v>
      </c>
      <c r="BC56">
        <f t="shared" si="1"/>
        <v>3.64</v>
      </c>
    </row>
    <row r="57" spans="1:55" ht="15.5">
      <c r="A57" s="5">
        <v>25</v>
      </c>
      <c r="B57" s="5">
        <v>25</v>
      </c>
      <c r="C57" s="5">
        <v>25</v>
      </c>
      <c r="D57" s="5">
        <v>25</v>
      </c>
      <c r="E57" s="5">
        <v>25</v>
      </c>
      <c r="F57" s="5">
        <v>25</v>
      </c>
      <c r="G57" s="5">
        <v>25</v>
      </c>
      <c r="H57" s="5">
        <v>25</v>
      </c>
      <c r="I57" s="5">
        <v>30</v>
      </c>
      <c r="J57" s="5">
        <v>30</v>
      </c>
      <c r="K57" s="5">
        <v>10</v>
      </c>
      <c r="L57" s="5">
        <v>30</v>
      </c>
      <c r="M57" s="5">
        <v>20</v>
      </c>
      <c r="N57" s="5">
        <v>40</v>
      </c>
      <c r="O57" s="5">
        <v>20</v>
      </c>
      <c r="P57" s="5">
        <v>20</v>
      </c>
      <c r="Q57" s="5">
        <v>25</v>
      </c>
      <c r="R57" s="5">
        <v>25</v>
      </c>
      <c r="S57" s="5">
        <v>25</v>
      </c>
      <c r="T57" s="5">
        <v>25</v>
      </c>
      <c r="U57" s="5">
        <v>20</v>
      </c>
      <c r="V57" s="5">
        <v>40</v>
      </c>
      <c r="W57" s="5">
        <v>20</v>
      </c>
      <c r="X57" s="5">
        <v>20</v>
      </c>
      <c r="Y57" s="5">
        <v>25</v>
      </c>
      <c r="Z57" s="5">
        <v>25</v>
      </c>
      <c r="AA57" s="5">
        <v>25</v>
      </c>
      <c r="AB57" s="5">
        <v>25</v>
      </c>
      <c r="AC57" s="5">
        <v>25</v>
      </c>
      <c r="AD57" s="5">
        <v>15</v>
      </c>
      <c r="AE57" s="5">
        <v>25</v>
      </c>
      <c r="AF57" s="5">
        <v>35</v>
      </c>
      <c r="AG57" s="5">
        <v>25</v>
      </c>
      <c r="AH57" s="5">
        <v>25</v>
      </c>
      <c r="AI57" s="5">
        <v>25</v>
      </c>
      <c r="AJ57" s="5">
        <v>25</v>
      </c>
      <c r="AK57" s="5">
        <v>25</v>
      </c>
      <c r="AL57" s="5">
        <v>25</v>
      </c>
      <c r="AM57" s="5">
        <v>25</v>
      </c>
      <c r="AN57" s="5">
        <v>25</v>
      </c>
      <c r="AO57" s="5">
        <v>25</v>
      </c>
      <c r="AP57" s="5">
        <v>25</v>
      </c>
      <c r="AQ57" s="5">
        <v>25</v>
      </c>
      <c r="AR57" s="5">
        <v>25</v>
      </c>
      <c r="AS57" s="5">
        <v>30</v>
      </c>
      <c r="AT57" s="5">
        <v>10</v>
      </c>
      <c r="AU57" s="5">
        <v>30</v>
      </c>
      <c r="AV57" s="5">
        <v>30</v>
      </c>
      <c r="AW57" s="6">
        <v>4.1500000000000004</v>
      </c>
      <c r="AX57" s="7" t="s">
        <v>16</v>
      </c>
      <c r="AY57" s="21" t="s">
        <v>35</v>
      </c>
      <c r="AZ57" s="21"/>
      <c r="BA57" s="22"/>
      <c r="BB57">
        <f t="shared" si="0"/>
        <v>4.1500000000000004</v>
      </c>
      <c r="BC57">
        <f t="shared" si="1"/>
        <v>4.1500000000000004</v>
      </c>
    </row>
    <row r="58" spans="1:55" ht="15.5">
      <c r="A58" s="9">
        <v>50</v>
      </c>
      <c r="B58" s="9">
        <v>10</v>
      </c>
      <c r="C58" s="9">
        <v>20</v>
      </c>
      <c r="D58" s="9">
        <v>20</v>
      </c>
      <c r="E58" s="9">
        <v>70</v>
      </c>
      <c r="F58" s="9">
        <v>10</v>
      </c>
      <c r="G58" s="9">
        <v>10</v>
      </c>
      <c r="H58" s="9">
        <v>10</v>
      </c>
      <c r="I58" s="9">
        <v>30</v>
      </c>
      <c r="J58" s="9">
        <v>30</v>
      </c>
      <c r="K58" s="9">
        <v>10</v>
      </c>
      <c r="L58" s="9">
        <v>30</v>
      </c>
      <c r="M58" s="9">
        <v>30</v>
      </c>
      <c r="N58" s="9">
        <v>30</v>
      </c>
      <c r="O58" s="9">
        <v>10</v>
      </c>
      <c r="P58" s="9">
        <v>30</v>
      </c>
      <c r="Q58" s="9">
        <v>30</v>
      </c>
      <c r="R58" s="9">
        <v>30</v>
      </c>
      <c r="S58" s="9">
        <v>10</v>
      </c>
      <c r="T58" s="9">
        <v>30</v>
      </c>
      <c r="U58" s="9">
        <v>30</v>
      </c>
      <c r="V58" s="9">
        <v>30</v>
      </c>
      <c r="W58" s="9">
        <v>10</v>
      </c>
      <c r="X58" s="9">
        <v>30</v>
      </c>
      <c r="Y58" s="9">
        <v>30</v>
      </c>
      <c r="Z58" s="9">
        <v>30</v>
      </c>
      <c r="AA58" s="9">
        <v>10</v>
      </c>
      <c r="AB58" s="9">
        <v>30</v>
      </c>
      <c r="AC58" s="9">
        <v>30</v>
      </c>
      <c r="AD58" s="9">
        <v>30</v>
      </c>
      <c r="AE58" s="9">
        <v>10</v>
      </c>
      <c r="AF58" s="9">
        <v>30</v>
      </c>
      <c r="AG58" s="9">
        <v>20</v>
      </c>
      <c r="AH58" s="9">
        <v>20</v>
      </c>
      <c r="AI58" s="9">
        <v>20</v>
      </c>
      <c r="AJ58" s="9">
        <v>40</v>
      </c>
      <c r="AK58" s="9">
        <v>20</v>
      </c>
      <c r="AL58" s="9">
        <v>20</v>
      </c>
      <c r="AM58" s="9">
        <v>20</v>
      </c>
      <c r="AN58" s="9">
        <v>40</v>
      </c>
      <c r="AO58" s="9">
        <v>30</v>
      </c>
      <c r="AP58" s="9">
        <v>20</v>
      </c>
      <c r="AQ58" s="9">
        <v>20</v>
      </c>
      <c r="AR58" s="9">
        <v>30</v>
      </c>
      <c r="AS58" s="9">
        <v>30</v>
      </c>
      <c r="AT58" s="9">
        <v>20</v>
      </c>
      <c r="AU58" s="9">
        <v>20</v>
      </c>
      <c r="AV58" s="9">
        <v>30</v>
      </c>
      <c r="AW58" s="14">
        <v>4.43</v>
      </c>
      <c r="AX58" s="26" t="s">
        <v>16</v>
      </c>
      <c r="AY58" s="19"/>
      <c r="AZ58" s="19"/>
      <c r="BA58" s="20"/>
      <c r="BB58">
        <f t="shared" si="0"/>
        <v>4.43</v>
      </c>
      <c r="BC58">
        <f t="shared" si="1"/>
        <v>4.43</v>
      </c>
    </row>
    <row r="59" spans="1:55" ht="15.5">
      <c r="A59" s="5">
        <v>25</v>
      </c>
      <c r="B59" s="5">
        <v>25</v>
      </c>
      <c r="C59" s="5">
        <v>25</v>
      </c>
      <c r="D59" s="5">
        <v>25</v>
      </c>
      <c r="E59" s="5">
        <v>25</v>
      </c>
      <c r="F59" s="5">
        <v>25</v>
      </c>
      <c r="G59" s="5">
        <v>25</v>
      </c>
      <c r="H59" s="5">
        <v>25</v>
      </c>
      <c r="I59" s="5">
        <v>25</v>
      </c>
      <c r="J59" s="5">
        <v>25</v>
      </c>
      <c r="K59" s="5">
        <v>25</v>
      </c>
      <c r="L59" s="5">
        <v>25</v>
      </c>
      <c r="M59" s="5">
        <v>25</v>
      </c>
      <c r="N59" s="5">
        <v>25</v>
      </c>
      <c r="O59" s="5">
        <v>25</v>
      </c>
      <c r="P59" s="5">
        <v>25</v>
      </c>
      <c r="Q59" s="5">
        <v>25</v>
      </c>
      <c r="R59" s="5">
        <v>25</v>
      </c>
      <c r="S59" s="5">
        <v>25</v>
      </c>
      <c r="T59" s="5">
        <v>25</v>
      </c>
      <c r="U59" s="5">
        <v>25</v>
      </c>
      <c r="V59" s="5">
        <v>25</v>
      </c>
      <c r="W59" s="5">
        <v>25</v>
      </c>
      <c r="X59" s="5">
        <v>25</v>
      </c>
      <c r="Y59" s="5">
        <v>25</v>
      </c>
      <c r="Z59" s="5">
        <v>25</v>
      </c>
      <c r="AA59" s="5">
        <v>25</v>
      </c>
      <c r="AB59" s="5">
        <v>25</v>
      </c>
      <c r="AC59" s="5">
        <v>25</v>
      </c>
      <c r="AD59" s="5">
        <v>25</v>
      </c>
      <c r="AE59" s="5">
        <v>25</v>
      </c>
      <c r="AF59" s="5">
        <v>25</v>
      </c>
      <c r="AG59" s="5">
        <v>25</v>
      </c>
      <c r="AH59" s="5">
        <v>25</v>
      </c>
      <c r="AI59" s="5">
        <v>25</v>
      </c>
      <c r="AJ59" s="5">
        <v>25</v>
      </c>
      <c r="AK59" s="5">
        <v>25</v>
      </c>
      <c r="AL59" s="5">
        <v>25</v>
      </c>
      <c r="AM59" s="5">
        <v>25</v>
      </c>
      <c r="AN59" s="5">
        <v>25</v>
      </c>
      <c r="AO59" s="5">
        <v>25</v>
      </c>
      <c r="AP59" s="5">
        <v>25</v>
      </c>
      <c r="AQ59" s="5">
        <v>25</v>
      </c>
      <c r="AR59" s="5">
        <v>25</v>
      </c>
      <c r="AS59" s="5">
        <v>25</v>
      </c>
      <c r="AT59" s="5">
        <v>25</v>
      </c>
      <c r="AU59" s="5">
        <v>25</v>
      </c>
      <c r="AV59" s="5">
        <v>25</v>
      </c>
      <c r="AW59" s="6">
        <v>4.6500000000000004</v>
      </c>
      <c r="AX59" s="7" t="s">
        <v>16</v>
      </c>
      <c r="AY59" s="21"/>
      <c r="AZ59" s="21"/>
      <c r="BA59" s="22"/>
      <c r="BB59">
        <f t="shared" si="0"/>
        <v>4.6500000000000004</v>
      </c>
      <c r="BC59">
        <f t="shared" si="1"/>
        <v>4.6500000000000004</v>
      </c>
    </row>
    <row r="60" spans="1:55" ht="15.5">
      <c r="A60" s="9">
        <v>20</v>
      </c>
      <c r="B60" s="9">
        <v>30</v>
      </c>
      <c r="C60" s="9">
        <v>30</v>
      </c>
      <c r="D60" s="9">
        <v>20</v>
      </c>
      <c r="E60" s="9">
        <v>20</v>
      </c>
      <c r="F60" s="9">
        <v>20</v>
      </c>
      <c r="G60" s="9">
        <v>20</v>
      </c>
      <c r="H60" s="9">
        <v>40</v>
      </c>
      <c r="I60" s="9">
        <v>25</v>
      </c>
      <c r="J60" s="9">
        <v>25</v>
      </c>
      <c r="K60" s="9">
        <v>25</v>
      </c>
      <c r="L60" s="9">
        <v>25</v>
      </c>
      <c r="M60" s="9">
        <v>25</v>
      </c>
      <c r="N60" s="9">
        <v>25</v>
      </c>
      <c r="O60" s="9">
        <v>25</v>
      </c>
      <c r="P60" s="9">
        <v>25</v>
      </c>
      <c r="Q60" s="9">
        <v>25</v>
      </c>
      <c r="R60" s="9">
        <v>25</v>
      </c>
      <c r="S60" s="9">
        <v>25</v>
      </c>
      <c r="T60" s="9">
        <v>25</v>
      </c>
      <c r="U60" s="9">
        <v>25</v>
      </c>
      <c r="V60" s="9">
        <v>25</v>
      </c>
      <c r="W60" s="9">
        <v>25</v>
      </c>
      <c r="X60" s="9">
        <v>25</v>
      </c>
      <c r="Y60" s="9">
        <v>25</v>
      </c>
      <c r="Z60" s="9">
        <v>25</v>
      </c>
      <c r="AA60" s="9">
        <v>25</v>
      </c>
      <c r="AB60" s="9">
        <v>25</v>
      </c>
      <c r="AC60" s="9">
        <v>25</v>
      </c>
      <c r="AD60" s="9">
        <v>25</v>
      </c>
      <c r="AE60" s="9">
        <v>25</v>
      </c>
      <c r="AF60" s="9">
        <v>25</v>
      </c>
      <c r="AG60" s="9">
        <v>25</v>
      </c>
      <c r="AH60" s="9">
        <v>25</v>
      </c>
      <c r="AI60" s="9">
        <v>25</v>
      </c>
      <c r="AJ60" s="9">
        <v>25</v>
      </c>
      <c r="AK60" s="9">
        <v>25</v>
      </c>
      <c r="AL60" s="9">
        <v>25</v>
      </c>
      <c r="AM60" s="9">
        <v>25</v>
      </c>
      <c r="AN60" s="9">
        <v>25</v>
      </c>
      <c r="AO60" s="9">
        <v>25</v>
      </c>
      <c r="AP60" s="9">
        <v>25</v>
      </c>
      <c r="AQ60" s="9">
        <v>25</v>
      </c>
      <c r="AR60" s="9">
        <v>25</v>
      </c>
      <c r="AS60" s="9">
        <v>25</v>
      </c>
      <c r="AT60" s="9">
        <v>25</v>
      </c>
      <c r="AU60" s="9">
        <v>25</v>
      </c>
      <c r="AV60" s="9">
        <v>25</v>
      </c>
      <c r="AW60" s="10">
        <v>4.8</v>
      </c>
      <c r="AX60" s="15" t="s">
        <v>16</v>
      </c>
      <c r="AY60" s="19"/>
      <c r="AZ60" s="19"/>
      <c r="BA60" s="20"/>
      <c r="BB60">
        <f t="shared" si="0"/>
        <v>4.8</v>
      </c>
      <c r="BC60">
        <f t="shared" si="1"/>
        <v>4.8</v>
      </c>
    </row>
    <row r="61" spans="1:55" ht="15.5">
      <c r="A61" s="5">
        <v>50</v>
      </c>
      <c r="B61" s="5">
        <v>30</v>
      </c>
      <c r="C61" s="5">
        <v>10</v>
      </c>
      <c r="D61" s="5">
        <v>10</v>
      </c>
      <c r="E61" s="5">
        <v>10</v>
      </c>
      <c r="F61" s="5">
        <v>10</v>
      </c>
      <c r="G61" s="5">
        <v>40</v>
      </c>
      <c r="H61" s="5">
        <v>40</v>
      </c>
      <c r="I61" s="5">
        <v>40</v>
      </c>
      <c r="J61" s="5">
        <v>40</v>
      </c>
      <c r="K61" s="5">
        <v>10</v>
      </c>
      <c r="L61" s="5">
        <v>10</v>
      </c>
      <c r="M61" s="5">
        <v>40</v>
      </c>
      <c r="N61" s="5">
        <v>10</v>
      </c>
      <c r="O61" s="5">
        <v>10</v>
      </c>
      <c r="P61" s="5">
        <v>40</v>
      </c>
      <c r="Q61" s="5">
        <v>20</v>
      </c>
      <c r="R61" s="5">
        <v>10</v>
      </c>
      <c r="S61" s="5">
        <v>10</v>
      </c>
      <c r="T61" s="5">
        <v>60</v>
      </c>
      <c r="U61" s="5">
        <v>20</v>
      </c>
      <c r="V61" s="5">
        <v>20</v>
      </c>
      <c r="W61" s="5">
        <v>30</v>
      </c>
      <c r="X61" s="5">
        <v>30</v>
      </c>
      <c r="Y61" s="5">
        <v>60</v>
      </c>
      <c r="Z61" s="5">
        <v>10</v>
      </c>
      <c r="AA61" s="5">
        <v>10</v>
      </c>
      <c r="AB61" s="5">
        <v>20</v>
      </c>
      <c r="AC61" s="5">
        <v>20</v>
      </c>
      <c r="AD61" s="5">
        <v>10</v>
      </c>
      <c r="AE61" s="5">
        <v>20</v>
      </c>
      <c r="AF61" s="5">
        <v>50</v>
      </c>
      <c r="AG61" s="5">
        <v>30</v>
      </c>
      <c r="AH61" s="5">
        <v>20</v>
      </c>
      <c r="AI61" s="5">
        <v>40</v>
      </c>
      <c r="AJ61" s="5">
        <v>10</v>
      </c>
      <c r="AK61" s="5">
        <v>10</v>
      </c>
      <c r="AL61" s="5">
        <v>30</v>
      </c>
      <c r="AM61" s="5">
        <v>40</v>
      </c>
      <c r="AN61" s="5">
        <v>20</v>
      </c>
      <c r="AO61" s="5">
        <v>40</v>
      </c>
      <c r="AP61" s="5">
        <v>20</v>
      </c>
      <c r="AQ61" s="5">
        <v>20</v>
      </c>
      <c r="AR61" s="5">
        <v>20</v>
      </c>
      <c r="AS61" s="5">
        <v>40</v>
      </c>
      <c r="AT61" s="5">
        <v>20</v>
      </c>
      <c r="AU61" s="5">
        <v>20</v>
      </c>
      <c r="AV61" s="5">
        <v>20</v>
      </c>
      <c r="AW61" s="12">
        <v>4.29</v>
      </c>
      <c r="AX61" s="7" t="s">
        <v>16</v>
      </c>
      <c r="AY61" s="12">
        <v>4.54</v>
      </c>
      <c r="AZ61" s="7" t="s">
        <v>16</v>
      </c>
      <c r="BA61" s="8"/>
      <c r="BB61">
        <f t="shared" si="0"/>
        <v>4.29</v>
      </c>
      <c r="BC61">
        <f t="shared" si="1"/>
        <v>4.29</v>
      </c>
    </row>
    <row r="62" spans="1:55" ht="15.5">
      <c r="A62" s="9">
        <v>70</v>
      </c>
      <c r="B62" s="9">
        <v>10</v>
      </c>
      <c r="C62" s="9">
        <v>10</v>
      </c>
      <c r="D62" s="9">
        <v>10</v>
      </c>
      <c r="E62" s="9">
        <v>60</v>
      </c>
      <c r="F62" s="9">
        <v>10</v>
      </c>
      <c r="G62" s="9">
        <v>10</v>
      </c>
      <c r="H62" s="9">
        <v>20</v>
      </c>
      <c r="I62" s="9">
        <v>60</v>
      </c>
      <c r="J62" s="9">
        <v>10</v>
      </c>
      <c r="K62" s="9">
        <v>10</v>
      </c>
      <c r="L62" s="9">
        <v>20</v>
      </c>
      <c r="M62" s="9">
        <v>50</v>
      </c>
      <c r="N62" s="9">
        <v>10</v>
      </c>
      <c r="O62" s="9">
        <v>30</v>
      </c>
      <c r="P62" s="9">
        <v>10</v>
      </c>
      <c r="Q62" s="9">
        <v>10</v>
      </c>
      <c r="R62" s="9">
        <v>10</v>
      </c>
      <c r="S62" s="9">
        <v>10</v>
      </c>
      <c r="T62" s="9">
        <v>70</v>
      </c>
      <c r="U62" s="9">
        <v>10</v>
      </c>
      <c r="V62" s="9">
        <v>10</v>
      </c>
      <c r="W62" s="9">
        <v>40</v>
      </c>
      <c r="X62" s="9">
        <v>40</v>
      </c>
      <c r="Y62" s="9">
        <v>10</v>
      </c>
      <c r="Z62" s="9">
        <v>50</v>
      </c>
      <c r="AA62" s="9">
        <v>30</v>
      </c>
      <c r="AB62" s="9">
        <v>10</v>
      </c>
      <c r="AC62" s="9">
        <v>10</v>
      </c>
      <c r="AD62" s="9">
        <v>40</v>
      </c>
      <c r="AE62" s="9">
        <v>40</v>
      </c>
      <c r="AF62" s="9">
        <v>10</v>
      </c>
      <c r="AG62" s="9">
        <v>20</v>
      </c>
      <c r="AH62" s="9">
        <v>10</v>
      </c>
      <c r="AI62" s="9">
        <v>10</v>
      </c>
      <c r="AJ62" s="9">
        <v>60</v>
      </c>
      <c r="AK62" s="9">
        <v>45</v>
      </c>
      <c r="AL62" s="9">
        <v>10</v>
      </c>
      <c r="AM62" s="9">
        <v>10</v>
      </c>
      <c r="AN62" s="9">
        <v>35</v>
      </c>
      <c r="AO62" s="9">
        <v>70</v>
      </c>
      <c r="AP62" s="9">
        <v>10</v>
      </c>
      <c r="AQ62" s="9">
        <v>10</v>
      </c>
      <c r="AR62" s="9">
        <v>10</v>
      </c>
      <c r="AS62" s="9">
        <v>70</v>
      </c>
      <c r="AT62" s="9">
        <v>10</v>
      </c>
      <c r="AU62" s="9">
        <v>10</v>
      </c>
      <c r="AV62" s="9">
        <v>10</v>
      </c>
      <c r="AW62" s="14"/>
      <c r="AX62" s="15"/>
      <c r="AY62" s="14">
        <v>4.54</v>
      </c>
      <c r="AZ62" s="15" t="s">
        <v>16</v>
      </c>
      <c r="BA62" s="16"/>
      <c r="BB62">
        <f t="shared" si="0"/>
        <v>0</v>
      </c>
      <c r="BC62">
        <f t="shared" si="1"/>
        <v>4.54</v>
      </c>
    </row>
    <row r="63" spans="1:55" ht="15.5">
      <c r="A63" s="5">
        <v>30</v>
      </c>
      <c r="B63" s="5">
        <v>30</v>
      </c>
      <c r="C63" s="5">
        <v>10</v>
      </c>
      <c r="D63" s="5">
        <v>30</v>
      </c>
      <c r="E63" s="5">
        <v>10</v>
      </c>
      <c r="F63" s="5">
        <v>30</v>
      </c>
      <c r="G63" s="5">
        <v>30</v>
      </c>
      <c r="H63" s="5">
        <v>30</v>
      </c>
      <c r="I63" s="5">
        <v>30</v>
      </c>
      <c r="J63" s="5">
        <v>30</v>
      </c>
      <c r="K63" s="5">
        <v>30</v>
      </c>
      <c r="L63" s="5">
        <v>10</v>
      </c>
      <c r="M63" s="5">
        <v>20</v>
      </c>
      <c r="N63" s="5">
        <v>10</v>
      </c>
      <c r="O63" s="5">
        <v>50</v>
      </c>
      <c r="P63" s="5">
        <v>20</v>
      </c>
      <c r="Q63" s="5">
        <v>10</v>
      </c>
      <c r="R63" s="5">
        <v>30</v>
      </c>
      <c r="S63" s="5">
        <v>30</v>
      </c>
      <c r="T63" s="5">
        <v>30</v>
      </c>
      <c r="U63" s="5">
        <v>25</v>
      </c>
      <c r="V63" s="5">
        <v>15</v>
      </c>
      <c r="W63" s="5">
        <v>35</v>
      </c>
      <c r="X63" s="5">
        <v>25</v>
      </c>
      <c r="Y63" s="5">
        <v>10</v>
      </c>
      <c r="Z63" s="5">
        <v>30</v>
      </c>
      <c r="AA63" s="5">
        <v>30</v>
      </c>
      <c r="AB63" s="5">
        <v>30</v>
      </c>
      <c r="AC63" s="5">
        <v>20</v>
      </c>
      <c r="AD63" s="5">
        <v>30</v>
      </c>
      <c r="AE63" s="5">
        <v>30</v>
      </c>
      <c r="AF63" s="5">
        <v>20</v>
      </c>
      <c r="AG63" s="5">
        <v>20</v>
      </c>
      <c r="AH63" s="5">
        <v>30</v>
      </c>
      <c r="AI63" s="5">
        <v>30</v>
      </c>
      <c r="AJ63" s="5">
        <v>20</v>
      </c>
      <c r="AK63" s="5">
        <v>20</v>
      </c>
      <c r="AL63" s="5">
        <v>20</v>
      </c>
      <c r="AM63" s="5">
        <v>20</v>
      </c>
      <c r="AN63" s="5">
        <v>40</v>
      </c>
      <c r="AO63" s="5">
        <v>30</v>
      </c>
      <c r="AP63" s="5">
        <v>20</v>
      </c>
      <c r="AQ63" s="5">
        <v>30</v>
      </c>
      <c r="AR63" s="5">
        <v>20</v>
      </c>
      <c r="AS63" s="5">
        <v>15</v>
      </c>
      <c r="AT63" s="5">
        <v>25</v>
      </c>
      <c r="AU63" s="5">
        <v>35</v>
      </c>
      <c r="AV63" s="5">
        <v>25</v>
      </c>
      <c r="AW63" s="6">
        <v>4.93</v>
      </c>
      <c r="AX63" s="6" t="s">
        <v>16</v>
      </c>
      <c r="AY63" s="21"/>
      <c r="AZ63" s="21"/>
      <c r="BA63" s="22"/>
      <c r="BB63">
        <f t="shared" si="0"/>
        <v>4.93</v>
      </c>
      <c r="BC63">
        <f t="shared" si="1"/>
        <v>4.93</v>
      </c>
    </row>
    <row r="64" spans="1:55" ht="15.5">
      <c r="A64" s="9">
        <v>10</v>
      </c>
      <c r="B64" s="9">
        <v>20</v>
      </c>
      <c r="C64" s="9">
        <v>50</v>
      </c>
      <c r="D64" s="9">
        <v>20</v>
      </c>
      <c r="E64" s="9">
        <v>20</v>
      </c>
      <c r="F64" s="9">
        <v>20</v>
      </c>
      <c r="G64" s="9">
        <v>30</v>
      </c>
      <c r="H64" s="9">
        <v>30</v>
      </c>
      <c r="I64" s="9">
        <v>20</v>
      </c>
      <c r="J64" s="9">
        <v>30</v>
      </c>
      <c r="K64" s="9">
        <v>30</v>
      </c>
      <c r="L64" s="9">
        <v>20</v>
      </c>
      <c r="M64" s="9">
        <v>30</v>
      </c>
      <c r="N64" s="9">
        <v>30</v>
      </c>
      <c r="O64" s="9">
        <v>20</v>
      </c>
      <c r="P64" s="9">
        <v>20</v>
      </c>
      <c r="Q64" s="9">
        <v>30</v>
      </c>
      <c r="R64" s="9">
        <v>30</v>
      </c>
      <c r="S64" s="9">
        <v>20</v>
      </c>
      <c r="T64" s="9">
        <v>20</v>
      </c>
      <c r="U64" s="9">
        <v>30</v>
      </c>
      <c r="V64" s="9">
        <v>20</v>
      </c>
      <c r="W64" s="9">
        <v>20</v>
      </c>
      <c r="X64" s="9">
        <v>30</v>
      </c>
      <c r="Y64" s="9">
        <v>30</v>
      </c>
      <c r="Z64" s="9">
        <v>20</v>
      </c>
      <c r="AA64" s="9">
        <v>20</v>
      </c>
      <c r="AB64" s="9">
        <v>30</v>
      </c>
      <c r="AC64" s="9">
        <v>20</v>
      </c>
      <c r="AD64" s="9">
        <v>20</v>
      </c>
      <c r="AE64" s="9">
        <v>30</v>
      </c>
      <c r="AF64" s="9">
        <v>30</v>
      </c>
      <c r="AG64" s="9">
        <v>30</v>
      </c>
      <c r="AH64" s="9">
        <v>20</v>
      </c>
      <c r="AI64" s="9">
        <v>20</v>
      </c>
      <c r="AJ64" s="9">
        <v>30</v>
      </c>
      <c r="AK64" s="9">
        <v>20</v>
      </c>
      <c r="AL64" s="9">
        <v>20</v>
      </c>
      <c r="AM64" s="9">
        <v>30</v>
      </c>
      <c r="AN64" s="9">
        <v>30</v>
      </c>
      <c r="AO64" s="9">
        <v>30</v>
      </c>
      <c r="AP64" s="9">
        <v>20</v>
      </c>
      <c r="AQ64" s="9">
        <v>20</v>
      </c>
      <c r="AR64" s="9">
        <v>30</v>
      </c>
      <c r="AS64" s="9">
        <v>30</v>
      </c>
      <c r="AT64" s="9">
        <v>20</v>
      </c>
      <c r="AU64" s="9">
        <v>20</v>
      </c>
      <c r="AV64" s="9">
        <v>30</v>
      </c>
      <c r="AW64" s="14">
        <v>4.46</v>
      </c>
      <c r="AX64" s="15" t="s">
        <v>16</v>
      </c>
      <c r="AY64" s="19"/>
      <c r="AZ64" s="19"/>
      <c r="BA64" s="20"/>
      <c r="BB64">
        <f t="shared" si="0"/>
        <v>4.46</v>
      </c>
      <c r="BC64">
        <f t="shared" si="1"/>
        <v>4.46</v>
      </c>
    </row>
    <row r="65" spans="1:55" ht="15.5">
      <c r="A65" s="5">
        <v>20</v>
      </c>
      <c r="B65" s="5">
        <v>20</v>
      </c>
      <c r="C65" s="5">
        <v>30</v>
      </c>
      <c r="D65" s="5">
        <v>30</v>
      </c>
      <c r="E65" s="5">
        <v>20</v>
      </c>
      <c r="F65" s="5">
        <v>10</v>
      </c>
      <c r="G65" s="5">
        <v>40</v>
      </c>
      <c r="H65" s="5">
        <v>30</v>
      </c>
      <c r="I65" s="5">
        <v>30</v>
      </c>
      <c r="J65" s="5">
        <v>30</v>
      </c>
      <c r="K65" s="5">
        <v>20</v>
      </c>
      <c r="L65" s="5">
        <v>20</v>
      </c>
      <c r="M65" s="5">
        <v>20</v>
      </c>
      <c r="N65" s="5">
        <v>30</v>
      </c>
      <c r="O65" s="5">
        <v>20</v>
      </c>
      <c r="P65" s="5">
        <v>30</v>
      </c>
      <c r="Q65" s="5">
        <v>10</v>
      </c>
      <c r="R65" s="5">
        <v>20</v>
      </c>
      <c r="S65" s="5">
        <v>40</v>
      </c>
      <c r="T65" s="5">
        <v>30</v>
      </c>
      <c r="U65" s="5">
        <v>20</v>
      </c>
      <c r="V65" s="5">
        <v>30</v>
      </c>
      <c r="W65" s="5">
        <v>30</v>
      </c>
      <c r="X65" s="5">
        <v>20</v>
      </c>
      <c r="Y65" s="5">
        <v>30</v>
      </c>
      <c r="Z65" s="5">
        <v>30</v>
      </c>
      <c r="AA65" s="5">
        <v>20</v>
      </c>
      <c r="AB65" s="5">
        <v>20</v>
      </c>
      <c r="AC65" s="5">
        <v>20</v>
      </c>
      <c r="AD65" s="5">
        <v>20</v>
      </c>
      <c r="AE65" s="5">
        <v>30</v>
      </c>
      <c r="AF65" s="5">
        <v>30</v>
      </c>
      <c r="AG65" s="5">
        <v>30</v>
      </c>
      <c r="AH65" s="5">
        <v>20</v>
      </c>
      <c r="AI65" s="5">
        <v>30</v>
      </c>
      <c r="AJ65" s="5">
        <v>20</v>
      </c>
      <c r="AK65" s="5">
        <v>30</v>
      </c>
      <c r="AL65" s="5">
        <v>20</v>
      </c>
      <c r="AM65" s="5">
        <v>30</v>
      </c>
      <c r="AN65" s="5">
        <v>20</v>
      </c>
      <c r="AO65" s="5">
        <v>30</v>
      </c>
      <c r="AP65" s="5">
        <v>20</v>
      </c>
      <c r="AQ65" s="5">
        <v>20</v>
      </c>
      <c r="AR65" s="5">
        <v>30</v>
      </c>
      <c r="AS65" s="5">
        <v>30</v>
      </c>
      <c r="AT65" s="5">
        <v>20</v>
      </c>
      <c r="AU65" s="5">
        <v>30</v>
      </c>
      <c r="AV65" s="5">
        <v>20</v>
      </c>
      <c r="AW65" s="6">
        <v>4.8499999999999996</v>
      </c>
      <c r="AX65" s="7" t="s">
        <v>16</v>
      </c>
      <c r="AY65" s="21" t="s">
        <v>37</v>
      </c>
      <c r="AZ65" s="21"/>
      <c r="BA65" s="22"/>
      <c r="BB65">
        <f t="shared" si="0"/>
        <v>4.8499999999999996</v>
      </c>
      <c r="BC65">
        <f t="shared" si="1"/>
        <v>4.8499999999999996</v>
      </c>
    </row>
    <row r="66" spans="1:55" ht="15.5">
      <c r="A66" s="9">
        <v>30</v>
      </c>
      <c r="B66" s="9">
        <v>20</v>
      </c>
      <c r="C66" s="9">
        <v>20</v>
      </c>
      <c r="D66" s="9">
        <v>30</v>
      </c>
      <c r="E66" s="9">
        <v>20</v>
      </c>
      <c r="F66" s="9">
        <v>20</v>
      </c>
      <c r="G66" s="9">
        <v>20</v>
      </c>
      <c r="H66" s="9">
        <v>40</v>
      </c>
      <c r="I66" s="9">
        <v>30</v>
      </c>
      <c r="J66" s="9">
        <v>20</v>
      </c>
      <c r="K66" s="9">
        <v>20</v>
      </c>
      <c r="L66" s="9">
        <v>30</v>
      </c>
      <c r="M66" s="9">
        <v>20</v>
      </c>
      <c r="N66" s="9">
        <v>20</v>
      </c>
      <c r="O66" s="9">
        <v>20</v>
      </c>
      <c r="P66" s="9">
        <v>40</v>
      </c>
      <c r="Q66" s="9">
        <v>20</v>
      </c>
      <c r="R66" s="9">
        <v>20</v>
      </c>
      <c r="S66" s="9">
        <v>20</v>
      </c>
      <c r="T66" s="9">
        <v>40</v>
      </c>
      <c r="U66" s="9">
        <v>30</v>
      </c>
      <c r="V66" s="9">
        <v>30</v>
      </c>
      <c r="W66" s="9">
        <v>10</v>
      </c>
      <c r="X66" s="9">
        <v>30</v>
      </c>
      <c r="Y66" s="9">
        <v>40</v>
      </c>
      <c r="Z66" s="9">
        <v>30</v>
      </c>
      <c r="AA66" s="9">
        <v>10</v>
      </c>
      <c r="AB66" s="9">
        <v>20</v>
      </c>
      <c r="AC66" s="9">
        <v>20</v>
      </c>
      <c r="AD66" s="9">
        <v>20</v>
      </c>
      <c r="AE66" s="9">
        <v>40</v>
      </c>
      <c r="AF66" s="9">
        <v>20</v>
      </c>
      <c r="AG66" s="9">
        <v>30</v>
      </c>
      <c r="AH66" s="9">
        <v>20</v>
      </c>
      <c r="AI66" s="9">
        <v>20</v>
      </c>
      <c r="AJ66" s="9">
        <v>30</v>
      </c>
      <c r="AK66" s="9">
        <v>20</v>
      </c>
      <c r="AL66" s="9">
        <v>20</v>
      </c>
      <c r="AM66" s="9">
        <v>30</v>
      </c>
      <c r="AN66" s="9">
        <v>30</v>
      </c>
      <c r="AO66" s="9">
        <v>40</v>
      </c>
      <c r="AP66" s="9">
        <v>30</v>
      </c>
      <c r="AQ66" s="9">
        <v>10</v>
      </c>
      <c r="AR66" s="9">
        <v>20</v>
      </c>
      <c r="AS66" s="9">
        <v>30</v>
      </c>
      <c r="AT66" s="9">
        <v>30</v>
      </c>
      <c r="AU66" s="9">
        <v>20</v>
      </c>
      <c r="AV66" s="9">
        <v>20</v>
      </c>
      <c r="AW66" s="10">
        <v>4.3499999999999996</v>
      </c>
      <c r="AX66" s="15" t="s">
        <v>16</v>
      </c>
      <c r="AY66" s="19"/>
      <c r="AZ66" s="19"/>
      <c r="BA66" s="20"/>
      <c r="BB66">
        <f t="shared" si="0"/>
        <v>4.3499999999999996</v>
      </c>
      <c r="BC66">
        <f t="shared" si="1"/>
        <v>4.3499999999999996</v>
      </c>
    </row>
    <row r="67" spans="1:55" ht="15.5">
      <c r="A67" s="5">
        <v>40</v>
      </c>
      <c r="B67" s="5">
        <v>10</v>
      </c>
      <c r="C67" s="5">
        <v>20</v>
      </c>
      <c r="D67" s="5">
        <v>30</v>
      </c>
      <c r="E67" s="5">
        <v>35</v>
      </c>
      <c r="F67" s="5">
        <v>15</v>
      </c>
      <c r="G67" s="5">
        <v>25</v>
      </c>
      <c r="H67" s="5">
        <v>25</v>
      </c>
      <c r="I67" s="5">
        <v>20</v>
      </c>
      <c r="J67" s="5">
        <v>30</v>
      </c>
      <c r="K67" s="5">
        <v>20</v>
      </c>
      <c r="L67" s="5">
        <v>30</v>
      </c>
      <c r="M67" s="5">
        <v>25</v>
      </c>
      <c r="N67" s="5">
        <v>25</v>
      </c>
      <c r="O67" s="5">
        <v>25</v>
      </c>
      <c r="P67" s="5">
        <v>25</v>
      </c>
      <c r="Q67" s="5">
        <v>10</v>
      </c>
      <c r="R67" s="5">
        <v>20</v>
      </c>
      <c r="S67" s="5">
        <v>20</v>
      </c>
      <c r="T67" s="5">
        <v>50</v>
      </c>
      <c r="U67" s="5">
        <v>15</v>
      </c>
      <c r="V67" s="5">
        <v>25</v>
      </c>
      <c r="W67" s="5">
        <v>15</v>
      </c>
      <c r="X67" s="5">
        <v>45</v>
      </c>
      <c r="Y67" s="5">
        <v>40</v>
      </c>
      <c r="Z67" s="5">
        <v>30</v>
      </c>
      <c r="AA67" s="5">
        <v>20</v>
      </c>
      <c r="AB67" s="5">
        <v>10</v>
      </c>
      <c r="AC67" s="5">
        <v>20</v>
      </c>
      <c r="AD67" s="5">
        <v>20</v>
      </c>
      <c r="AE67" s="5">
        <v>40</v>
      </c>
      <c r="AF67" s="5">
        <v>20</v>
      </c>
      <c r="AG67" s="5">
        <v>20</v>
      </c>
      <c r="AH67" s="5">
        <v>40</v>
      </c>
      <c r="AI67" s="5">
        <v>20</v>
      </c>
      <c r="AJ67" s="5">
        <v>20</v>
      </c>
      <c r="AK67" s="5">
        <v>25</v>
      </c>
      <c r="AL67" s="5">
        <v>25</v>
      </c>
      <c r="AM67" s="5">
        <v>25</v>
      </c>
      <c r="AN67" s="5">
        <v>25</v>
      </c>
      <c r="AO67" s="5">
        <v>50</v>
      </c>
      <c r="AP67" s="5">
        <v>30</v>
      </c>
      <c r="AQ67" s="5">
        <v>10</v>
      </c>
      <c r="AR67" s="5">
        <v>10</v>
      </c>
      <c r="AS67" s="5">
        <v>10</v>
      </c>
      <c r="AT67" s="5">
        <v>10</v>
      </c>
      <c r="AU67" s="5">
        <v>40</v>
      </c>
      <c r="AV67" s="5">
        <v>40</v>
      </c>
      <c r="AW67" s="12">
        <v>4.49</v>
      </c>
      <c r="AX67" s="7" t="s">
        <v>16</v>
      </c>
      <c r="AY67" s="21"/>
      <c r="AZ67" s="21"/>
      <c r="BA67" s="22"/>
      <c r="BB67">
        <f t="shared" si="0"/>
        <v>4.49</v>
      </c>
      <c r="BC67">
        <f t="shared" si="1"/>
        <v>4.49</v>
      </c>
    </row>
    <row r="68" spans="1:55" ht="15.5">
      <c r="A68" s="9">
        <v>40</v>
      </c>
      <c r="B68" s="9">
        <v>20</v>
      </c>
      <c r="C68" s="9">
        <v>20</v>
      </c>
      <c r="D68" s="9">
        <v>20</v>
      </c>
      <c r="E68" s="9">
        <v>35</v>
      </c>
      <c r="F68" s="9">
        <v>15</v>
      </c>
      <c r="G68" s="9">
        <v>25</v>
      </c>
      <c r="H68" s="9">
        <v>25</v>
      </c>
      <c r="I68" s="9">
        <v>30</v>
      </c>
      <c r="J68" s="9">
        <v>30</v>
      </c>
      <c r="K68" s="9">
        <v>10</v>
      </c>
      <c r="L68" s="9">
        <v>30</v>
      </c>
      <c r="M68" s="9">
        <v>20</v>
      </c>
      <c r="N68" s="9">
        <v>20</v>
      </c>
      <c r="O68" s="9">
        <v>20</v>
      </c>
      <c r="P68" s="9">
        <v>40</v>
      </c>
      <c r="Q68" s="9">
        <v>10</v>
      </c>
      <c r="R68" s="9">
        <v>30</v>
      </c>
      <c r="S68" s="9">
        <v>30</v>
      </c>
      <c r="T68" s="9">
        <v>30</v>
      </c>
      <c r="U68" s="9">
        <v>20</v>
      </c>
      <c r="V68" s="9">
        <v>20</v>
      </c>
      <c r="W68" s="9">
        <v>20</v>
      </c>
      <c r="X68" s="9">
        <v>40</v>
      </c>
      <c r="Y68" s="9">
        <v>30</v>
      </c>
      <c r="Z68" s="9">
        <v>30</v>
      </c>
      <c r="AA68" s="9">
        <v>10</v>
      </c>
      <c r="AB68" s="9">
        <v>30</v>
      </c>
      <c r="AC68" s="9">
        <v>30</v>
      </c>
      <c r="AD68" s="9">
        <v>40</v>
      </c>
      <c r="AE68" s="9">
        <v>10</v>
      </c>
      <c r="AF68" s="9">
        <v>20</v>
      </c>
      <c r="AG68" s="9">
        <v>25</v>
      </c>
      <c r="AH68" s="9">
        <v>25</v>
      </c>
      <c r="AI68" s="9">
        <v>25</v>
      </c>
      <c r="AJ68" s="9">
        <v>25</v>
      </c>
      <c r="AK68" s="9">
        <v>25</v>
      </c>
      <c r="AL68" s="9">
        <v>25</v>
      </c>
      <c r="AM68" s="9">
        <v>25</v>
      </c>
      <c r="AN68" s="9">
        <v>25</v>
      </c>
      <c r="AO68" s="9">
        <v>20</v>
      </c>
      <c r="AP68" s="9">
        <v>20</v>
      </c>
      <c r="AQ68" s="9">
        <v>20</v>
      </c>
      <c r="AR68" s="9">
        <v>40</v>
      </c>
      <c r="AS68" s="9">
        <v>40</v>
      </c>
      <c r="AT68" s="9">
        <v>20</v>
      </c>
      <c r="AU68" s="9">
        <v>20</v>
      </c>
      <c r="AV68" s="9">
        <v>20</v>
      </c>
      <c r="AW68" s="14">
        <v>5.67</v>
      </c>
      <c r="AX68" s="15" t="s">
        <v>28</v>
      </c>
      <c r="AY68" s="19"/>
      <c r="AZ68" s="19"/>
      <c r="BA68" s="20"/>
      <c r="BB68">
        <f t="shared" ref="BB68:BB131" si="2">AW68</f>
        <v>5.67</v>
      </c>
      <c r="BC68">
        <f t="shared" ref="BC68:BC131" si="3">IF(AW68&gt;0,AW68,AY68)</f>
        <v>5.67</v>
      </c>
    </row>
    <row r="69" spans="1:55" ht="15.5">
      <c r="A69" s="5">
        <v>30</v>
      </c>
      <c r="B69" s="5">
        <v>20</v>
      </c>
      <c r="C69" s="5">
        <v>20</v>
      </c>
      <c r="D69" s="5">
        <v>30</v>
      </c>
      <c r="E69" s="5">
        <v>30</v>
      </c>
      <c r="F69" s="5">
        <v>20</v>
      </c>
      <c r="G69" s="5">
        <v>20</v>
      </c>
      <c r="H69" s="5">
        <v>30</v>
      </c>
      <c r="I69" s="5">
        <v>30</v>
      </c>
      <c r="J69" s="5">
        <v>20</v>
      </c>
      <c r="K69" s="5">
        <v>20</v>
      </c>
      <c r="L69" s="5">
        <v>30</v>
      </c>
      <c r="M69" s="5">
        <v>30</v>
      </c>
      <c r="N69" s="5">
        <v>20</v>
      </c>
      <c r="O69" s="5">
        <v>20</v>
      </c>
      <c r="P69" s="5">
        <v>30</v>
      </c>
      <c r="Q69" s="5">
        <v>20</v>
      </c>
      <c r="R69" s="5">
        <v>30</v>
      </c>
      <c r="S69" s="5">
        <v>20</v>
      </c>
      <c r="T69" s="5">
        <v>30</v>
      </c>
      <c r="U69" s="5">
        <v>20</v>
      </c>
      <c r="V69" s="5">
        <v>30</v>
      </c>
      <c r="W69" s="5">
        <v>20</v>
      </c>
      <c r="X69" s="5">
        <v>30</v>
      </c>
      <c r="Y69" s="5">
        <v>30</v>
      </c>
      <c r="Z69" s="5">
        <v>20</v>
      </c>
      <c r="AA69" s="5">
        <v>20</v>
      </c>
      <c r="AB69" s="5">
        <v>30</v>
      </c>
      <c r="AC69" s="5">
        <v>30</v>
      </c>
      <c r="AD69" s="5">
        <v>20</v>
      </c>
      <c r="AE69" s="5">
        <v>20</v>
      </c>
      <c r="AF69" s="5">
        <v>30</v>
      </c>
      <c r="AG69" s="5">
        <v>20</v>
      </c>
      <c r="AH69" s="5">
        <v>30</v>
      </c>
      <c r="AI69" s="5">
        <v>20</v>
      </c>
      <c r="AJ69" s="5">
        <v>30</v>
      </c>
      <c r="AK69" s="5">
        <v>20</v>
      </c>
      <c r="AL69" s="5">
        <v>30</v>
      </c>
      <c r="AM69" s="5">
        <v>20</v>
      </c>
      <c r="AN69" s="5">
        <v>30</v>
      </c>
      <c r="AO69" s="5">
        <v>30</v>
      </c>
      <c r="AP69" s="5">
        <v>30</v>
      </c>
      <c r="AQ69" s="5">
        <v>20</v>
      </c>
      <c r="AR69" s="5">
        <v>20</v>
      </c>
      <c r="AS69" s="5">
        <v>30</v>
      </c>
      <c r="AT69" s="5">
        <v>30</v>
      </c>
      <c r="AU69" s="5">
        <v>20</v>
      </c>
      <c r="AV69" s="5">
        <v>20</v>
      </c>
      <c r="AW69" s="12">
        <v>4.25</v>
      </c>
      <c r="AX69" s="7" t="s">
        <v>16</v>
      </c>
      <c r="AY69" s="21"/>
      <c r="AZ69" s="21"/>
      <c r="BA69" s="22"/>
      <c r="BB69">
        <f t="shared" si="2"/>
        <v>4.25</v>
      </c>
      <c r="BC69">
        <f t="shared" si="3"/>
        <v>4.25</v>
      </c>
    </row>
    <row r="70" spans="1:55" ht="15.5">
      <c r="A70" s="9">
        <v>30</v>
      </c>
      <c r="B70" s="9">
        <v>30</v>
      </c>
      <c r="C70" s="9">
        <v>20</v>
      </c>
      <c r="D70" s="9">
        <v>20</v>
      </c>
      <c r="E70" s="9">
        <v>40</v>
      </c>
      <c r="F70" s="9">
        <v>20</v>
      </c>
      <c r="G70" s="9">
        <v>20</v>
      </c>
      <c r="H70" s="9">
        <v>20</v>
      </c>
      <c r="I70" s="9">
        <v>30</v>
      </c>
      <c r="J70" s="9">
        <v>30</v>
      </c>
      <c r="K70" s="9">
        <v>15</v>
      </c>
      <c r="L70" s="9">
        <v>25</v>
      </c>
      <c r="M70" s="9">
        <v>30</v>
      </c>
      <c r="N70" s="9">
        <v>30</v>
      </c>
      <c r="O70" s="9">
        <v>20</v>
      </c>
      <c r="P70" s="9">
        <v>20</v>
      </c>
      <c r="Q70" s="9">
        <v>30</v>
      </c>
      <c r="R70" s="9">
        <v>30</v>
      </c>
      <c r="S70" s="9">
        <v>20</v>
      </c>
      <c r="T70" s="9">
        <v>20</v>
      </c>
      <c r="U70" s="9">
        <v>30</v>
      </c>
      <c r="V70" s="9">
        <v>30</v>
      </c>
      <c r="W70" s="9">
        <v>20</v>
      </c>
      <c r="X70" s="9">
        <v>20</v>
      </c>
      <c r="Y70" s="9">
        <v>30</v>
      </c>
      <c r="Z70" s="9">
        <v>30</v>
      </c>
      <c r="AA70" s="9">
        <v>20</v>
      </c>
      <c r="AB70" s="9">
        <v>20</v>
      </c>
      <c r="AC70" s="9">
        <v>30</v>
      </c>
      <c r="AD70" s="9">
        <v>30</v>
      </c>
      <c r="AE70" s="9">
        <v>20</v>
      </c>
      <c r="AF70" s="9">
        <v>20</v>
      </c>
      <c r="AG70" s="9">
        <v>30</v>
      </c>
      <c r="AH70" s="9">
        <v>30</v>
      </c>
      <c r="AI70" s="9">
        <v>20</v>
      </c>
      <c r="AJ70" s="9">
        <v>20</v>
      </c>
      <c r="AK70" s="9">
        <v>30</v>
      </c>
      <c r="AL70" s="9">
        <v>30</v>
      </c>
      <c r="AM70" s="9">
        <v>20</v>
      </c>
      <c r="AN70" s="9">
        <v>20</v>
      </c>
      <c r="AO70" s="9">
        <v>30</v>
      </c>
      <c r="AP70" s="9">
        <v>30</v>
      </c>
      <c r="AQ70" s="9">
        <v>20</v>
      </c>
      <c r="AR70" s="9">
        <v>20</v>
      </c>
      <c r="AS70" s="9">
        <v>30</v>
      </c>
      <c r="AT70" s="9">
        <v>30</v>
      </c>
      <c r="AU70" s="9">
        <v>20</v>
      </c>
      <c r="AV70" s="9">
        <v>20</v>
      </c>
      <c r="AW70" s="26"/>
      <c r="AX70" s="26"/>
      <c r="AY70" s="10">
        <v>3.91</v>
      </c>
      <c r="AZ70" s="26" t="s">
        <v>26</v>
      </c>
      <c r="BA70" s="27"/>
      <c r="BB70">
        <f t="shared" si="2"/>
        <v>0</v>
      </c>
      <c r="BC70">
        <f t="shared" si="3"/>
        <v>3.91</v>
      </c>
    </row>
    <row r="71" spans="1:55" ht="15.5">
      <c r="A71" s="5">
        <v>70</v>
      </c>
      <c r="B71" s="5">
        <v>10</v>
      </c>
      <c r="C71" s="5">
        <v>10</v>
      </c>
      <c r="D71" s="5">
        <v>10</v>
      </c>
      <c r="E71" s="5">
        <v>70</v>
      </c>
      <c r="F71" s="5">
        <v>10</v>
      </c>
      <c r="G71" s="5">
        <v>10</v>
      </c>
      <c r="H71" s="5">
        <v>10</v>
      </c>
      <c r="I71" s="5">
        <v>70</v>
      </c>
      <c r="J71" s="5">
        <v>10</v>
      </c>
      <c r="K71" s="5">
        <v>10</v>
      </c>
      <c r="L71" s="5">
        <v>10</v>
      </c>
      <c r="M71" s="5">
        <v>70</v>
      </c>
      <c r="N71" s="5">
        <v>10</v>
      </c>
      <c r="O71" s="5">
        <v>10</v>
      </c>
      <c r="P71" s="5">
        <v>10</v>
      </c>
      <c r="Q71" s="5">
        <v>60</v>
      </c>
      <c r="R71" s="5">
        <v>10</v>
      </c>
      <c r="S71" s="5">
        <v>10</v>
      </c>
      <c r="T71" s="5">
        <v>20</v>
      </c>
      <c r="U71" s="5">
        <v>70</v>
      </c>
      <c r="V71" s="5">
        <v>10</v>
      </c>
      <c r="W71" s="5">
        <v>10</v>
      </c>
      <c r="X71" s="5">
        <v>10</v>
      </c>
      <c r="Y71" s="5">
        <v>70</v>
      </c>
      <c r="Z71" s="5">
        <v>10</v>
      </c>
      <c r="AA71" s="5">
        <v>10</v>
      </c>
      <c r="AB71" s="5">
        <v>10</v>
      </c>
      <c r="AC71" s="5">
        <v>70</v>
      </c>
      <c r="AD71" s="5">
        <v>10</v>
      </c>
      <c r="AE71" s="5">
        <v>10</v>
      </c>
      <c r="AF71" s="5">
        <v>10</v>
      </c>
      <c r="AG71" s="5">
        <v>70</v>
      </c>
      <c r="AH71" s="5">
        <v>10</v>
      </c>
      <c r="AI71" s="5">
        <v>10</v>
      </c>
      <c r="AJ71" s="5">
        <v>10</v>
      </c>
      <c r="AK71" s="5">
        <v>70</v>
      </c>
      <c r="AL71" s="5">
        <v>10</v>
      </c>
      <c r="AM71" s="5">
        <v>10</v>
      </c>
      <c r="AN71" s="5">
        <v>10</v>
      </c>
      <c r="AO71" s="5">
        <v>70</v>
      </c>
      <c r="AP71" s="5">
        <v>10</v>
      </c>
      <c r="AQ71" s="5">
        <v>10</v>
      </c>
      <c r="AR71" s="5">
        <v>10</v>
      </c>
      <c r="AS71" s="5">
        <v>70</v>
      </c>
      <c r="AT71" s="5">
        <v>10</v>
      </c>
      <c r="AU71" s="5">
        <v>10</v>
      </c>
      <c r="AV71" s="5">
        <v>10</v>
      </c>
      <c r="AW71" s="6">
        <v>3.94</v>
      </c>
      <c r="AX71" s="6" t="s">
        <v>26</v>
      </c>
      <c r="AY71" s="6">
        <v>4.1500000000000004</v>
      </c>
      <c r="AZ71" s="7" t="s">
        <v>16</v>
      </c>
      <c r="BA71" s="8"/>
      <c r="BB71">
        <f t="shared" si="2"/>
        <v>3.94</v>
      </c>
      <c r="BC71">
        <f t="shared" si="3"/>
        <v>3.94</v>
      </c>
    </row>
    <row r="72" spans="1:55" ht="15.5">
      <c r="A72" s="9">
        <v>20</v>
      </c>
      <c r="B72" s="9">
        <v>30</v>
      </c>
      <c r="C72" s="9">
        <v>30</v>
      </c>
      <c r="D72" s="9">
        <v>20</v>
      </c>
      <c r="E72" s="9">
        <v>20</v>
      </c>
      <c r="F72" s="9">
        <v>30</v>
      </c>
      <c r="G72" s="9">
        <v>30</v>
      </c>
      <c r="H72" s="9">
        <v>20</v>
      </c>
      <c r="I72" s="9">
        <v>20</v>
      </c>
      <c r="J72" s="9">
        <v>30</v>
      </c>
      <c r="K72" s="9">
        <v>20</v>
      </c>
      <c r="L72" s="9">
        <v>30</v>
      </c>
      <c r="M72" s="9">
        <v>20</v>
      </c>
      <c r="N72" s="9">
        <v>30</v>
      </c>
      <c r="O72" s="9">
        <v>30</v>
      </c>
      <c r="P72" s="9">
        <v>20</v>
      </c>
      <c r="Q72" s="9">
        <v>20</v>
      </c>
      <c r="R72" s="9">
        <v>20</v>
      </c>
      <c r="S72" s="9">
        <v>10</v>
      </c>
      <c r="T72" s="9">
        <v>50</v>
      </c>
      <c r="U72" s="9">
        <v>20</v>
      </c>
      <c r="V72" s="9">
        <v>20</v>
      </c>
      <c r="W72" s="9">
        <v>10</v>
      </c>
      <c r="X72" s="9">
        <v>50</v>
      </c>
      <c r="Y72" s="9">
        <v>70</v>
      </c>
      <c r="Z72" s="9">
        <v>10</v>
      </c>
      <c r="AA72" s="9">
        <v>10</v>
      </c>
      <c r="AB72" s="9">
        <v>10</v>
      </c>
      <c r="AC72" s="9">
        <v>70</v>
      </c>
      <c r="AD72" s="9">
        <v>10</v>
      </c>
      <c r="AE72" s="9">
        <v>10</v>
      </c>
      <c r="AF72" s="9">
        <v>10</v>
      </c>
      <c r="AG72" s="9">
        <v>50</v>
      </c>
      <c r="AH72" s="9">
        <v>20</v>
      </c>
      <c r="AI72" s="9">
        <v>10</v>
      </c>
      <c r="AJ72" s="9">
        <v>20</v>
      </c>
      <c r="AK72" s="9">
        <v>50</v>
      </c>
      <c r="AL72" s="9">
        <v>20</v>
      </c>
      <c r="AM72" s="9">
        <v>10</v>
      </c>
      <c r="AN72" s="9">
        <v>20</v>
      </c>
      <c r="AO72" s="9">
        <v>20</v>
      </c>
      <c r="AP72" s="9">
        <v>20</v>
      </c>
      <c r="AQ72" s="9">
        <v>20</v>
      </c>
      <c r="AR72" s="9">
        <v>40</v>
      </c>
      <c r="AS72" s="9">
        <v>20</v>
      </c>
      <c r="AT72" s="9">
        <v>20</v>
      </c>
      <c r="AU72" s="9">
        <v>20</v>
      </c>
      <c r="AV72" s="9">
        <v>40</v>
      </c>
      <c r="AW72" s="14"/>
      <c r="AX72" s="14"/>
      <c r="AY72" s="14">
        <v>4.1399999999999997</v>
      </c>
      <c r="AZ72" s="26" t="s">
        <v>16</v>
      </c>
      <c r="BA72" s="20"/>
      <c r="BB72">
        <f t="shared" si="2"/>
        <v>0</v>
      </c>
      <c r="BC72">
        <f t="shared" si="3"/>
        <v>4.1399999999999997</v>
      </c>
    </row>
    <row r="73" spans="1:55" ht="15.5">
      <c r="A73" s="5">
        <v>30</v>
      </c>
      <c r="B73" s="5">
        <v>20</v>
      </c>
      <c r="C73" s="5">
        <v>30</v>
      </c>
      <c r="D73" s="5">
        <v>20</v>
      </c>
      <c r="E73" s="5">
        <v>40</v>
      </c>
      <c r="F73" s="5">
        <v>20</v>
      </c>
      <c r="G73" s="5">
        <v>30</v>
      </c>
      <c r="H73" s="5">
        <v>10</v>
      </c>
      <c r="I73" s="5">
        <v>20</v>
      </c>
      <c r="J73" s="5">
        <v>20</v>
      </c>
      <c r="K73" s="5">
        <v>20</v>
      </c>
      <c r="L73" s="5">
        <v>40</v>
      </c>
      <c r="M73" s="5">
        <v>20</v>
      </c>
      <c r="N73" s="5">
        <v>20</v>
      </c>
      <c r="O73" s="5">
        <v>20</v>
      </c>
      <c r="P73" s="5">
        <v>40</v>
      </c>
      <c r="Q73" s="5">
        <v>40</v>
      </c>
      <c r="R73" s="5">
        <v>20</v>
      </c>
      <c r="S73" s="5">
        <v>20</v>
      </c>
      <c r="T73" s="5">
        <v>20</v>
      </c>
      <c r="U73" s="5">
        <v>20</v>
      </c>
      <c r="V73" s="5">
        <v>20</v>
      </c>
      <c r="W73" s="5">
        <v>20</v>
      </c>
      <c r="X73" s="5">
        <v>40</v>
      </c>
      <c r="Y73" s="5">
        <v>40</v>
      </c>
      <c r="Z73" s="5">
        <v>20</v>
      </c>
      <c r="AA73" s="5">
        <v>20</v>
      </c>
      <c r="AB73" s="5">
        <v>20</v>
      </c>
      <c r="AC73" s="5">
        <v>20</v>
      </c>
      <c r="AD73" s="5">
        <v>20</v>
      </c>
      <c r="AE73" s="5">
        <v>20</v>
      </c>
      <c r="AF73" s="5">
        <v>40</v>
      </c>
      <c r="AG73" s="5">
        <v>35</v>
      </c>
      <c r="AH73" s="5">
        <v>20</v>
      </c>
      <c r="AI73" s="5">
        <v>35</v>
      </c>
      <c r="AJ73" s="5">
        <v>10</v>
      </c>
      <c r="AK73" s="5">
        <v>25</v>
      </c>
      <c r="AL73" s="5">
        <v>25</v>
      </c>
      <c r="AM73" s="5">
        <v>15</v>
      </c>
      <c r="AN73" s="5">
        <v>35</v>
      </c>
      <c r="AO73" s="5">
        <v>20</v>
      </c>
      <c r="AP73" s="5">
        <v>20</v>
      </c>
      <c r="AQ73" s="5">
        <v>40</v>
      </c>
      <c r="AR73" s="5">
        <v>20</v>
      </c>
      <c r="AS73" s="5">
        <v>20</v>
      </c>
      <c r="AT73" s="5">
        <v>20</v>
      </c>
      <c r="AU73" s="5">
        <v>20</v>
      </c>
      <c r="AV73" s="5">
        <v>40</v>
      </c>
      <c r="AW73" s="6">
        <v>4.3499999999999996</v>
      </c>
      <c r="AX73" s="7" t="s">
        <v>16</v>
      </c>
      <c r="AY73" s="21"/>
      <c r="AZ73" s="21"/>
      <c r="BA73" s="22"/>
      <c r="BB73">
        <f t="shared" si="2"/>
        <v>4.3499999999999996</v>
      </c>
      <c r="BC73">
        <f t="shared" si="3"/>
        <v>4.3499999999999996</v>
      </c>
    </row>
    <row r="74" spans="1:55" ht="15.5">
      <c r="A74" s="9">
        <v>20</v>
      </c>
      <c r="B74" s="9">
        <v>60</v>
      </c>
      <c r="C74" s="9">
        <v>10</v>
      </c>
      <c r="D74" s="9">
        <v>10</v>
      </c>
      <c r="E74" s="9">
        <v>60</v>
      </c>
      <c r="F74" s="9">
        <v>10</v>
      </c>
      <c r="G74" s="9">
        <v>10</v>
      </c>
      <c r="H74" s="9">
        <v>20</v>
      </c>
      <c r="I74" s="9">
        <v>70</v>
      </c>
      <c r="J74" s="9">
        <v>10</v>
      </c>
      <c r="K74" s="9">
        <v>10</v>
      </c>
      <c r="L74" s="9">
        <v>10</v>
      </c>
      <c r="M74" s="9">
        <v>10</v>
      </c>
      <c r="N74" s="9">
        <v>20</v>
      </c>
      <c r="O74" s="9">
        <v>60</v>
      </c>
      <c r="P74" s="9">
        <v>10</v>
      </c>
      <c r="Q74" s="9">
        <v>10</v>
      </c>
      <c r="R74" s="9">
        <v>10</v>
      </c>
      <c r="S74" s="9">
        <v>10</v>
      </c>
      <c r="T74" s="9">
        <v>70</v>
      </c>
      <c r="U74" s="9">
        <v>40</v>
      </c>
      <c r="V74" s="9">
        <v>20</v>
      </c>
      <c r="W74" s="9">
        <v>10</v>
      </c>
      <c r="X74" s="9">
        <v>30</v>
      </c>
      <c r="Y74" s="9">
        <v>70</v>
      </c>
      <c r="Z74" s="9">
        <v>10</v>
      </c>
      <c r="AA74" s="9">
        <v>10</v>
      </c>
      <c r="AB74" s="9">
        <v>10</v>
      </c>
      <c r="AC74" s="9">
        <v>70</v>
      </c>
      <c r="AD74" s="9">
        <v>10</v>
      </c>
      <c r="AE74" s="9">
        <v>10</v>
      </c>
      <c r="AF74" s="9">
        <v>10</v>
      </c>
      <c r="AG74" s="9">
        <v>10</v>
      </c>
      <c r="AH74" s="9">
        <v>10</v>
      </c>
      <c r="AI74" s="9">
        <v>10</v>
      </c>
      <c r="AJ74" s="9">
        <v>70</v>
      </c>
      <c r="AK74" s="9">
        <v>10</v>
      </c>
      <c r="AL74" s="9">
        <v>10</v>
      </c>
      <c r="AM74" s="9">
        <v>10</v>
      </c>
      <c r="AN74" s="9">
        <v>70</v>
      </c>
      <c r="AO74" s="9">
        <v>70</v>
      </c>
      <c r="AP74" s="9">
        <v>10</v>
      </c>
      <c r="AQ74" s="9">
        <v>10</v>
      </c>
      <c r="AR74" s="9">
        <v>10</v>
      </c>
      <c r="AS74" s="9">
        <v>20</v>
      </c>
      <c r="AT74" s="9">
        <v>20</v>
      </c>
      <c r="AU74" s="9">
        <v>20</v>
      </c>
      <c r="AV74" s="9">
        <v>40</v>
      </c>
      <c r="AW74" s="10">
        <v>4.45</v>
      </c>
      <c r="AX74" s="15" t="s">
        <v>16</v>
      </c>
      <c r="AY74" s="19"/>
      <c r="AZ74" s="19"/>
      <c r="BA74" s="20"/>
      <c r="BB74">
        <f t="shared" si="2"/>
        <v>4.45</v>
      </c>
      <c r="BC74">
        <f t="shared" si="3"/>
        <v>4.45</v>
      </c>
    </row>
    <row r="75" spans="1:55" ht="15.5">
      <c r="A75" s="5">
        <v>40</v>
      </c>
      <c r="B75" s="5">
        <v>20</v>
      </c>
      <c r="C75" s="5">
        <v>20</v>
      </c>
      <c r="D75" s="5">
        <v>20</v>
      </c>
      <c r="E75" s="5">
        <v>40</v>
      </c>
      <c r="F75" s="5">
        <v>30</v>
      </c>
      <c r="G75" s="5">
        <v>15</v>
      </c>
      <c r="H75" s="5">
        <v>15</v>
      </c>
      <c r="I75" s="5">
        <v>30</v>
      </c>
      <c r="J75" s="5">
        <v>30</v>
      </c>
      <c r="K75" s="5">
        <v>20</v>
      </c>
      <c r="L75" s="5">
        <v>20</v>
      </c>
      <c r="M75" s="5">
        <v>30</v>
      </c>
      <c r="N75" s="5">
        <v>30</v>
      </c>
      <c r="O75" s="5">
        <v>20</v>
      </c>
      <c r="P75" s="5">
        <v>20</v>
      </c>
      <c r="Q75" s="5">
        <v>30</v>
      </c>
      <c r="R75" s="5">
        <v>30</v>
      </c>
      <c r="S75" s="5">
        <v>20</v>
      </c>
      <c r="T75" s="5">
        <v>20</v>
      </c>
      <c r="U75" s="5">
        <v>30</v>
      </c>
      <c r="V75" s="5">
        <v>30</v>
      </c>
      <c r="W75" s="5">
        <v>20</v>
      </c>
      <c r="X75" s="5">
        <v>20</v>
      </c>
      <c r="Y75" s="5">
        <v>30</v>
      </c>
      <c r="Z75" s="5">
        <v>30</v>
      </c>
      <c r="AA75" s="5">
        <v>20</v>
      </c>
      <c r="AB75" s="5">
        <v>20</v>
      </c>
      <c r="AC75" s="5">
        <v>30</v>
      </c>
      <c r="AD75" s="5">
        <v>30</v>
      </c>
      <c r="AE75" s="5">
        <v>20</v>
      </c>
      <c r="AF75" s="5">
        <v>20</v>
      </c>
      <c r="AG75" s="5">
        <v>30</v>
      </c>
      <c r="AH75" s="5">
        <v>30</v>
      </c>
      <c r="AI75" s="5">
        <v>20</v>
      </c>
      <c r="AJ75" s="5">
        <v>20</v>
      </c>
      <c r="AK75" s="5">
        <v>30</v>
      </c>
      <c r="AL75" s="5">
        <v>30</v>
      </c>
      <c r="AM75" s="5">
        <v>20</v>
      </c>
      <c r="AN75" s="5">
        <v>20</v>
      </c>
      <c r="AO75" s="5">
        <v>30</v>
      </c>
      <c r="AP75" s="5">
        <v>30</v>
      </c>
      <c r="AQ75" s="5">
        <v>20</v>
      </c>
      <c r="AR75" s="5">
        <v>20</v>
      </c>
      <c r="AS75" s="5">
        <v>30</v>
      </c>
      <c r="AT75" s="5">
        <v>30</v>
      </c>
      <c r="AU75" s="5">
        <v>20</v>
      </c>
      <c r="AV75" s="5">
        <v>20</v>
      </c>
      <c r="AW75" s="12">
        <v>4.4000000000000004</v>
      </c>
      <c r="AX75" s="12" t="s">
        <v>16</v>
      </c>
      <c r="BB75">
        <f t="shared" si="2"/>
        <v>4.4000000000000004</v>
      </c>
      <c r="BC75">
        <f t="shared" si="3"/>
        <v>4.4000000000000004</v>
      </c>
    </row>
    <row r="76" spans="1:55" ht="15.5">
      <c r="A76" s="9">
        <v>40</v>
      </c>
      <c r="B76" s="9">
        <v>20</v>
      </c>
      <c r="C76" s="9">
        <v>20</v>
      </c>
      <c r="D76" s="9">
        <v>20</v>
      </c>
      <c r="E76" s="9">
        <v>25</v>
      </c>
      <c r="F76" s="9">
        <v>25</v>
      </c>
      <c r="G76" s="9">
        <v>25</v>
      </c>
      <c r="H76" s="9">
        <v>25</v>
      </c>
      <c r="I76" s="9">
        <v>25</v>
      </c>
      <c r="J76" s="9">
        <v>25</v>
      </c>
      <c r="K76" s="9">
        <v>25</v>
      </c>
      <c r="L76" s="9">
        <v>25</v>
      </c>
      <c r="M76" s="9">
        <v>20</v>
      </c>
      <c r="N76" s="9">
        <v>20</v>
      </c>
      <c r="O76" s="9">
        <v>30</v>
      </c>
      <c r="P76" s="9">
        <v>30</v>
      </c>
      <c r="Q76" s="9">
        <v>25</v>
      </c>
      <c r="R76" s="9">
        <v>25</v>
      </c>
      <c r="S76" s="9">
        <v>25</v>
      </c>
      <c r="T76" s="9">
        <v>25</v>
      </c>
      <c r="U76" s="9">
        <v>25</v>
      </c>
      <c r="V76" s="9">
        <v>25</v>
      </c>
      <c r="W76" s="9">
        <v>25</v>
      </c>
      <c r="X76" s="9">
        <v>25</v>
      </c>
      <c r="Y76" s="9">
        <v>25</v>
      </c>
      <c r="Z76" s="9">
        <v>25</v>
      </c>
      <c r="AA76" s="9">
        <v>25</v>
      </c>
      <c r="AB76" s="9">
        <v>25</v>
      </c>
      <c r="AC76" s="9">
        <v>20</v>
      </c>
      <c r="AD76" s="9">
        <v>30</v>
      </c>
      <c r="AE76" s="9">
        <v>30</v>
      </c>
      <c r="AF76" s="9">
        <v>20</v>
      </c>
      <c r="AG76" s="9">
        <v>30</v>
      </c>
      <c r="AH76" s="9">
        <v>20</v>
      </c>
      <c r="AI76" s="9">
        <v>30</v>
      </c>
      <c r="AJ76" s="9">
        <v>20</v>
      </c>
      <c r="AK76" s="9">
        <v>20</v>
      </c>
      <c r="AL76" s="9">
        <v>20</v>
      </c>
      <c r="AM76" s="9">
        <v>20</v>
      </c>
      <c r="AN76" s="9">
        <v>40</v>
      </c>
      <c r="AO76" s="9">
        <v>25</v>
      </c>
      <c r="AP76" s="9">
        <v>25</v>
      </c>
      <c r="AQ76" s="9">
        <v>25</v>
      </c>
      <c r="AR76" s="9">
        <v>25</v>
      </c>
      <c r="AS76" s="9">
        <v>25</v>
      </c>
      <c r="AT76" s="9">
        <v>25</v>
      </c>
      <c r="AU76" s="9">
        <v>25</v>
      </c>
      <c r="AV76" s="9">
        <v>25</v>
      </c>
      <c r="AW76" s="10">
        <v>4.05</v>
      </c>
      <c r="AX76" s="15" t="s">
        <v>16</v>
      </c>
      <c r="AY76" s="10">
        <v>4.55</v>
      </c>
      <c r="AZ76" s="15" t="s">
        <v>16</v>
      </c>
      <c r="BA76" s="16"/>
      <c r="BB76">
        <f t="shared" si="2"/>
        <v>4.05</v>
      </c>
      <c r="BC76">
        <f t="shared" si="3"/>
        <v>4.05</v>
      </c>
    </row>
    <row r="77" spans="1:55" ht="15.5">
      <c r="A77" s="5">
        <v>40</v>
      </c>
      <c r="B77" s="5">
        <v>30</v>
      </c>
      <c r="C77" s="5">
        <v>15</v>
      </c>
      <c r="D77" s="5">
        <v>15</v>
      </c>
      <c r="E77" s="5">
        <v>25</v>
      </c>
      <c r="F77" s="5">
        <v>25</v>
      </c>
      <c r="G77" s="5">
        <v>25</v>
      </c>
      <c r="H77" s="5">
        <v>25</v>
      </c>
      <c r="I77" s="5">
        <v>40</v>
      </c>
      <c r="J77" s="5">
        <v>20</v>
      </c>
      <c r="K77" s="5">
        <v>20</v>
      </c>
      <c r="L77" s="5">
        <v>20</v>
      </c>
      <c r="M77" s="5">
        <v>25</v>
      </c>
      <c r="N77" s="5">
        <v>25</v>
      </c>
      <c r="O77" s="5">
        <v>25</v>
      </c>
      <c r="P77" s="5">
        <v>25</v>
      </c>
      <c r="Q77" s="5">
        <v>25</v>
      </c>
      <c r="R77" s="5">
        <v>25</v>
      </c>
      <c r="S77" s="5">
        <v>25</v>
      </c>
      <c r="T77" s="5">
        <v>25</v>
      </c>
      <c r="U77" s="5">
        <v>25</v>
      </c>
      <c r="V77" s="5">
        <v>25</v>
      </c>
      <c r="W77" s="5">
        <v>25</v>
      </c>
      <c r="X77" s="5">
        <v>25</v>
      </c>
      <c r="Y77" s="5">
        <v>10</v>
      </c>
      <c r="Z77" s="5">
        <v>30</v>
      </c>
      <c r="AA77" s="5">
        <v>30</v>
      </c>
      <c r="AB77" s="5">
        <v>30</v>
      </c>
      <c r="AC77" s="5">
        <v>25</v>
      </c>
      <c r="AD77" s="5">
        <v>25</v>
      </c>
      <c r="AE77" s="5">
        <v>25</v>
      </c>
      <c r="AF77" s="5">
        <v>25</v>
      </c>
      <c r="AG77" s="5">
        <v>25</v>
      </c>
      <c r="AH77" s="5">
        <v>25</v>
      </c>
      <c r="AI77" s="5">
        <v>25</v>
      </c>
      <c r="AJ77" s="5">
        <v>25</v>
      </c>
      <c r="AK77" s="5">
        <v>25</v>
      </c>
      <c r="AL77" s="5">
        <v>25</v>
      </c>
      <c r="AM77" s="5">
        <v>25</v>
      </c>
      <c r="AN77" s="5">
        <v>25</v>
      </c>
      <c r="AO77" s="5">
        <v>25</v>
      </c>
      <c r="AP77" s="5">
        <v>25</v>
      </c>
      <c r="AQ77" s="5">
        <v>25</v>
      </c>
      <c r="AR77" s="5">
        <v>25</v>
      </c>
      <c r="AS77" s="5">
        <v>25</v>
      </c>
      <c r="AT77" s="5">
        <v>25</v>
      </c>
      <c r="AU77" s="5">
        <v>25</v>
      </c>
      <c r="AV77" s="5">
        <v>25</v>
      </c>
      <c r="AW77" s="6">
        <v>4.25</v>
      </c>
      <c r="AX77" s="7" t="s">
        <v>16</v>
      </c>
      <c r="AY77" s="21"/>
      <c r="AZ77" s="21"/>
      <c r="BA77" s="22"/>
      <c r="BB77">
        <f t="shared" si="2"/>
        <v>4.25</v>
      </c>
      <c r="BC77">
        <f t="shared" si="3"/>
        <v>4.25</v>
      </c>
    </row>
    <row r="78" spans="1:55" ht="15.5">
      <c r="A78" s="9">
        <v>30</v>
      </c>
      <c r="B78" s="9">
        <v>10</v>
      </c>
      <c r="C78" s="9">
        <v>30</v>
      </c>
      <c r="D78" s="9">
        <v>30</v>
      </c>
      <c r="E78" s="9">
        <v>30</v>
      </c>
      <c r="F78" s="9">
        <v>10</v>
      </c>
      <c r="G78" s="9">
        <v>30</v>
      </c>
      <c r="H78" s="9">
        <v>30</v>
      </c>
      <c r="I78" s="9">
        <v>35</v>
      </c>
      <c r="J78" s="9">
        <v>15</v>
      </c>
      <c r="K78" s="9">
        <v>15</v>
      </c>
      <c r="L78" s="9">
        <v>35</v>
      </c>
      <c r="M78" s="9">
        <v>30</v>
      </c>
      <c r="N78" s="9">
        <v>20</v>
      </c>
      <c r="O78" s="9">
        <v>20</v>
      </c>
      <c r="P78" s="9">
        <v>30</v>
      </c>
      <c r="Q78" s="9">
        <v>20</v>
      </c>
      <c r="R78" s="9">
        <v>20</v>
      </c>
      <c r="S78" s="9">
        <v>30</v>
      </c>
      <c r="T78" s="9">
        <v>30</v>
      </c>
      <c r="U78" s="9">
        <v>20</v>
      </c>
      <c r="V78" s="9">
        <v>20</v>
      </c>
      <c r="W78" s="9">
        <v>30</v>
      </c>
      <c r="X78" s="9">
        <v>30</v>
      </c>
      <c r="Y78" s="9">
        <v>30</v>
      </c>
      <c r="Z78" s="9">
        <v>30</v>
      </c>
      <c r="AA78" s="9">
        <v>10</v>
      </c>
      <c r="AB78" s="9">
        <v>30</v>
      </c>
      <c r="AC78" s="9">
        <v>30</v>
      </c>
      <c r="AD78" s="9">
        <v>10</v>
      </c>
      <c r="AE78" s="9">
        <v>30</v>
      </c>
      <c r="AF78" s="9">
        <v>30</v>
      </c>
      <c r="AG78" s="9">
        <v>30</v>
      </c>
      <c r="AH78" s="9">
        <v>30</v>
      </c>
      <c r="AI78" s="9">
        <v>20</v>
      </c>
      <c r="AJ78" s="9">
        <v>20</v>
      </c>
      <c r="AK78" s="9">
        <v>30</v>
      </c>
      <c r="AL78" s="9">
        <v>30</v>
      </c>
      <c r="AM78" s="9">
        <v>20</v>
      </c>
      <c r="AN78" s="9">
        <v>20</v>
      </c>
      <c r="AO78" s="9">
        <v>40</v>
      </c>
      <c r="AP78" s="9">
        <v>20</v>
      </c>
      <c r="AQ78" s="9">
        <v>20</v>
      </c>
      <c r="AR78" s="9">
        <v>20</v>
      </c>
      <c r="AS78" s="9">
        <v>40</v>
      </c>
      <c r="AT78" s="9">
        <v>20</v>
      </c>
      <c r="AU78" s="9">
        <v>20</v>
      </c>
      <c r="AV78" s="9">
        <v>20</v>
      </c>
      <c r="AW78" s="10">
        <v>4.25</v>
      </c>
      <c r="AX78" s="15" t="s">
        <v>16</v>
      </c>
      <c r="AY78" s="19"/>
      <c r="AZ78" s="19"/>
      <c r="BA78" s="20"/>
      <c r="BB78">
        <f t="shared" si="2"/>
        <v>4.25</v>
      </c>
      <c r="BC78">
        <f t="shared" si="3"/>
        <v>4.25</v>
      </c>
    </row>
    <row r="79" spans="1:55" ht="15.5">
      <c r="A79" s="5">
        <v>30</v>
      </c>
      <c r="B79" s="5">
        <v>30</v>
      </c>
      <c r="C79" s="5">
        <v>20</v>
      </c>
      <c r="D79" s="5">
        <v>20</v>
      </c>
      <c r="E79" s="5">
        <v>30</v>
      </c>
      <c r="F79" s="5">
        <v>20</v>
      </c>
      <c r="G79" s="5">
        <v>30</v>
      </c>
      <c r="H79" s="5">
        <v>20</v>
      </c>
      <c r="I79" s="5">
        <v>30</v>
      </c>
      <c r="J79" s="5">
        <v>20</v>
      </c>
      <c r="K79" s="5">
        <v>30</v>
      </c>
      <c r="L79" s="5">
        <v>20</v>
      </c>
      <c r="M79" s="5">
        <v>30</v>
      </c>
      <c r="N79" s="5">
        <v>30</v>
      </c>
      <c r="O79" s="5">
        <v>20</v>
      </c>
      <c r="P79" s="5">
        <v>20</v>
      </c>
      <c r="Q79" s="5">
        <v>20</v>
      </c>
      <c r="R79" s="5">
        <v>30</v>
      </c>
      <c r="S79" s="5">
        <v>30</v>
      </c>
      <c r="T79" s="5">
        <v>20</v>
      </c>
      <c r="U79" s="5">
        <v>20</v>
      </c>
      <c r="V79" s="5">
        <v>30</v>
      </c>
      <c r="W79" s="5">
        <v>30</v>
      </c>
      <c r="X79" s="5">
        <v>20</v>
      </c>
      <c r="Y79" s="5">
        <v>30</v>
      </c>
      <c r="Z79" s="5">
        <v>20</v>
      </c>
      <c r="AA79" s="5">
        <v>20</v>
      </c>
      <c r="AB79" s="5">
        <v>30</v>
      </c>
      <c r="AC79" s="5">
        <v>30</v>
      </c>
      <c r="AD79" s="5">
        <v>20</v>
      </c>
      <c r="AE79" s="5">
        <v>20</v>
      </c>
      <c r="AF79" s="5">
        <v>30</v>
      </c>
      <c r="AG79" s="5">
        <v>30</v>
      </c>
      <c r="AH79" s="5">
        <v>30</v>
      </c>
      <c r="AI79" s="5">
        <v>20</v>
      </c>
      <c r="AJ79" s="5">
        <v>20</v>
      </c>
      <c r="AK79" s="5">
        <v>30</v>
      </c>
      <c r="AL79" s="5">
        <v>20</v>
      </c>
      <c r="AM79" s="5">
        <v>30</v>
      </c>
      <c r="AN79" s="5">
        <v>20</v>
      </c>
      <c r="AO79" s="5">
        <v>30</v>
      </c>
      <c r="AP79" s="5">
        <v>20</v>
      </c>
      <c r="AQ79" s="5">
        <v>30</v>
      </c>
      <c r="AR79" s="5">
        <v>20</v>
      </c>
      <c r="AS79" s="5">
        <v>30</v>
      </c>
      <c r="AT79" s="5">
        <v>20</v>
      </c>
      <c r="AU79" s="5">
        <v>30</v>
      </c>
      <c r="AV79" s="5">
        <v>20</v>
      </c>
      <c r="AW79" s="6">
        <v>4.0599999999999996</v>
      </c>
      <c r="AX79" s="6" t="s">
        <v>16</v>
      </c>
      <c r="AY79" s="21" t="s">
        <v>38</v>
      </c>
      <c r="AZ79" s="21"/>
      <c r="BA79" s="22"/>
      <c r="BB79">
        <f t="shared" si="2"/>
        <v>4.0599999999999996</v>
      </c>
      <c r="BC79">
        <f t="shared" si="3"/>
        <v>4.0599999999999996</v>
      </c>
    </row>
    <row r="80" spans="1:55" ht="15.5">
      <c r="A80" s="9">
        <v>10</v>
      </c>
      <c r="B80" s="9">
        <v>30</v>
      </c>
      <c r="C80" s="9">
        <v>30</v>
      </c>
      <c r="D80" s="9">
        <v>30</v>
      </c>
      <c r="E80" s="9">
        <v>25</v>
      </c>
      <c r="F80" s="9">
        <v>25</v>
      </c>
      <c r="G80" s="9">
        <v>25</v>
      </c>
      <c r="H80" s="9">
        <v>25</v>
      </c>
      <c r="I80" s="9">
        <v>25</v>
      </c>
      <c r="J80" s="9">
        <v>25</v>
      </c>
      <c r="K80" s="9">
        <v>25</v>
      </c>
      <c r="L80" s="9">
        <v>25</v>
      </c>
      <c r="M80" s="9">
        <v>25</v>
      </c>
      <c r="N80" s="9">
        <v>25</v>
      </c>
      <c r="O80" s="9">
        <v>25</v>
      </c>
      <c r="P80" s="9">
        <v>25</v>
      </c>
      <c r="Q80" s="9">
        <v>25</v>
      </c>
      <c r="R80" s="9">
        <v>25</v>
      </c>
      <c r="S80" s="9">
        <v>25</v>
      </c>
      <c r="T80" s="9">
        <v>25</v>
      </c>
      <c r="U80" s="9">
        <v>25</v>
      </c>
      <c r="V80" s="9">
        <v>25</v>
      </c>
      <c r="W80" s="9">
        <v>25</v>
      </c>
      <c r="X80" s="9">
        <v>25</v>
      </c>
      <c r="Y80" s="9">
        <v>25</v>
      </c>
      <c r="Z80" s="9">
        <v>25</v>
      </c>
      <c r="AA80" s="9">
        <v>25</v>
      </c>
      <c r="AB80" s="9">
        <v>25</v>
      </c>
      <c r="AC80" s="9">
        <v>25</v>
      </c>
      <c r="AD80" s="9">
        <v>25</v>
      </c>
      <c r="AE80" s="9">
        <v>25</v>
      </c>
      <c r="AF80" s="9">
        <v>25</v>
      </c>
      <c r="AG80" s="9">
        <v>25</v>
      </c>
      <c r="AH80" s="9">
        <v>25</v>
      </c>
      <c r="AI80" s="9">
        <v>25</v>
      </c>
      <c r="AJ80" s="9">
        <v>25</v>
      </c>
      <c r="AK80" s="9">
        <v>25</v>
      </c>
      <c r="AL80" s="9">
        <v>25</v>
      </c>
      <c r="AM80" s="9">
        <v>25</v>
      </c>
      <c r="AN80" s="9">
        <v>25</v>
      </c>
      <c r="AO80" s="9">
        <v>25</v>
      </c>
      <c r="AP80" s="9">
        <v>25</v>
      </c>
      <c r="AQ80" s="9">
        <v>25</v>
      </c>
      <c r="AR80" s="9">
        <v>25</v>
      </c>
      <c r="AS80" s="9">
        <v>25</v>
      </c>
      <c r="AT80" s="9">
        <v>25</v>
      </c>
      <c r="AU80" s="9">
        <v>25</v>
      </c>
      <c r="AV80" s="9">
        <v>25</v>
      </c>
      <c r="AW80" s="10">
        <v>3.94</v>
      </c>
      <c r="AX80" s="10" t="s">
        <v>26</v>
      </c>
      <c r="AY80" s="10">
        <v>4.3499999999999996</v>
      </c>
      <c r="AZ80" s="15" t="s">
        <v>16</v>
      </c>
      <c r="BA80" s="16"/>
      <c r="BB80">
        <f t="shared" si="2"/>
        <v>3.94</v>
      </c>
      <c r="BC80">
        <f t="shared" si="3"/>
        <v>3.94</v>
      </c>
    </row>
    <row r="81" spans="1:55" ht="15.5">
      <c r="A81" s="5">
        <v>40</v>
      </c>
      <c r="B81" s="5">
        <v>20</v>
      </c>
      <c r="C81" s="5">
        <v>20</v>
      </c>
      <c r="D81" s="5">
        <v>20</v>
      </c>
      <c r="E81" s="5">
        <v>40</v>
      </c>
      <c r="F81" s="5">
        <v>30</v>
      </c>
      <c r="G81" s="5">
        <v>20</v>
      </c>
      <c r="H81" s="5">
        <v>10</v>
      </c>
      <c r="I81" s="5">
        <v>40</v>
      </c>
      <c r="J81" s="5">
        <v>20</v>
      </c>
      <c r="K81" s="5">
        <v>20</v>
      </c>
      <c r="L81" s="5">
        <v>20</v>
      </c>
      <c r="M81" s="5">
        <v>30</v>
      </c>
      <c r="N81" s="5">
        <v>30</v>
      </c>
      <c r="O81" s="5">
        <v>20</v>
      </c>
      <c r="P81" s="5">
        <v>20</v>
      </c>
      <c r="Q81" s="5">
        <v>20</v>
      </c>
      <c r="R81" s="5">
        <v>20</v>
      </c>
      <c r="S81" s="5">
        <v>20</v>
      </c>
      <c r="T81" s="5">
        <v>40</v>
      </c>
      <c r="U81" s="5">
        <v>20</v>
      </c>
      <c r="V81" s="5">
        <v>20</v>
      </c>
      <c r="W81" s="5">
        <v>20</v>
      </c>
      <c r="X81" s="5">
        <v>40</v>
      </c>
      <c r="Y81" s="5">
        <v>35</v>
      </c>
      <c r="Z81" s="5">
        <v>25</v>
      </c>
      <c r="AA81" s="5">
        <v>25</v>
      </c>
      <c r="AB81" s="5">
        <v>15</v>
      </c>
      <c r="AC81" s="5">
        <v>30</v>
      </c>
      <c r="AD81" s="5">
        <v>30</v>
      </c>
      <c r="AE81" s="5">
        <v>20</v>
      </c>
      <c r="AF81" s="5">
        <v>20</v>
      </c>
      <c r="AG81" s="5">
        <v>20</v>
      </c>
      <c r="AH81" s="5">
        <v>40</v>
      </c>
      <c r="AI81" s="5">
        <v>20</v>
      </c>
      <c r="AJ81" s="5">
        <v>20</v>
      </c>
      <c r="AK81" s="5">
        <v>20</v>
      </c>
      <c r="AL81" s="5">
        <v>40</v>
      </c>
      <c r="AM81" s="5">
        <v>20</v>
      </c>
      <c r="AN81" s="5">
        <v>20</v>
      </c>
      <c r="AO81" s="5">
        <v>40</v>
      </c>
      <c r="AP81" s="5">
        <v>30</v>
      </c>
      <c r="AQ81" s="5">
        <v>20</v>
      </c>
      <c r="AR81" s="5">
        <v>10</v>
      </c>
      <c r="AS81" s="5">
        <v>30</v>
      </c>
      <c r="AT81" s="5">
        <v>20</v>
      </c>
      <c r="AU81" s="5">
        <v>40</v>
      </c>
      <c r="AV81" s="5">
        <v>10</v>
      </c>
      <c r="AW81" s="6">
        <v>3.74</v>
      </c>
      <c r="AX81" s="6" t="s">
        <v>26</v>
      </c>
      <c r="AY81" s="12">
        <v>4.12</v>
      </c>
      <c r="AZ81" s="12" t="s">
        <v>16</v>
      </c>
      <c r="BA81" s="13"/>
      <c r="BB81">
        <f t="shared" si="2"/>
        <v>3.74</v>
      </c>
      <c r="BC81">
        <f t="shared" si="3"/>
        <v>3.74</v>
      </c>
    </row>
    <row r="82" spans="1:55" ht="15.5">
      <c r="A82" s="9">
        <v>30</v>
      </c>
      <c r="B82" s="9">
        <v>20</v>
      </c>
      <c r="C82" s="9">
        <v>20</v>
      </c>
      <c r="D82" s="9">
        <v>30</v>
      </c>
      <c r="E82" s="9">
        <v>20</v>
      </c>
      <c r="F82" s="9">
        <v>20</v>
      </c>
      <c r="G82" s="9">
        <v>30</v>
      </c>
      <c r="H82" s="9">
        <v>30</v>
      </c>
      <c r="I82" s="9">
        <v>30</v>
      </c>
      <c r="J82" s="9">
        <v>30</v>
      </c>
      <c r="K82" s="9">
        <v>10</v>
      </c>
      <c r="L82" s="9">
        <v>30</v>
      </c>
      <c r="M82" s="9">
        <v>20</v>
      </c>
      <c r="N82" s="9">
        <v>20</v>
      </c>
      <c r="O82" s="9">
        <v>40</v>
      </c>
      <c r="P82" s="9">
        <v>20</v>
      </c>
      <c r="Q82" s="9">
        <v>20</v>
      </c>
      <c r="R82" s="9">
        <v>30</v>
      </c>
      <c r="S82" s="9">
        <v>20</v>
      </c>
      <c r="T82" s="9">
        <v>30</v>
      </c>
      <c r="U82" s="9">
        <v>20</v>
      </c>
      <c r="V82" s="9">
        <v>20</v>
      </c>
      <c r="W82" s="9">
        <v>30</v>
      </c>
      <c r="X82" s="9">
        <v>30</v>
      </c>
      <c r="Y82" s="9">
        <v>30</v>
      </c>
      <c r="Z82" s="9">
        <v>30</v>
      </c>
      <c r="AA82" s="9">
        <v>20</v>
      </c>
      <c r="AB82" s="9">
        <v>20</v>
      </c>
      <c r="AC82" s="9">
        <v>30</v>
      </c>
      <c r="AD82" s="9">
        <v>30</v>
      </c>
      <c r="AE82" s="9">
        <v>20</v>
      </c>
      <c r="AF82" s="9">
        <v>20</v>
      </c>
      <c r="AG82" s="9">
        <v>30</v>
      </c>
      <c r="AH82" s="9">
        <v>20</v>
      </c>
      <c r="AI82" s="9">
        <v>30</v>
      </c>
      <c r="AJ82" s="9">
        <v>20</v>
      </c>
      <c r="AK82" s="9">
        <v>20</v>
      </c>
      <c r="AL82" s="9">
        <v>20</v>
      </c>
      <c r="AM82" s="9">
        <v>30</v>
      </c>
      <c r="AN82" s="9">
        <v>30</v>
      </c>
      <c r="AO82" s="9">
        <v>40</v>
      </c>
      <c r="AP82" s="9">
        <v>20</v>
      </c>
      <c r="AQ82" s="9">
        <v>20</v>
      </c>
      <c r="AR82" s="9">
        <v>20</v>
      </c>
      <c r="AS82" s="9">
        <v>30</v>
      </c>
      <c r="AT82" s="9">
        <v>20</v>
      </c>
      <c r="AU82" s="9">
        <v>20</v>
      </c>
      <c r="AV82" s="9">
        <v>30</v>
      </c>
      <c r="AW82" s="10">
        <v>4.6500000000000004</v>
      </c>
      <c r="AX82" s="15" t="s">
        <v>16</v>
      </c>
      <c r="AY82" s="19"/>
      <c r="AZ82" s="19"/>
      <c r="BA82" s="20"/>
      <c r="BB82">
        <f t="shared" si="2"/>
        <v>4.6500000000000004</v>
      </c>
      <c r="BC82">
        <f t="shared" si="3"/>
        <v>4.6500000000000004</v>
      </c>
    </row>
    <row r="83" spans="1:55" ht="15.5">
      <c r="A83" s="5">
        <v>40</v>
      </c>
      <c r="B83" s="5">
        <v>30</v>
      </c>
      <c r="C83" s="5">
        <v>10</v>
      </c>
      <c r="D83" s="5">
        <v>20</v>
      </c>
      <c r="E83" s="5">
        <v>20</v>
      </c>
      <c r="F83" s="5">
        <v>10</v>
      </c>
      <c r="G83" s="5">
        <v>35</v>
      </c>
      <c r="H83" s="5">
        <v>35</v>
      </c>
      <c r="I83" s="5">
        <v>40</v>
      </c>
      <c r="J83" s="5">
        <v>15</v>
      </c>
      <c r="K83" s="5">
        <v>15</v>
      </c>
      <c r="L83" s="5">
        <v>30</v>
      </c>
      <c r="M83" s="5">
        <v>35</v>
      </c>
      <c r="N83" s="5">
        <v>20</v>
      </c>
      <c r="O83" s="5">
        <v>35</v>
      </c>
      <c r="P83" s="5">
        <v>10</v>
      </c>
      <c r="Q83" s="5">
        <v>20</v>
      </c>
      <c r="R83" s="5">
        <v>20</v>
      </c>
      <c r="S83" s="5">
        <v>10</v>
      </c>
      <c r="T83" s="5">
        <v>50</v>
      </c>
      <c r="U83" s="5">
        <v>40</v>
      </c>
      <c r="V83" s="5">
        <v>15</v>
      </c>
      <c r="W83" s="5">
        <v>30</v>
      </c>
      <c r="X83" s="5">
        <v>15</v>
      </c>
      <c r="Y83" s="5">
        <v>50</v>
      </c>
      <c r="Z83" s="5">
        <v>20</v>
      </c>
      <c r="AA83" s="5">
        <v>10</v>
      </c>
      <c r="AB83" s="5">
        <v>20</v>
      </c>
      <c r="AC83" s="5">
        <v>10</v>
      </c>
      <c r="AD83" s="5">
        <v>30</v>
      </c>
      <c r="AE83" s="5">
        <v>30</v>
      </c>
      <c r="AF83" s="5">
        <v>30</v>
      </c>
      <c r="AG83" s="5">
        <v>40</v>
      </c>
      <c r="AH83" s="5">
        <v>20</v>
      </c>
      <c r="AI83" s="5">
        <v>20</v>
      </c>
      <c r="AJ83" s="5">
        <v>20</v>
      </c>
      <c r="AK83" s="5">
        <v>20</v>
      </c>
      <c r="AL83" s="5">
        <v>20</v>
      </c>
      <c r="AM83" s="5">
        <v>30</v>
      </c>
      <c r="AN83" s="5">
        <v>30</v>
      </c>
      <c r="AO83" s="5">
        <v>40</v>
      </c>
      <c r="AP83" s="5">
        <v>20</v>
      </c>
      <c r="AQ83" s="5">
        <v>20</v>
      </c>
      <c r="AR83" s="5">
        <v>20</v>
      </c>
      <c r="AS83" s="5">
        <v>50</v>
      </c>
      <c r="AT83" s="5">
        <v>30</v>
      </c>
      <c r="AU83" s="5">
        <v>10</v>
      </c>
      <c r="AV83" s="5">
        <v>10</v>
      </c>
      <c r="AW83" s="6">
        <v>4.1500000000000004</v>
      </c>
      <c r="AX83" s="7" t="s">
        <v>16</v>
      </c>
      <c r="AY83" s="21"/>
      <c r="AZ83" s="21"/>
      <c r="BA83" s="22"/>
      <c r="BB83">
        <f t="shared" si="2"/>
        <v>4.1500000000000004</v>
      </c>
      <c r="BC83">
        <f t="shared" si="3"/>
        <v>4.1500000000000004</v>
      </c>
    </row>
    <row r="84" spans="1:55" ht="15.5">
      <c r="A84" s="9">
        <v>35</v>
      </c>
      <c r="B84" s="9">
        <v>35</v>
      </c>
      <c r="C84" s="9">
        <v>15</v>
      </c>
      <c r="D84" s="9">
        <v>15</v>
      </c>
      <c r="E84" s="9">
        <v>10</v>
      </c>
      <c r="F84" s="9">
        <v>10</v>
      </c>
      <c r="G84" s="9">
        <v>70</v>
      </c>
      <c r="H84" s="9">
        <v>10</v>
      </c>
      <c r="I84" s="9">
        <v>25</v>
      </c>
      <c r="J84" s="9">
        <v>25</v>
      </c>
      <c r="K84" s="9">
        <v>25</v>
      </c>
      <c r="L84" s="9">
        <v>25</v>
      </c>
      <c r="M84" s="9">
        <v>40</v>
      </c>
      <c r="N84" s="9">
        <v>20</v>
      </c>
      <c r="O84" s="9">
        <v>20</v>
      </c>
      <c r="P84" s="9">
        <v>20</v>
      </c>
      <c r="Q84" s="9">
        <v>25</v>
      </c>
      <c r="R84" s="9">
        <v>25</v>
      </c>
      <c r="S84" s="9">
        <v>25</v>
      </c>
      <c r="T84" s="9">
        <v>25</v>
      </c>
      <c r="U84" s="9">
        <v>25</v>
      </c>
      <c r="V84" s="9">
        <v>25</v>
      </c>
      <c r="W84" s="9">
        <v>25</v>
      </c>
      <c r="X84" s="9">
        <v>25</v>
      </c>
      <c r="Y84" s="9">
        <v>25</v>
      </c>
      <c r="Z84" s="9">
        <v>25</v>
      </c>
      <c r="AA84" s="9">
        <v>25</v>
      </c>
      <c r="AB84" s="9">
        <v>25</v>
      </c>
      <c r="AC84" s="9">
        <v>20</v>
      </c>
      <c r="AD84" s="9">
        <v>20</v>
      </c>
      <c r="AE84" s="9">
        <v>40</v>
      </c>
      <c r="AF84" s="9">
        <v>20</v>
      </c>
      <c r="AG84" s="9">
        <v>25</v>
      </c>
      <c r="AH84" s="9">
        <v>25</v>
      </c>
      <c r="AI84" s="9">
        <v>35</v>
      </c>
      <c r="AJ84" s="9">
        <v>15</v>
      </c>
      <c r="AK84" s="9">
        <v>30</v>
      </c>
      <c r="AL84" s="9">
        <v>30</v>
      </c>
      <c r="AM84" s="9">
        <v>30</v>
      </c>
      <c r="AN84" s="9">
        <v>10</v>
      </c>
      <c r="AO84" s="9">
        <v>30</v>
      </c>
      <c r="AP84" s="9">
        <v>30</v>
      </c>
      <c r="AQ84" s="9">
        <v>10</v>
      </c>
      <c r="AR84" s="9">
        <v>30</v>
      </c>
      <c r="AS84" s="9">
        <v>25</v>
      </c>
      <c r="AT84" s="9">
        <v>25</v>
      </c>
      <c r="AU84" s="9">
        <v>25</v>
      </c>
      <c r="AV84" s="9">
        <v>25</v>
      </c>
      <c r="AW84" s="10">
        <v>3.98</v>
      </c>
      <c r="AX84" s="10" t="s">
        <v>26</v>
      </c>
      <c r="AY84" s="10">
        <v>4.1100000000000003</v>
      </c>
      <c r="AZ84" s="10" t="s">
        <v>16</v>
      </c>
      <c r="BA84" s="11"/>
      <c r="BB84">
        <f t="shared" si="2"/>
        <v>3.98</v>
      </c>
      <c r="BC84">
        <f t="shared" si="3"/>
        <v>3.98</v>
      </c>
    </row>
    <row r="85" spans="1:55" ht="15.5">
      <c r="A85" s="5">
        <v>40</v>
      </c>
      <c r="B85" s="5">
        <v>10</v>
      </c>
      <c r="C85" s="5">
        <v>20</v>
      </c>
      <c r="D85" s="5">
        <v>30</v>
      </c>
      <c r="E85" s="5">
        <v>40</v>
      </c>
      <c r="F85" s="5">
        <v>25</v>
      </c>
      <c r="G85" s="5">
        <v>25</v>
      </c>
      <c r="H85" s="5">
        <v>10</v>
      </c>
      <c r="I85" s="5">
        <v>50</v>
      </c>
      <c r="J85" s="5">
        <v>20</v>
      </c>
      <c r="K85" s="5">
        <v>20</v>
      </c>
      <c r="L85" s="5">
        <v>10</v>
      </c>
      <c r="M85" s="5">
        <v>40</v>
      </c>
      <c r="N85" s="5">
        <v>40</v>
      </c>
      <c r="O85" s="5">
        <v>10</v>
      </c>
      <c r="P85" s="5">
        <v>10</v>
      </c>
      <c r="Q85" s="5">
        <v>70</v>
      </c>
      <c r="R85" s="5">
        <v>10</v>
      </c>
      <c r="S85" s="5">
        <v>10</v>
      </c>
      <c r="T85" s="5">
        <v>10</v>
      </c>
      <c r="U85" s="5">
        <v>70</v>
      </c>
      <c r="V85" s="5">
        <v>10</v>
      </c>
      <c r="W85" s="5">
        <v>10</v>
      </c>
      <c r="X85" s="5">
        <v>10</v>
      </c>
      <c r="Y85" s="5">
        <v>60</v>
      </c>
      <c r="Z85" s="5">
        <v>10</v>
      </c>
      <c r="AA85" s="5">
        <v>10</v>
      </c>
      <c r="AB85" s="5">
        <v>20</v>
      </c>
      <c r="AC85" s="5">
        <v>70</v>
      </c>
      <c r="AD85" s="5">
        <v>10</v>
      </c>
      <c r="AE85" s="5">
        <v>10</v>
      </c>
      <c r="AF85" s="5">
        <v>10</v>
      </c>
      <c r="AG85" s="5">
        <v>50</v>
      </c>
      <c r="AH85" s="5">
        <v>30</v>
      </c>
      <c r="AI85" s="5">
        <v>10</v>
      </c>
      <c r="AJ85" s="5">
        <v>10</v>
      </c>
      <c r="AK85" s="5">
        <v>50</v>
      </c>
      <c r="AL85" s="5">
        <v>20</v>
      </c>
      <c r="AM85" s="5">
        <v>20</v>
      </c>
      <c r="AN85" s="5">
        <v>10</v>
      </c>
      <c r="AO85" s="5">
        <v>70</v>
      </c>
      <c r="AP85" s="5">
        <v>10</v>
      </c>
      <c r="AQ85" s="5">
        <v>10</v>
      </c>
      <c r="AR85" s="5">
        <v>10</v>
      </c>
      <c r="AS85" s="5">
        <v>70</v>
      </c>
      <c r="AT85" s="5">
        <v>10</v>
      </c>
      <c r="AU85" s="5">
        <v>10</v>
      </c>
      <c r="AV85" s="5">
        <v>10</v>
      </c>
      <c r="AW85" s="6">
        <v>4.32</v>
      </c>
      <c r="AX85" s="6" t="s">
        <v>16</v>
      </c>
      <c r="AY85" s="21"/>
      <c r="AZ85" s="21"/>
      <c r="BA85" s="22"/>
      <c r="BB85">
        <f t="shared" si="2"/>
        <v>4.32</v>
      </c>
      <c r="BC85">
        <f t="shared" si="3"/>
        <v>4.32</v>
      </c>
    </row>
    <row r="86" spans="1:55" ht="15.5">
      <c r="A86" s="9">
        <v>35</v>
      </c>
      <c r="B86" s="9">
        <v>35</v>
      </c>
      <c r="C86" s="9">
        <v>15</v>
      </c>
      <c r="D86" s="9">
        <v>15</v>
      </c>
      <c r="E86" s="9">
        <v>25</v>
      </c>
      <c r="F86" s="9">
        <v>25</v>
      </c>
      <c r="G86" s="9">
        <v>25</v>
      </c>
      <c r="H86" s="9">
        <v>25</v>
      </c>
      <c r="I86" s="9">
        <v>25</v>
      </c>
      <c r="J86" s="9">
        <v>25</v>
      </c>
      <c r="K86" s="9">
        <v>25</v>
      </c>
      <c r="L86" s="9">
        <v>25</v>
      </c>
      <c r="M86" s="9">
        <v>25</v>
      </c>
      <c r="N86" s="9">
        <v>25</v>
      </c>
      <c r="O86" s="9">
        <v>25</v>
      </c>
      <c r="P86" s="9">
        <v>25</v>
      </c>
      <c r="Q86" s="9">
        <v>20</v>
      </c>
      <c r="R86" s="9">
        <v>20</v>
      </c>
      <c r="S86" s="9">
        <v>40</v>
      </c>
      <c r="T86" s="9">
        <v>20</v>
      </c>
      <c r="U86" s="9">
        <v>25</v>
      </c>
      <c r="V86" s="9">
        <v>25</v>
      </c>
      <c r="W86" s="9">
        <v>25</v>
      </c>
      <c r="X86" s="9">
        <v>25</v>
      </c>
      <c r="Y86" s="9">
        <v>40</v>
      </c>
      <c r="Z86" s="9">
        <v>20</v>
      </c>
      <c r="AA86" s="9">
        <v>20</v>
      </c>
      <c r="AB86" s="9">
        <v>20</v>
      </c>
      <c r="AC86" s="9">
        <v>30</v>
      </c>
      <c r="AD86" s="9">
        <v>30</v>
      </c>
      <c r="AE86" s="9">
        <v>30</v>
      </c>
      <c r="AF86" s="9">
        <v>10</v>
      </c>
      <c r="AG86" s="9">
        <v>25</v>
      </c>
      <c r="AH86" s="9">
        <v>25</v>
      </c>
      <c r="AI86" s="9">
        <v>25</v>
      </c>
      <c r="AJ86" s="9">
        <v>25</v>
      </c>
      <c r="AK86" s="9">
        <v>25</v>
      </c>
      <c r="AL86" s="9">
        <v>25</v>
      </c>
      <c r="AM86" s="9">
        <v>25</v>
      </c>
      <c r="AN86" s="9">
        <v>25</v>
      </c>
      <c r="AO86" s="9">
        <v>20</v>
      </c>
      <c r="AP86" s="9">
        <v>20</v>
      </c>
      <c r="AQ86" s="9">
        <v>30</v>
      </c>
      <c r="AR86" s="9">
        <v>30</v>
      </c>
      <c r="AS86" s="9">
        <v>25</v>
      </c>
      <c r="AT86" s="9">
        <v>25</v>
      </c>
      <c r="AU86" s="9">
        <v>25</v>
      </c>
      <c r="AV86" s="9">
        <v>25</v>
      </c>
      <c r="AW86" s="23"/>
      <c r="AX86" s="23"/>
      <c r="AY86" s="10">
        <v>3.98</v>
      </c>
      <c r="AZ86" s="10" t="s">
        <v>26</v>
      </c>
      <c r="BA86" s="11"/>
      <c r="BB86">
        <f t="shared" si="2"/>
        <v>0</v>
      </c>
      <c r="BC86">
        <f t="shared" si="3"/>
        <v>3.98</v>
      </c>
    </row>
    <row r="87" spans="1:55" ht="15.5">
      <c r="A87" s="5">
        <v>30</v>
      </c>
      <c r="B87" s="5">
        <v>30</v>
      </c>
      <c r="C87" s="5">
        <v>10</v>
      </c>
      <c r="D87" s="5">
        <v>30</v>
      </c>
      <c r="E87" s="5">
        <v>30</v>
      </c>
      <c r="F87" s="5">
        <v>30</v>
      </c>
      <c r="G87" s="5">
        <v>20</v>
      </c>
      <c r="H87" s="5">
        <v>20</v>
      </c>
      <c r="I87" s="5">
        <v>40</v>
      </c>
      <c r="J87" s="5">
        <v>40</v>
      </c>
      <c r="K87" s="5">
        <v>10</v>
      </c>
      <c r="L87" s="5">
        <v>10</v>
      </c>
      <c r="M87" s="5">
        <v>30</v>
      </c>
      <c r="N87" s="5">
        <v>30</v>
      </c>
      <c r="O87" s="5">
        <v>20</v>
      </c>
      <c r="P87" s="5">
        <v>20</v>
      </c>
      <c r="Q87" s="5">
        <v>20</v>
      </c>
      <c r="R87" s="5">
        <v>20</v>
      </c>
      <c r="S87" s="5">
        <v>30</v>
      </c>
      <c r="T87" s="5">
        <v>30</v>
      </c>
      <c r="U87" s="5">
        <v>20</v>
      </c>
      <c r="V87" s="5">
        <v>20</v>
      </c>
      <c r="W87" s="5">
        <v>30</v>
      </c>
      <c r="X87" s="5">
        <v>30</v>
      </c>
      <c r="Y87" s="5">
        <v>20</v>
      </c>
      <c r="Z87" s="5">
        <v>20</v>
      </c>
      <c r="AA87" s="5">
        <v>30</v>
      </c>
      <c r="AB87" s="5">
        <v>30</v>
      </c>
      <c r="AC87" s="5">
        <v>20</v>
      </c>
      <c r="AD87" s="5">
        <v>20</v>
      </c>
      <c r="AE87" s="5">
        <v>30</v>
      </c>
      <c r="AF87" s="5">
        <v>30</v>
      </c>
      <c r="AG87" s="5">
        <v>20</v>
      </c>
      <c r="AH87" s="5">
        <v>20</v>
      </c>
      <c r="AI87" s="5">
        <v>30</v>
      </c>
      <c r="AJ87" s="5">
        <v>30</v>
      </c>
      <c r="AK87" s="5">
        <v>20</v>
      </c>
      <c r="AL87" s="5">
        <v>20</v>
      </c>
      <c r="AM87" s="5">
        <v>30</v>
      </c>
      <c r="AN87" s="5">
        <v>30</v>
      </c>
      <c r="AO87" s="5">
        <v>20</v>
      </c>
      <c r="AP87" s="5">
        <v>20</v>
      </c>
      <c r="AQ87" s="5">
        <v>30</v>
      </c>
      <c r="AR87" s="5">
        <v>30</v>
      </c>
      <c r="AS87" s="5">
        <v>20</v>
      </c>
      <c r="AT87" s="5">
        <v>20</v>
      </c>
      <c r="AU87" s="5">
        <v>30</v>
      </c>
      <c r="AV87" s="5">
        <v>30</v>
      </c>
      <c r="AW87" s="6">
        <v>4.16</v>
      </c>
      <c r="AX87" s="6" t="s">
        <v>16</v>
      </c>
      <c r="AY87" s="21"/>
      <c r="AZ87" s="21"/>
      <c r="BA87" s="22"/>
      <c r="BB87">
        <f t="shared" si="2"/>
        <v>4.16</v>
      </c>
      <c r="BC87">
        <f t="shared" si="3"/>
        <v>4.16</v>
      </c>
    </row>
    <row r="88" spans="1:55" ht="15.5">
      <c r="A88" s="9">
        <v>30</v>
      </c>
      <c r="B88" s="9">
        <v>30</v>
      </c>
      <c r="C88" s="9">
        <v>20</v>
      </c>
      <c r="D88" s="9">
        <v>20</v>
      </c>
      <c r="E88" s="9">
        <v>30</v>
      </c>
      <c r="F88" s="9">
        <v>30</v>
      </c>
      <c r="G88" s="9">
        <v>20</v>
      </c>
      <c r="H88" s="9">
        <v>20</v>
      </c>
      <c r="I88" s="9">
        <v>30</v>
      </c>
      <c r="J88" s="9">
        <v>30</v>
      </c>
      <c r="K88" s="9">
        <v>20</v>
      </c>
      <c r="L88" s="9">
        <v>20</v>
      </c>
      <c r="M88" s="9">
        <v>20</v>
      </c>
      <c r="N88" s="9">
        <v>20</v>
      </c>
      <c r="O88" s="9">
        <v>30</v>
      </c>
      <c r="P88" s="9">
        <v>30</v>
      </c>
      <c r="Q88" s="9">
        <v>20</v>
      </c>
      <c r="R88" s="9">
        <v>30</v>
      </c>
      <c r="S88" s="9">
        <v>30</v>
      </c>
      <c r="T88" s="9">
        <v>20</v>
      </c>
      <c r="U88" s="9">
        <v>30</v>
      </c>
      <c r="V88" s="9">
        <v>20</v>
      </c>
      <c r="W88" s="9">
        <v>20</v>
      </c>
      <c r="X88" s="9">
        <v>30</v>
      </c>
      <c r="Y88" s="9">
        <v>30</v>
      </c>
      <c r="Z88" s="9">
        <v>30</v>
      </c>
      <c r="AA88" s="9">
        <v>20</v>
      </c>
      <c r="AB88" s="9">
        <v>20</v>
      </c>
      <c r="AC88" s="9">
        <v>30</v>
      </c>
      <c r="AD88" s="9">
        <v>20</v>
      </c>
      <c r="AE88" s="9">
        <v>20</v>
      </c>
      <c r="AF88" s="9">
        <v>30</v>
      </c>
      <c r="AG88" s="9">
        <v>20</v>
      </c>
      <c r="AH88" s="9">
        <v>30</v>
      </c>
      <c r="AI88" s="9">
        <v>20</v>
      </c>
      <c r="AJ88" s="9">
        <v>30</v>
      </c>
      <c r="AK88" s="9">
        <v>30</v>
      </c>
      <c r="AL88" s="9">
        <v>20</v>
      </c>
      <c r="AM88" s="9">
        <v>20</v>
      </c>
      <c r="AN88" s="9">
        <v>30</v>
      </c>
      <c r="AO88" s="9">
        <v>30</v>
      </c>
      <c r="AP88" s="9">
        <v>20</v>
      </c>
      <c r="AQ88" s="9">
        <v>20</v>
      </c>
      <c r="AR88" s="9">
        <v>30</v>
      </c>
      <c r="AS88" s="9">
        <v>40</v>
      </c>
      <c r="AT88" s="9">
        <v>20</v>
      </c>
      <c r="AU88" s="9">
        <v>20</v>
      </c>
      <c r="AV88" s="9">
        <v>20</v>
      </c>
      <c r="AW88" s="10">
        <v>4.1500000000000004</v>
      </c>
      <c r="AX88" s="15" t="s">
        <v>16</v>
      </c>
      <c r="AY88" s="10">
        <v>4.45</v>
      </c>
      <c r="AZ88" s="15" t="s">
        <v>16</v>
      </c>
      <c r="BA88" s="16"/>
      <c r="BB88">
        <f t="shared" si="2"/>
        <v>4.1500000000000004</v>
      </c>
      <c r="BC88">
        <f t="shared" si="3"/>
        <v>4.1500000000000004</v>
      </c>
    </row>
    <row r="89" spans="1:55" ht="15.5">
      <c r="A89" s="5">
        <v>40</v>
      </c>
      <c r="B89" s="5">
        <v>20</v>
      </c>
      <c r="C89" s="5">
        <v>20</v>
      </c>
      <c r="D89" s="5">
        <v>20</v>
      </c>
      <c r="E89" s="5">
        <v>40</v>
      </c>
      <c r="F89" s="5">
        <v>20</v>
      </c>
      <c r="G89" s="5">
        <v>20</v>
      </c>
      <c r="H89" s="5">
        <v>20</v>
      </c>
      <c r="I89" s="5">
        <v>30</v>
      </c>
      <c r="J89" s="5">
        <v>30</v>
      </c>
      <c r="K89" s="5">
        <v>20</v>
      </c>
      <c r="L89" s="5">
        <v>20</v>
      </c>
      <c r="M89" s="5">
        <v>20</v>
      </c>
      <c r="N89" s="5">
        <v>20</v>
      </c>
      <c r="O89" s="5">
        <v>20</v>
      </c>
      <c r="P89" s="5">
        <v>40</v>
      </c>
      <c r="Q89" s="5">
        <v>30</v>
      </c>
      <c r="R89" s="5">
        <v>30</v>
      </c>
      <c r="S89" s="5">
        <v>20</v>
      </c>
      <c r="T89" s="5">
        <v>20</v>
      </c>
      <c r="U89" s="5">
        <v>20</v>
      </c>
      <c r="V89" s="5">
        <v>20</v>
      </c>
      <c r="W89" s="5">
        <v>20</v>
      </c>
      <c r="X89" s="5">
        <v>40</v>
      </c>
      <c r="Y89" s="5">
        <v>30</v>
      </c>
      <c r="Z89" s="5">
        <v>30</v>
      </c>
      <c r="AA89" s="5">
        <v>30</v>
      </c>
      <c r="AB89" s="5">
        <v>10</v>
      </c>
      <c r="AC89" s="5">
        <v>20</v>
      </c>
      <c r="AD89" s="5">
        <v>20</v>
      </c>
      <c r="AE89" s="5">
        <v>30</v>
      </c>
      <c r="AF89" s="5">
        <v>30</v>
      </c>
      <c r="AG89" s="5">
        <v>20</v>
      </c>
      <c r="AH89" s="5">
        <v>20</v>
      </c>
      <c r="AI89" s="5">
        <v>20</v>
      </c>
      <c r="AJ89" s="5">
        <v>40</v>
      </c>
      <c r="AK89" s="5">
        <v>40</v>
      </c>
      <c r="AL89" s="5">
        <v>40</v>
      </c>
      <c r="AM89" s="5">
        <v>10</v>
      </c>
      <c r="AN89" s="5">
        <v>10</v>
      </c>
      <c r="AO89" s="5">
        <v>20</v>
      </c>
      <c r="AP89" s="5">
        <v>20</v>
      </c>
      <c r="AQ89" s="5">
        <v>20</v>
      </c>
      <c r="AR89" s="5">
        <v>40</v>
      </c>
      <c r="AS89" s="5">
        <v>30</v>
      </c>
      <c r="AT89" s="5">
        <v>30</v>
      </c>
      <c r="AU89" s="5">
        <v>30</v>
      </c>
      <c r="AV89" s="5">
        <v>10</v>
      </c>
      <c r="AW89" s="6">
        <v>4.24</v>
      </c>
      <c r="AX89" s="6" t="s">
        <v>16</v>
      </c>
      <c r="AY89" s="21"/>
      <c r="AZ89" s="21"/>
      <c r="BA89" s="22"/>
      <c r="BB89">
        <f t="shared" si="2"/>
        <v>4.24</v>
      </c>
      <c r="BC89">
        <f t="shared" si="3"/>
        <v>4.24</v>
      </c>
    </row>
    <row r="90" spans="1:55" ht="15.5">
      <c r="A90" s="9">
        <v>40</v>
      </c>
      <c r="B90" s="9">
        <v>30</v>
      </c>
      <c r="C90" s="9">
        <v>15</v>
      </c>
      <c r="D90" s="9">
        <v>15</v>
      </c>
      <c r="E90" s="9">
        <v>25</v>
      </c>
      <c r="F90" s="9">
        <v>35</v>
      </c>
      <c r="G90" s="9">
        <v>15</v>
      </c>
      <c r="H90" s="9">
        <v>25</v>
      </c>
      <c r="I90" s="9">
        <v>30</v>
      </c>
      <c r="J90" s="9">
        <v>30</v>
      </c>
      <c r="K90" s="9">
        <v>30</v>
      </c>
      <c r="L90" s="9">
        <v>10</v>
      </c>
      <c r="M90" s="9">
        <v>20</v>
      </c>
      <c r="N90" s="9">
        <v>30</v>
      </c>
      <c r="O90" s="9">
        <v>20</v>
      </c>
      <c r="P90" s="9">
        <v>30</v>
      </c>
      <c r="Q90" s="9">
        <v>40</v>
      </c>
      <c r="R90" s="9">
        <v>20</v>
      </c>
      <c r="S90" s="9">
        <v>20</v>
      </c>
      <c r="T90" s="9">
        <v>20</v>
      </c>
      <c r="U90" s="9">
        <v>30</v>
      </c>
      <c r="V90" s="9">
        <v>20</v>
      </c>
      <c r="W90" s="9">
        <v>20</v>
      </c>
      <c r="X90" s="9">
        <v>30</v>
      </c>
      <c r="Y90" s="9">
        <v>20</v>
      </c>
      <c r="Z90" s="9">
        <v>30</v>
      </c>
      <c r="AA90" s="9">
        <v>20</v>
      </c>
      <c r="AB90" s="9">
        <v>30</v>
      </c>
      <c r="AC90" s="9">
        <v>20</v>
      </c>
      <c r="AD90" s="9">
        <v>30</v>
      </c>
      <c r="AE90" s="9">
        <v>20</v>
      </c>
      <c r="AF90" s="9">
        <v>30</v>
      </c>
      <c r="AG90" s="9">
        <v>20</v>
      </c>
      <c r="AH90" s="9">
        <v>30</v>
      </c>
      <c r="AI90" s="9">
        <v>20</v>
      </c>
      <c r="AJ90" s="9">
        <v>30</v>
      </c>
      <c r="AK90" s="9">
        <v>20</v>
      </c>
      <c r="AL90" s="9">
        <v>30</v>
      </c>
      <c r="AM90" s="9">
        <v>30</v>
      </c>
      <c r="AN90" s="9">
        <v>20</v>
      </c>
      <c r="AO90" s="9">
        <v>30</v>
      </c>
      <c r="AP90" s="9">
        <v>20</v>
      </c>
      <c r="AQ90" s="9">
        <v>20</v>
      </c>
      <c r="AR90" s="9">
        <v>30</v>
      </c>
      <c r="AS90" s="9">
        <v>30</v>
      </c>
      <c r="AT90" s="9">
        <v>20</v>
      </c>
      <c r="AU90" s="9">
        <v>20</v>
      </c>
      <c r="AV90" s="9">
        <v>30</v>
      </c>
      <c r="AW90" s="10">
        <v>3.98</v>
      </c>
      <c r="AX90" s="10" t="s">
        <v>26</v>
      </c>
      <c r="AY90" s="19"/>
      <c r="AZ90" s="19"/>
      <c r="BA90" s="20"/>
      <c r="BB90">
        <f t="shared" si="2"/>
        <v>3.98</v>
      </c>
      <c r="BC90">
        <f t="shared" si="3"/>
        <v>3.98</v>
      </c>
    </row>
    <row r="91" spans="1:55" ht="15.5">
      <c r="A91" s="5">
        <v>30</v>
      </c>
      <c r="B91" s="5">
        <v>20</v>
      </c>
      <c r="C91" s="5">
        <v>20</v>
      </c>
      <c r="D91" s="5">
        <v>30</v>
      </c>
      <c r="E91" s="5">
        <v>30</v>
      </c>
      <c r="F91" s="5">
        <v>30</v>
      </c>
      <c r="G91" s="5">
        <v>20</v>
      </c>
      <c r="H91" s="5">
        <v>20</v>
      </c>
      <c r="I91" s="5">
        <v>50</v>
      </c>
      <c r="J91" s="5">
        <v>30</v>
      </c>
      <c r="K91" s="5">
        <v>10</v>
      </c>
      <c r="L91" s="5">
        <v>10</v>
      </c>
      <c r="M91" s="5">
        <v>50</v>
      </c>
      <c r="N91" s="5">
        <v>30</v>
      </c>
      <c r="O91" s="5">
        <v>10</v>
      </c>
      <c r="P91" s="5">
        <v>10</v>
      </c>
      <c r="Q91" s="5">
        <v>70</v>
      </c>
      <c r="R91" s="5">
        <v>10</v>
      </c>
      <c r="S91" s="5">
        <v>10</v>
      </c>
      <c r="T91" s="5">
        <v>10</v>
      </c>
      <c r="U91" s="5">
        <v>70</v>
      </c>
      <c r="V91" s="5">
        <v>10</v>
      </c>
      <c r="W91" s="5">
        <v>10</v>
      </c>
      <c r="X91" s="5">
        <v>10</v>
      </c>
      <c r="Y91" s="5">
        <v>30</v>
      </c>
      <c r="Z91" s="5">
        <v>20</v>
      </c>
      <c r="AA91" s="5">
        <v>20</v>
      </c>
      <c r="AB91" s="5">
        <v>30</v>
      </c>
      <c r="AC91" s="5">
        <v>20</v>
      </c>
      <c r="AD91" s="5">
        <v>30</v>
      </c>
      <c r="AE91" s="5">
        <v>20</v>
      </c>
      <c r="AF91" s="5">
        <v>30</v>
      </c>
      <c r="AG91" s="5">
        <v>40</v>
      </c>
      <c r="AH91" s="5">
        <v>10</v>
      </c>
      <c r="AI91" s="5">
        <v>40</v>
      </c>
      <c r="AJ91" s="5">
        <v>10</v>
      </c>
      <c r="AK91" s="5">
        <v>70</v>
      </c>
      <c r="AL91" s="5">
        <v>10</v>
      </c>
      <c r="AM91" s="5">
        <v>10</v>
      </c>
      <c r="AN91" s="5">
        <v>10</v>
      </c>
      <c r="AO91" s="5">
        <v>25</v>
      </c>
      <c r="AP91" s="5">
        <v>25</v>
      </c>
      <c r="AQ91" s="5">
        <v>25</v>
      </c>
      <c r="AR91" s="5">
        <v>25</v>
      </c>
      <c r="AS91" s="5">
        <v>70</v>
      </c>
      <c r="AT91" s="5">
        <v>10</v>
      </c>
      <c r="AU91" s="5">
        <v>10</v>
      </c>
      <c r="AV91" s="5">
        <v>10</v>
      </c>
      <c r="AW91" s="6">
        <v>3.98</v>
      </c>
      <c r="AX91" s="6" t="s">
        <v>26</v>
      </c>
      <c r="AY91" s="6">
        <v>4.1100000000000003</v>
      </c>
      <c r="AZ91" s="6" t="s">
        <v>16</v>
      </c>
      <c r="BA91" s="30"/>
      <c r="BB91">
        <f t="shared" si="2"/>
        <v>3.98</v>
      </c>
      <c r="BC91">
        <f t="shared" si="3"/>
        <v>3.98</v>
      </c>
    </row>
    <row r="92" spans="1:55" ht="15.5">
      <c r="A92" s="9">
        <v>30</v>
      </c>
      <c r="B92" s="9">
        <v>30</v>
      </c>
      <c r="C92" s="9">
        <v>20</v>
      </c>
      <c r="D92" s="9">
        <v>20</v>
      </c>
      <c r="E92" s="9">
        <v>30</v>
      </c>
      <c r="F92" s="9">
        <v>30</v>
      </c>
      <c r="G92" s="9">
        <v>20</v>
      </c>
      <c r="H92" s="9">
        <v>20</v>
      </c>
      <c r="I92" s="9">
        <v>30</v>
      </c>
      <c r="J92" s="9">
        <v>30</v>
      </c>
      <c r="K92" s="9">
        <v>20</v>
      </c>
      <c r="L92" s="9">
        <v>20</v>
      </c>
      <c r="M92" s="9">
        <v>30</v>
      </c>
      <c r="N92" s="9">
        <v>30</v>
      </c>
      <c r="O92" s="9">
        <v>20</v>
      </c>
      <c r="P92" s="9">
        <v>20</v>
      </c>
      <c r="Q92" s="9">
        <v>30</v>
      </c>
      <c r="R92" s="9">
        <v>30</v>
      </c>
      <c r="S92" s="9">
        <v>20</v>
      </c>
      <c r="T92" s="9">
        <v>20</v>
      </c>
      <c r="U92" s="9">
        <v>30</v>
      </c>
      <c r="V92" s="9">
        <v>30</v>
      </c>
      <c r="W92" s="9">
        <v>20</v>
      </c>
      <c r="X92" s="9">
        <v>20</v>
      </c>
      <c r="Y92" s="9">
        <v>30</v>
      </c>
      <c r="Z92" s="9">
        <v>30</v>
      </c>
      <c r="AA92" s="9">
        <v>20</v>
      </c>
      <c r="AB92" s="9">
        <v>20</v>
      </c>
      <c r="AC92" s="9">
        <v>30</v>
      </c>
      <c r="AD92" s="9">
        <v>30</v>
      </c>
      <c r="AE92" s="9">
        <v>20</v>
      </c>
      <c r="AF92" s="9">
        <v>20</v>
      </c>
      <c r="AG92" s="9">
        <v>30</v>
      </c>
      <c r="AH92" s="9">
        <v>30</v>
      </c>
      <c r="AI92" s="9">
        <v>20</v>
      </c>
      <c r="AJ92" s="9">
        <v>20</v>
      </c>
      <c r="AK92" s="9">
        <v>20</v>
      </c>
      <c r="AL92" s="9">
        <v>20</v>
      </c>
      <c r="AM92" s="9">
        <v>30</v>
      </c>
      <c r="AN92" s="9">
        <v>30</v>
      </c>
      <c r="AO92" s="9">
        <v>20</v>
      </c>
      <c r="AP92" s="9">
        <v>20</v>
      </c>
      <c r="AQ92" s="9">
        <v>30</v>
      </c>
      <c r="AR92" s="9">
        <v>30</v>
      </c>
      <c r="AS92" s="9">
        <v>30</v>
      </c>
      <c r="AT92" s="9">
        <v>20</v>
      </c>
      <c r="AU92" s="9">
        <v>30</v>
      </c>
      <c r="AV92" s="9">
        <v>20</v>
      </c>
      <c r="AW92" s="10">
        <v>4.37</v>
      </c>
      <c r="AX92" s="10" t="s">
        <v>16</v>
      </c>
      <c r="AY92" s="19"/>
      <c r="AZ92" s="19" t="s">
        <v>39</v>
      </c>
      <c r="BA92" s="20"/>
      <c r="BB92">
        <f t="shared" si="2"/>
        <v>4.37</v>
      </c>
      <c r="BC92">
        <f t="shared" si="3"/>
        <v>4.37</v>
      </c>
    </row>
    <row r="93" spans="1:55" ht="15.5">
      <c r="A93" s="5">
        <v>70</v>
      </c>
      <c r="B93" s="5">
        <v>10</v>
      </c>
      <c r="C93" s="5">
        <v>10</v>
      </c>
      <c r="D93" s="5">
        <v>10</v>
      </c>
      <c r="E93" s="5">
        <v>25</v>
      </c>
      <c r="F93" s="5">
        <v>25</v>
      </c>
      <c r="G93" s="5">
        <v>25</v>
      </c>
      <c r="H93" s="5">
        <v>25</v>
      </c>
      <c r="I93" s="5">
        <v>25</v>
      </c>
      <c r="J93" s="5">
        <v>25</v>
      </c>
      <c r="K93" s="5">
        <v>25</v>
      </c>
      <c r="L93" s="5">
        <v>25</v>
      </c>
      <c r="M93" s="5">
        <v>25</v>
      </c>
      <c r="N93" s="5">
        <v>25</v>
      </c>
      <c r="O93" s="5">
        <v>25</v>
      </c>
      <c r="P93" s="5">
        <v>25</v>
      </c>
      <c r="Q93" s="5">
        <v>25</v>
      </c>
      <c r="R93" s="5">
        <v>25</v>
      </c>
      <c r="S93" s="5">
        <v>25</v>
      </c>
      <c r="T93" s="5">
        <v>25</v>
      </c>
      <c r="U93" s="5">
        <v>25</v>
      </c>
      <c r="V93" s="5">
        <v>25</v>
      </c>
      <c r="W93" s="5">
        <v>25</v>
      </c>
      <c r="X93" s="5">
        <v>25</v>
      </c>
      <c r="Y93" s="5">
        <v>25</v>
      </c>
      <c r="Z93" s="5">
        <v>25</v>
      </c>
      <c r="AA93" s="5">
        <v>25</v>
      </c>
      <c r="AB93" s="5">
        <v>25</v>
      </c>
      <c r="AC93" s="5">
        <v>20</v>
      </c>
      <c r="AD93" s="5">
        <v>30</v>
      </c>
      <c r="AE93" s="5">
        <v>30</v>
      </c>
      <c r="AF93" s="5">
        <v>20</v>
      </c>
      <c r="AG93" s="5">
        <v>30</v>
      </c>
      <c r="AH93" s="5">
        <v>40</v>
      </c>
      <c r="AI93" s="5">
        <v>15</v>
      </c>
      <c r="AJ93" s="5">
        <v>15</v>
      </c>
      <c r="AK93" s="5">
        <v>25</v>
      </c>
      <c r="AL93" s="5">
        <v>25</v>
      </c>
      <c r="AM93" s="5">
        <v>25</v>
      </c>
      <c r="AN93" s="5">
        <v>25</v>
      </c>
      <c r="AO93" s="5">
        <v>40</v>
      </c>
      <c r="AP93" s="5">
        <v>30</v>
      </c>
      <c r="AQ93" s="5">
        <v>15</v>
      </c>
      <c r="AR93" s="5">
        <v>15</v>
      </c>
      <c r="AS93" s="5">
        <v>20</v>
      </c>
      <c r="AT93" s="5">
        <v>20</v>
      </c>
      <c r="AU93" s="5">
        <v>40</v>
      </c>
      <c r="AV93" s="5">
        <v>20</v>
      </c>
      <c r="AW93" s="6">
        <v>4.12</v>
      </c>
      <c r="AX93" s="6" t="s">
        <v>16</v>
      </c>
      <c r="AY93" s="21"/>
      <c r="AZ93" s="21"/>
      <c r="BA93" s="22"/>
      <c r="BB93">
        <f t="shared" si="2"/>
        <v>4.12</v>
      </c>
      <c r="BC93">
        <f t="shared" si="3"/>
        <v>4.12</v>
      </c>
    </row>
    <row r="94" spans="1:55" ht="15.5">
      <c r="A94" s="9">
        <v>30</v>
      </c>
      <c r="B94" s="9">
        <v>20</v>
      </c>
      <c r="C94" s="9">
        <v>20</v>
      </c>
      <c r="D94" s="9">
        <v>30</v>
      </c>
      <c r="E94" s="9">
        <v>30</v>
      </c>
      <c r="F94" s="9">
        <v>20</v>
      </c>
      <c r="G94" s="9">
        <v>20</v>
      </c>
      <c r="H94" s="9">
        <v>30</v>
      </c>
      <c r="I94" s="9">
        <v>30</v>
      </c>
      <c r="J94" s="9">
        <v>30</v>
      </c>
      <c r="K94" s="9">
        <v>20</v>
      </c>
      <c r="L94" s="9">
        <v>20</v>
      </c>
      <c r="M94" s="9">
        <v>30</v>
      </c>
      <c r="N94" s="9">
        <v>30</v>
      </c>
      <c r="O94" s="9">
        <v>20</v>
      </c>
      <c r="P94" s="9">
        <v>20</v>
      </c>
      <c r="Q94" s="9">
        <v>20</v>
      </c>
      <c r="R94" s="9">
        <v>20</v>
      </c>
      <c r="S94" s="9">
        <v>30</v>
      </c>
      <c r="T94" s="9">
        <v>30</v>
      </c>
      <c r="U94" s="9">
        <v>20</v>
      </c>
      <c r="V94" s="9">
        <v>20</v>
      </c>
      <c r="W94" s="9">
        <v>30</v>
      </c>
      <c r="X94" s="9">
        <v>30</v>
      </c>
      <c r="Y94" s="9">
        <v>20</v>
      </c>
      <c r="Z94" s="9">
        <v>20</v>
      </c>
      <c r="AA94" s="9">
        <v>30</v>
      </c>
      <c r="AB94" s="9">
        <v>30</v>
      </c>
      <c r="AC94" s="9">
        <v>20</v>
      </c>
      <c r="AD94" s="9">
        <v>20</v>
      </c>
      <c r="AE94" s="9">
        <v>30</v>
      </c>
      <c r="AF94" s="9">
        <v>30</v>
      </c>
      <c r="AG94" s="9">
        <v>30</v>
      </c>
      <c r="AH94" s="9">
        <v>20</v>
      </c>
      <c r="AI94" s="9">
        <v>30</v>
      </c>
      <c r="AJ94" s="9">
        <v>20</v>
      </c>
      <c r="AK94" s="9">
        <v>30</v>
      </c>
      <c r="AL94" s="9">
        <v>20</v>
      </c>
      <c r="AM94" s="9">
        <v>30</v>
      </c>
      <c r="AN94" s="9">
        <v>20</v>
      </c>
      <c r="AO94" s="9">
        <v>30</v>
      </c>
      <c r="AP94" s="9">
        <v>20</v>
      </c>
      <c r="AQ94" s="9">
        <v>20</v>
      </c>
      <c r="AR94" s="9">
        <v>30</v>
      </c>
      <c r="AS94" s="9">
        <v>30</v>
      </c>
      <c r="AT94" s="9">
        <v>20</v>
      </c>
      <c r="AU94" s="9">
        <v>20</v>
      </c>
      <c r="AV94" s="9">
        <v>30</v>
      </c>
      <c r="AW94" s="10">
        <v>4.8499999999999996</v>
      </c>
      <c r="AX94" s="15" t="s">
        <v>16</v>
      </c>
      <c r="AY94" s="19"/>
      <c r="AZ94" s="19"/>
      <c r="BA94" s="20"/>
      <c r="BB94">
        <f t="shared" si="2"/>
        <v>4.8499999999999996</v>
      </c>
      <c r="BC94">
        <f t="shared" si="3"/>
        <v>4.8499999999999996</v>
      </c>
    </row>
    <row r="95" spans="1:55" ht="15.5">
      <c r="A95" s="5">
        <v>30</v>
      </c>
      <c r="B95" s="5">
        <v>10</v>
      </c>
      <c r="C95" s="5">
        <v>30</v>
      </c>
      <c r="D95" s="5">
        <v>30</v>
      </c>
      <c r="E95" s="5">
        <v>30</v>
      </c>
      <c r="F95" s="5">
        <v>10</v>
      </c>
      <c r="G95" s="5">
        <v>30</v>
      </c>
      <c r="H95" s="5">
        <v>30</v>
      </c>
      <c r="I95" s="5">
        <v>20</v>
      </c>
      <c r="J95" s="5">
        <v>30</v>
      </c>
      <c r="K95" s="5">
        <v>30</v>
      </c>
      <c r="L95" s="5">
        <v>20</v>
      </c>
      <c r="M95" s="5">
        <v>20</v>
      </c>
      <c r="N95" s="5">
        <v>20</v>
      </c>
      <c r="O95" s="5">
        <v>30</v>
      </c>
      <c r="P95" s="5">
        <v>30</v>
      </c>
      <c r="Q95" s="5">
        <v>20</v>
      </c>
      <c r="R95" s="5">
        <v>20</v>
      </c>
      <c r="S95" s="5">
        <v>30</v>
      </c>
      <c r="T95" s="5">
        <v>30</v>
      </c>
      <c r="U95" s="5">
        <v>20</v>
      </c>
      <c r="V95" s="5">
        <v>20</v>
      </c>
      <c r="W95" s="5">
        <v>30</v>
      </c>
      <c r="X95" s="5">
        <v>30</v>
      </c>
      <c r="Y95" s="5">
        <v>20</v>
      </c>
      <c r="Z95" s="5">
        <v>20</v>
      </c>
      <c r="AA95" s="5">
        <v>30</v>
      </c>
      <c r="AB95" s="5">
        <v>30</v>
      </c>
      <c r="AC95" s="5">
        <v>20</v>
      </c>
      <c r="AD95" s="5">
        <v>20</v>
      </c>
      <c r="AE95" s="5">
        <v>30</v>
      </c>
      <c r="AF95" s="5">
        <v>30</v>
      </c>
      <c r="AG95" s="5">
        <v>10</v>
      </c>
      <c r="AH95" s="5">
        <v>10</v>
      </c>
      <c r="AI95" s="5">
        <v>40</v>
      </c>
      <c r="AJ95" s="5">
        <v>40</v>
      </c>
      <c r="AK95" s="5">
        <v>10</v>
      </c>
      <c r="AL95" s="5">
        <v>10</v>
      </c>
      <c r="AM95" s="5">
        <v>40</v>
      </c>
      <c r="AN95" s="5">
        <v>40</v>
      </c>
      <c r="AO95" s="5">
        <v>20</v>
      </c>
      <c r="AP95" s="5">
        <v>20</v>
      </c>
      <c r="AQ95" s="5">
        <v>30</v>
      </c>
      <c r="AR95" s="5">
        <v>30</v>
      </c>
      <c r="AS95" s="5">
        <v>20</v>
      </c>
      <c r="AT95" s="5">
        <v>20</v>
      </c>
      <c r="AU95" s="5">
        <v>30</v>
      </c>
      <c r="AV95" s="5">
        <v>30</v>
      </c>
      <c r="AW95" s="6">
        <v>4.45</v>
      </c>
      <c r="AX95" s="7" t="s">
        <v>16</v>
      </c>
      <c r="AY95" s="21"/>
      <c r="AZ95" s="21"/>
      <c r="BA95" s="22"/>
      <c r="BB95">
        <f t="shared" si="2"/>
        <v>4.45</v>
      </c>
      <c r="BC95">
        <f t="shared" si="3"/>
        <v>4.45</v>
      </c>
    </row>
    <row r="96" spans="1:55" ht="15.5">
      <c r="A96" s="9">
        <v>30</v>
      </c>
      <c r="B96" s="9">
        <v>30</v>
      </c>
      <c r="C96" s="9">
        <v>20</v>
      </c>
      <c r="D96" s="9">
        <v>20</v>
      </c>
      <c r="E96" s="9">
        <v>30</v>
      </c>
      <c r="F96" s="9">
        <v>30</v>
      </c>
      <c r="G96" s="9">
        <v>20</v>
      </c>
      <c r="H96" s="9">
        <v>20</v>
      </c>
      <c r="I96" s="9">
        <v>20</v>
      </c>
      <c r="J96" s="9">
        <v>20</v>
      </c>
      <c r="K96" s="9">
        <v>30</v>
      </c>
      <c r="L96" s="9">
        <v>30</v>
      </c>
      <c r="M96" s="9">
        <v>20</v>
      </c>
      <c r="N96" s="9">
        <v>20</v>
      </c>
      <c r="O96" s="9">
        <v>30</v>
      </c>
      <c r="P96" s="9">
        <v>30</v>
      </c>
      <c r="Q96" s="9">
        <v>20</v>
      </c>
      <c r="R96" s="9">
        <v>30</v>
      </c>
      <c r="S96" s="9">
        <v>20</v>
      </c>
      <c r="T96" s="9">
        <v>30</v>
      </c>
      <c r="U96" s="9">
        <v>20</v>
      </c>
      <c r="V96" s="9">
        <v>30</v>
      </c>
      <c r="W96" s="9">
        <v>20</v>
      </c>
      <c r="X96" s="9">
        <v>30</v>
      </c>
      <c r="Y96" s="9">
        <v>30</v>
      </c>
      <c r="Z96" s="9">
        <v>30</v>
      </c>
      <c r="AA96" s="9">
        <v>20</v>
      </c>
      <c r="AB96" s="9">
        <v>20</v>
      </c>
      <c r="AC96" s="9">
        <v>30</v>
      </c>
      <c r="AD96" s="9">
        <v>30</v>
      </c>
      <c r="AE96" s="9">
        <v>20</v>
      </c>
      <c r="AF96" s="9">
        <v>20</v>
      </c>
      <c r="AG96" s="9">
        <v>30</v>
      </c>
      <c r="AH96" s="9">
        <v>30</v>
      </c>
      <c r="AI96" s="9">
        <v>20</v>
      </c>
      <c r="AJ96" s="9">
        <v>20</v>
      </c>
      <c r="AK96" s="9">
        <v>30</v>
      </c>
      <c r="AL96" s="9">
        <v>20</v>
      </c>
      <c r="AM96" s="9">
        <v>30</v>
      </c>
      <c r="AN96" s="9">
        <v>20</v>
      </c>
      <c r="AO96" s="9">
        <v>40</v>
      </c>
      <c r="AP96" s="9">
        <v>20</v>
      </c>
      <c r="AQ96" s="9">
        <v>20</v>
      </c>
      <c r="AR96" s="9">
        <v>20</v>
      </c>
      <c r="AS96" s="9">
        <v>30</v>
      </c>
      <c r="AT96" s="9">
        <v>30</v>
      </c>
      <c r="AU96" s="9">
        <v>20</v>
      </c>
      <c r="AV96" s="9">
        <v>20</v>
      </c>
      <c r="AW96" s="10">
        <v>4.3499999999999996</v>
      </c>
      <c r="AX96" s="15" t="s">
        <v>16</v>
      </c>
      <c r="AY96" s="19"/>
      <c r="AZ96" s="19"/>
      <c r="BA96" s="20"/>
      <c r="BB96">
        <f t="shared" si="2"/>
        <v>4.3499999999999996</v>
      </c>
      <c r="BC96">
        <f t="shared" si="3"/>
        <v>4.3499999999999996</v>
      </c>
    </row>
    <row r="97" spans="1:55" ht="15.5">
      <c r="A97" s="5">
        <v>10</v>
      </c>
      <c r="B97" s="5">
        <v>20</v>
      </c>
      <c r="C97" s="5">
        <v>30</v>
      </c>
      <c r="D97" s="5">
        <v>40</v>
      </c>
      <c r="E97" s="5">
        <v>10</v>
      </c>
      <c r="F97" s="5">
        <v>10</v>
      </c>
      <c r="G97" s="5">
        <v>30</v>
      </c>
      <c r="H97" s="5">
        <v>50</v>
      </c>
      <c r="I97" s="5">
        <v>10</v>
      </c>
      <c r="J97" s="5">
        <v>20</v>
      </c>
      <c r="K97" s="5">
        <v>35</v>
      </c>
      <c r="L97" s="5">
        <v>35</v>
      </c>
      <c r="M97" s="5">
        <v>30</v>
      </c>
      <c r="N97" s="5">
        <v>30</v>
      </c>
      <c r="O97" s="5">
        <v>20</v>
      </c>
      <c r="P97" s="5">
        <v>20</v>
      </c>
      <c r="Q97" s="5">
        <v>40</v>
      </c>
      <c r="R97" s="5">
        <v>40</v>
      </c>
      <c r="S97" s="5">
        <v>10</v>
      </c>
      <c r="T97" s="5">
        <v>10</v>
      </c>
      <c r="U97" s="5">
        <v>30</v>
      </c>
      <c r="V97" s="5">
        <v>30</v>
      </c>
      <c r="W97" s="5">
        <v>30</v>
      </c>
      <c r="X97" s="5">
        <v>10</v>
      </c>
      <c r="Y97" s="5">
        <v>10</v>
      </c>
      <c r="Z97" s="5">
        <v>30</v>
      </c>
      <c r="AA97" s="5">
        <v>30</v>
      </c>
      <c r="AB97" s="5">
        <v>30</v>
      </c>
      <c r="AC97" s="5">
        <v>15</v>
      </c>
      <c r="AD97" s="5">
        <v>25</v>
      </c>
      <c r="AE97" s="5">
        <v>25</v>
      </c>
      <c r="AF97" s="5">
        <v>35</v>
      </c>
      <c r="AG97" s="5">
        <v>25</v>
      </c>
      <c r="AH97" s="5">
        <v>25</v>
      </c>
      <c r="AI97" s="5">
        <v>25</v>
      </c>
      <c r="AJ97" s="5">
        <v>25</v>
      </c>
      <c r="AK97" s="5">
        <v>25</v>
      </c>
      <c r="AL97" s="5">
        <v>35</v>
      </c>
      <c r="AM97" s="5">
        <v>25</v>
      </c>
      <c r="AN97" s="5">
        <v>15</v>
      </c>
      <c r="AO97" s="5">
        <v>15</v>
      </c>
      <c r="AP97" s="5">
        <v>15</v>
      </c>
      <c r="AQ97" s="5">
        <v>35</v>
      </c>
      <c r="AR97" s="5">
        <v>35</v>
      </c>
      <c r="AS97" s="5">
        <v>30</v>
      </c>
      <c r="AT97" s="5">
        <v>10</v>
      </c>
      <c r="AU97" s="5">
        <v>30</v>
      </c>
      <c r="AV97" s="5">
        <v>30</v>
      </c>
      <c r="AW97" s="12"/>
      <c r="AX97" s="17"/>
      <c r="AY97" s="12">
        <v>4.25</v>
      </c>
      <c r="AZ97" s="32" t="s">
        <v>16</v>
      </c>
      <c r="BA97" s="33"/>
      <c r="BB97">
        <f t="shared" si="2"/>
        <v>0</v>
      </c>
      <c r="BC97">
        <f t="shared" si="3"/>
        <v>4.25</v>
      </c>
    </row>
    <row r="98" spans="1:55" ht="15.5">
      <c r="A98" s="9">
        <v>20</v>
      </c>
      <c r="B98" s="9">
        <v>20</v>
      </c>
      <c r="C98" s="9">
        <v>20</v>
      </c>
      <c r="D98" s="9">
        <v>40</v>
      </c>
      <c r="E98" s="9">
        <v>30</v>
      </c>
      <c r="F98" s="9">
        <v>20</v>
      </c>
      <c r="G98" s="9">
        <v>20</v>
      </c>
      <c r="H98" s="9">
        <v>30</v>
      </c>
      <c r="I98" s="9">
        <v>30</v>
      </c>
      <c r="J98" s="9">
        <v>30</v>
      </c>
      <c r="K98" s="9">
        <v>20</v>
      </c>
      <c r="L98" s="9">
        <v>20</v>
      </c>
      <c r="M98" s="9">
        <v>30</v>
      </c>
      <c r="N98" s="9">
        <v>30</v>
      </c>
      <c r="O98" s="9">
        <v>10</v>
      </c>
      <c r="P98" s="9">
        <v>30</v>
      </c>
      <c r="Q98" s="9">
        <v>20</v>
      </c>
      <c r="R98" s="9">
        <v>20</v>
      </c>
      <c r="S98" s="9">
        <v>30</v>
      </c>
      <c r="T98" s="9">
        <v>30</v>
      </c>
      <c r="U98" s="9">
        <v>30</v>
      </c>
      <c r="V98" s="9">
        <v>30</v>
      </c>
      <c r="W98" s="9">
        <v>30</v>
      </c>
      <c r="X98" s="9">
        <v>10</v>
      </c>
      <c r="Y98" s="9">
        <v>30</v>
      </c>
      <c r="Z98" s="9">
        <v>30</v>
      </c>
      <c r="AA98" s="9">
        <v>20</v>
      </c>
      <c r="AB98" s="9">
        <v>20</v>
      </c>
      <c r="AC98" s="9">
        <v>40</v>
      </c>
      <c r="AD98" s="9">
        <v>40</v>
      </c>
      <c r="AE98" s="9">
        <v>10</v>
      </c>
      <c r="AF98" s="9">
        <v>10</v>
      </c>
      <c r="AG98" s="9">
        <v>40</v>
      </c>
      <c r="AH98" s="9">
        <v>40</v>
      </c>
      <c r="AI98" s="9">
        <v>10</v>
      </c>
      <c r="AJ98" s="9">
        <v>10</v>
      </c>
      <c r="AK98" s="9">
        <v>30</v>
      </c>
      <c r="AL98" s="9">
        <v>20</v>
      </c>
      <c r="AM98" s="9">
        <v>20</v>
      </c>
      <c r="AN98" s="9">
        <v>30</v>
      </c>
      <c r="AO98" s="9">
        <v>30</v>
      </c>
      <c r="AP98" s="9">
        <v>20</v>
      </c>
      <c r="AQ98" s="9">
        <v>20</v>
      </c>
      <c r="AR98" s="9">
        <v>30</v>
      </c>
      <c r="AS98" s="9">
        <v>30</v>
      </c>
      <c r="AT98" s="9">
        <v>20</v>
      </c>
      <c r="AU98" s="9">
        <v>20</v>
      </c>
      <c r="AV98" s="9">
        <v>30</v>
      </c>
      <c r="AW98" s="10">
        <v>4.93</v>
      </c>
      <c r="AX98" s="10" t="s">
        <v>16</v>
      </c>
      <c r="AY98" s="19" t="s">
        <v>40</v>
      </c>
      <c r="AZ98" s="19"/>
      <c r="BA98" s="20"/>
      <c r="BB98">
        <f t="shared" si="2"/>
        <v>4.93</v>
      </c>
      <c r="BC98">
        <f t="shared" si="3"/>
        <v>4.93</v>
      </c>
    </row>
    <row r="99" spans="1:55" ht="15.5">
      <c r="A99" s="5">
        <v>25</v>
      </c>
      <c r="B99" s="5">
        <v>25</v>
      </c>
      <c r="C99" s="5">
        <v>25</v>
      </c>
      <c r="D99" s="5">
        <v>25</v>
      </c>
      <c r="E99" s="5">
        <v>25</v>
      </c>
      <c r="F99" s="5">
        <v>25</v>
      </c>
      <c r="G99" s="5">
        <v>25</v>
      </c>
      <c r="H99" s="5">
        <v>25</v>
      </c>
      <c r="I99" s="5">
        <v>25</v>
      </c>
      <c r="J99" s="5">
        <v>25</v>
      </c>
      <c r="K99" s="5">
        <v>25</v>
      </c>
      <c r="L99" s="5">
        <v>25</v>
      </c>
      <c r="M99" s="5">
        <v>25</v>
      </c>
      <c r="N99" s="5">
        <v>25</v>
      </c>
      <c r="O99" s="5">
        <v>25</v>
      </c>
      <c r="P99" s="5">
        <v>25</v>
      </c>
      <c r="Q99" s="5">
        <v>25</v>
      </c>
      <c r="R99" s="5">
        <v>25</v>
      </c>
      <c r="S99" s="5">
        <v>25</v>
      </c>
      <c r="T99" s="5">
        <v>25</v>
      </c>
      <c r="U99" s="5">
        <v>25</v>
      </c>
      <c r="V99" s="5">
        <v>25</v>
      </c>
      <c r="W99" s="5">
        <v>25</v>
      </c>
      <c r="X99" s="5">
        <v>25</v>
      </c>
      <c r="Y99" s="5">
        <v>25</v>
      </c>
      <c r="Z99" s="5">
        <v>25</v>
      </c>
      <c r="AA99" s="5">
        <v>25</v>
      </c>
      <c r="AB99" s="5">
        <v>25</v>
      </c>
      <c r="AC99" s="5">
        <v>25</v>
      </c>
      <c r="AD99" s="5">
        <v>25</v>
      </c>
      <c r="AE99" s="5">
        <v>25</v>
      </c>
      <c r="AF99" s="5">
        <v>25</v>
      </c>
      <c r="AG99" s="5">
        <v>25</v>
      </c>
      <c r="AH99" s="5">
        <v>25</v>
      </c>
      <c r="AI99" s="5">
        <v>25</v>
      </c>
      <c r="AJ99" s="5">
        <v>25</v>
      </c>
      <c r="AK99" s="5">
        <v>25</v>
      </c>
      <c r="AL99" s="5">
        <v>25</v>
      </c>
      <c r="AM99" s="5">
        <v>25</v>
      </c>
      <c r="AN99" s="5">
        <v>25</v>
      </c>
      <c r="AO99" s="5">
        <v>25</v>
      </c>
      <c r="AP99" s="5">
        <v>25</v>
      </c>
      <c r="AQ99" s="5">
        <v>25</v>
      </c>
      <c r="AR99" s="5">
        <v>25</v>
      </c>
      <c r="AS99" s="5">
        <v>25</v>
      </c>
      <c r="AT99" s="5">
        <v>25</v>
      </c>
      <c r="AU99" s="5">
        <v>25</v>
      </c>
      <c r="AV99" s="5">
        <v>25</v>
      </c>
      <c r="AW99" s="12">
        <v>4.29</v>
      </c>
      <c r="AX99" s="7" t="s">
        <v>16</v>
      </c>
      <c r="AY99" s="12">
        <v>4.54</v>
      </c>
      <c r="AZ99" s="7" t="s">
        <v>16</v>
      </c>
      <c r="BA99" s="8"/>
      <c r="BB99">
        <f t="shared" si="2"/>
        <v>4.29</v>
      </c>
      <c r="BC99">
        <f t="shared" si="3"/>
        <v>4.29</v>
      </c>
    </row>
    <row r="100" spans="1:55" ht="15.5">
      <c r="A100" s="9">
        <v>70</v>
      </c>
      <c r="B100" s="9">
        <v>10</v>
      </c>
      <c r="C100" s="9">
        <v>10</v>
      </c>
      <c r="D100" s="9">
        <v>10</v>
      </c>
      <c r="E100" s="9">
        <v>70</v>
      </c>
      <c r="F100" s="9">
        <v>10</v>
      </c>
      <c r="G100" s="9">
        <v>10</v>
      </c>
      <c r="H100" s="9">
        <v>10</v>
      </c>
      <c r="I100" s="9">
        <v>10</v>
      </c>
      <c r="J100" s="9">
        <v>10</v>
      </c>
      <c r="K100" s="9">
        <v>10</v>
      </c>
      <c r="L100" s="9">
        <v>70</v>
      </c>
      <c r="M100" s="9">
        <v>10</v>
      </c>
      <c r="N100" s="9">
        <v>20</v>
      </c>
      <c r="O100" s="9">
        <v>50</v>
      </c>
      <c r="P100" s="9">
        <v>20</v>
      </c>
      <c r="Q100" s="9">
        <v>20</v>
      </c>
      <c r="R100" s="9">
        <v>20</v>
      </c>
      <c r="S100" s="9">
        <v>30</v>
      </c>
      <c r="T100" s="9">
        <v>30</v>
      </c>
      <c r="U100" s="9">
        <v>55</v>
      </c>
      <c r="V100" s="9">
        <v>15</v>
      </c>
      <c r="W100" s="9">
        <v>15</v>
      </c>
      <c r="X100" s="9">
        <v>15</v>
      </c>
      <c r="Y100" s="9">
        <v>20</v>
      </c>
      <c r="Z100" s="9">
        <v>20</v>
      </c>
      <c r="AA100" s="9">
        <v>20</v>
      </c>
      <c r="AB100" s="9">
        <v>40</v>
      </c>
      <c r="AC100" s="9">
        <v>30</v>
      </c>
      <c r="AD100" s="9">
        <v>40</v>
      </c>
      <c r="AE100" s="9">
        <v>10</v>
      </c>
      <c r="AF100" s="9">
        <v>20</v>
      </c>
      <c r="AG100" s="9">
        <v>20</v>
      </c>
      <c r="AH100" s="9">
        <v>10</v>
      </c>
      <c r="AI100" s="9">
        <v>35</v>
      </c>
      <c r="AJ100" s="9">
        <v>35</v>
      </c>
      <c r="AK100" s="9">
        <v>20</v>
      </c>
      <c r="AL100" s="9">
        <v>20</v>
      </c>
      <c r="AM100" s="9">
        <v>30</v>
      </c>
      <c r="AN100" s="9">
        <v>30</v>
      </c>
      <c r="AO100" s="9">
        <v>40</v>
      </c>
      <c r="AP100" s="9">
        <v>20</v>
      </c>
      <c r="AQ100" s="9">
        <v>20</v>
      </c>
      <c r="AR100" s="9">
        <v>20</v>
      </c>
      <c r="AS100" s="9">
        <v>15</v>
      </c>
      <c r="AT100" s="9">
        <v>25</v>
      </c>
      <c r="AU100" s="9">
        <v>15</v>
      </c>
      <c r="AV100" s="9">
        <v>45</v>
      </c>
      <c r="AW100" s="14">
        <v>4.45</v>
      </c>
      <c r="AX100" s="15" t="s">
        <v>16</v>
      </c>
      <c r="AY100" s="19"/>
      <c r="AZ100" s="19"/>
      <c r="BA100" s="20"/>
      <c r="BB100">
        <f t="shared" si="2"/>
        <v>4.45</v>
      </c>
      <c r="BC100">
        <f t="shared" si="3"/>
        <v>4.45</v>
      </c>
    </row>
    <row r="101" spans="1:55" ht="15.5">
      <c r="A101" s="5">
        <v>20</v>
      </c>
      <c r="B101" s="5">
        <v>30</v>
      </c>
      <c r="C101" s="5">
        <v>30</v>
      </c>
      <c r="D101" s="5">
        <v>20</v>
      </c>
      <c r="E101" s="5">
        <v>30</v>
      </c>
      <c r="F101" s="5">
        <v>20</v>
      </c>
      <c r="G101" s="5">
        <v>20</v>
      </c>
      <c r="H101" s="5">
        <v>30</v>
      </c>
      <c r="I101" s="5">
        <v>30</v>
      </c>
      <c r="J101" s="5">
        <v>20</v>
      </c>
      <c r="K101" s="5">
        <v>20</v>
      </c>
      <c r="L101" s="5">
        <v>30</v>
      </c>
      <c r="M101" s="5">
        <v>30</v>
      </c>
      <c r="N101" s="5">
        <v>20</v>
      </c>
      <c r="O101" s="5">
        <v>30</v>
      </c>
      <c r="P101" s="5">
        <v>20</v>
      </c>
      <c r="Q101" s="5">
        <v>30</v>
      </c>
      <c r="R101" s="5">
        <v>30</v>
      </c>
      <c r="S101" s="5">
        <v>20</v>
      </c>
      <c r="T101" s="5">
        <v>20</v>
      </c>
      <c r="U101" s="5">
        <v>20</v>
      </c>
      <c r="V101" s="5">
        <v>20</v>
      </c>
      <c r="W101" s="5">
        <v>20</v>
      </c>
      <c r="X101" s="5">
        <v>40</v>
      </c>
      <c r="Y101" s="5">
        <v>40</v>
      </c>
      <c r="Z101" s="5">
        <v>20</v>
      </c>
      <c r="AA101" s="5">
        <v>20</v>
      </c>
      <c r="AB101" s="5">
        <v>20</v>
      </c>
      <c r="AC101" s="5">
        <v>20</v>
      </c>
      <c r="AD101" s="5">
        <v>30</v>
      </c>
      <c r="AE101" s="5">
        <v>20</v>
      </c>
      <c r="AF101" s="5">
        <v>30</v>
      </c>
      <c r="AG101" s="5">
        <v>20</v>
      </c>
      <c r="AH101" s="5">
        <v>30</v>
      </c>
      <c r="AI101" s="5">
        <v>30</v>
      </c>
      <c r="AJ101" s="5">
        <v>20</v>
      </c>
      <c r="AK101" s="5">
        <v>20</v>
      </c>
      <c r="AL101" s="5">
        <v>30</v>
      </c>
      <c r="AM101" s="5">
        <v>30</v>
      </c>
      <c r="AN101" s="5">
        <v>20</v>
      </c>
      <c r="AO101" s="5">
        <v>30</v>
      </c>
      <c r="AP101" s="5">
        <v>10</v>
      </c>
      <c r="AQ101" s="5">
        <v>30</v>
      </c>
      <c r="AR101" s="5">
        <v>30</v>
      </c>
      <c r="AS101" s="5">
        <v>30</v>
      </c>
      <c r="AT101" s="5">
        <v>20</v>
      </c>
      <c r="AU101" s="5">
        <v>30</v>
      </c>
      <c r="AV101" s="5">
        <v>20</v>
      </c>
      <c r="AW101" s="6">
        <v>3.94</v>
      </c>
      <c r="AX101" s="6" t="s">
        <v>26</v>
      </c>
      <c r="AY101" s="6">
        <v>4.1500000000000004</v>
      </c>
      <c r="AZ101" s="7" t="s">
        <v>16</v>
      </c>
      <c r="BA101" s="8"/>
      <c r="BB101">
        <f t="shared" si="2"/>
        <v>3.94</v>
      </c>
      <c r="BC101">
        <f t="shared" si="3"/>
        <v>3.94</v>
      </c>
    </row>
    <row r="102" spans="1:55" ht="15.5">
      <c r="A102" s="9">
        <v>25</v>
      </c>
      <c r="B102" s="9">
        <v>10</v>
      </c>
      <c r="C102" s="9">
        <v>25</v>
      </c>
      <c r="D102" s="9">
        <v>40</v>
      </c>
      <c r="E102" s="9">
        <v>30</v>
      </c>
      <c r="F102" s="9">
        <v>10</v>
      </c>
      <c r="G102" s="9">
        <v>20</v>
      </c>
      <c r="H102" s="9">
        <v>40</v>
      </c>
      <c r="I102" s="9">
        <v>35</v>
      </c>
      <c r="J102" s="9">
        <v>10</v>
      </c>
      <c r="K102" s="9">
        <v>35</v>
      </c>
      <c r="L102" s="9">
        <v>20</v>
      </c>
      <c r="M102" s="9">
        <v>30</v>
      </c>
      <c r="N102" s="9">
        <v>20</v>
      </c>
      <c r="O102" s="9">
        <v>20</v>
      </c>
      <c r="P102" s="9">
        <v>30</v>
      </c>
      <c r="Q102" s="9">
        <v>25</v>
      </c>
      <c r="R102" s="9">
        <v>25</v>
      </c>
      <c r="S102" s="9">
        <v>25</v>
      </c>
      <c r="T102" s="9">
        <v>25</v>
      </c>
      <c r="U102" s="9">
        <v>25</v>
      </c>
      <c r="V102" s="9">
        <v>25</v>
      </c>
      <c r="W102" s="9">
        <v>25</v>
      </c>
      <c r="X102" s="9">
        <v>25</v>
      </c>
      <c r="Y102" s="9">
        <v>25</v>
      </c>
      <c r="Z102" s="9">
        <v>25</v>
      </c>
      <c r="AA102" s="9">
        <v>25</v>
      </c>
      <c r="AB102" s="9">
        <v>25</v>
      </c>
      <c r="AC102" s="9">
        <v>25</v>
      </c>
      <c r="AD102" s="9">
        <v>25</v>
      </c>
      <c r="AE102" s="9">
        <v>25</v>
      </c>
      <c r="AF102" s="9">
        <v>25</v>
      </c>
      <c r="AG102" s="9">
        <v>25</v>
      </c>
      <c r="AH102" s="9">
        <v>25</v>
      </c>
      <c r="AI102" s="9">
        <v>25</v>
      </c>
      <c r="AJ102" s="9">
        <v>25</v>
      </c>
      <c r="AK102" s="9">
        <v>25</v>
      </c>
      <c r="AL102" s="9">
        <v>25</v>
      </c>
      <c r="AM102" s="9">
        <v>25</v>
      </c>
      <c r="AN102" s="9">
        <v>25</v>
      </c>
      <c r="AO102" s="9">
        <v>40</v>
      </c>
      <c r="AP102" s="9">
        <v>20</v>
      </c>
      <c r="AQ102" s="9">
        <v>20</v>
      </c>
      <c r="AR102" s="9">
        <v>20</v>
      </c>
      <c r="AS102" s="9">
        <v>40</v>
      </c>
      <c r="AT102" s="9">
        <v>20</v>
      </c>
      <c r="AU102" s="9">
        <v>20</v>
      </c>
      <c r="AV102" s="9">
        <v>20</v>
      </c>
      <c r="AW102" s="14">
        <v>3.79</v>
      </c>
      <c r="AX102" s="14" t="s">
        <v>26</v>
      </c>
      <c r="AY102" s="19"/>
      <c r="AZ102" s="19"/>
      <c r="BA102" s="20"/>
      <c r="BB102">
        <f t="shared" si="2"/>
        <v>3.79</v>
      </c>
      <c r="BC102">
        <f t="shared" si="3"/>
        <v>3.79</v>
      </c>
    </row>
    <row r="103" spans="1:55" ht="15.5">
      <c r="A103" s="5">
        <v>25</v>
      </c>
      <c r="B103" s="5">
        <v>25</v>
      </c>
      <c r="C103" s="5">
        <v>25</v>
      </c>
      <c r="D103" s="5">
        <v>25</v>
      </c>
      <c r="E103" s="5">
        <v>25</v>
      </c>
      <c r="F103" s="5">
        <v>25</v>
      </c>
      <c r="G103" s="5">
        <v>25</v>
      </c>
      <c r="H103" s="5">
        <v>25</v>
      </c>
      <c r="I103" s="5">
        <v>25</v>
      </c>
      <c r="J103" s="5">
        <v>25</v>
      </c>
      <c r="K103" s="5">
        <v>25</v>
      </c>
      <c r="L103" s="5">
        <v>25</v>
      </c>
      <c r="M103" s="5">
        <v>25</v>
      </c>
      <c r="N103" s="5">
        <v>25</v>
      </c>
      <c r="O103" s="5">
        <v>25</v>
      </c>
      <c r="P103" s="5">
        <v>25</v>
      </c>
      <c r="Q103" s="5">
        <v>25</v>
      </c>
      <c r="R103" s="5">
        <v>25</v>
      </c>
      <c r="S103" s="5">
        <v>25</v>
      </c>
      <c r="T103" s="5">
        <v>25</v>
      </c>
      <c r="U103" s="5">
        <v>25</v>
      </c>
      <c r="V103" s="5">
        <v>25</v>
      </c>
      <c r="W103" s="5">
        <v>25</v>
      </c>
      <c r="X103" s="5">
        <v>25</v>
      </c>
      <c r="Y103" s="5">
        <v>25</v>
      </c>
      <c r="Z103" s="5">
        <v>25</v>
      </c>
      <c r="AA103" s="5">
        <v>25</v>
      </c>
      <c r="AB103" s="5">
        <v>25</v>
      </c>
      <c r="AC103" s="5">
        <v>25</v>
      </c>
      <c r="AD103" s="5">
        <v>25</v>
      </c>
      <c r="AE103" s="5">
        <v>25</v>
      </c>
      <c r="AF103" s="5">
        <v>25</v>
      </c>
      <c r="AG103" s="5">
        <v>25</v>
      </c>
      <c r="AH103" s="5">
        <v>25</v>
      </c>
      <c r="AI103" s="5">
        <v>25</v>
      </c>
      <c r="AJ103" s="5">
        <v>25</v>
      </c>
      <c r="AK103" s="5">
        <v>25</v>
      </c>
      <c r="AL103" s="5">
        <v>25</v>
      </c>
      <c r="AM103" s="5">
        <v>25</v>
      </c>
      <c r="AN103" s="5">
        <v>25</v>
      </c>
      <c r="AO103" s="5">
        <v>25</v>
      </c>
      <c r="AP103" s="5">
        <v>25</v>
      </c>
      <c r="AQ103" s="5">
        <v>25</v>
      </c>
      <c r="AR103" s="5">
        <v>25</v>
      </c>
      <c r="AS103" s="5">
        <v>25</v>
      </c>
      <c r="AT103" s="5">
        <v>25</v>
      </c>
      <c r="AU103" s="5">
        <v>25</v>
      </c>
      <c r="AV103" s="5">
        <v>25</v>
      </c>
      <c r="AW103" s="6">
        <v>4.45</v>
      </c>
      <c r="AX103" s="7" t="s">
        <v>16</v>
      </c>
      <c r="AY103" s="21"/>
      <c r="AZ103" s="21"/>
      <c r="BA103" s="22"/>
      <c r="BB103">
        <f t="shared" si="2"/>
        <v>4.45</v>
      </c>
      <c r="BC103">
        <f t="shared" si="3"/>
        <v>4.45</v>
      </c>
    </row>
    <row r="104" spans="1:55" ht="15.5">
      <c r="A104" s="9">
        <v>25</v>
      </c>
      <c r="B104" s="9">
        <v>25</v>
      </c>
      <c r="C104" s="9">
        <v>25</v>
      </c>
      <c r="D104" s="9">
        <v>25</v>
      </c>
      <c r="E104" s="9">
        <v>25</v>
      </c>
      <c r="F104" s="9">
        <v>25</v>
      </c>
      <c r="G104" s="9">
        <v>25</v>
      </c>
      <c r="H104" s="9">
        <v>25</v>
      </c>
      <c r="I104" s="9">
        <v>25</v>
      </c>
      <c r="J104" s="9">
        <v>25</v>
      </c>
      <c r="K104" s="9">
        <v>25</v>
      </c>
      <c r="L104" s="9">
        <v>25</v>
      </c>
      <c r="M104" s="9">
        <v>25</v>
      </c>
      <c r="N104" s="9">
        <v>25</v>
      </c>
      <c r="O104" s="9">
        <v>25</v>
      </c>
      <c r="P104" s="9">
        <v>25</v>
      </c>
      <c r="Q104" s="9">
        <v>25</v>
      </c>
      <c r="R104" s="9">
        <v>25</v>
      </c>
      <c r="S104" s="9">
        <v>25</v>
      </c>
      <c r="T104" s="9">
        <v>25</v>
      </c>
      <c r="U104" s="9">
        <v>25</v>
      </c>
      <c r="V104" s="9">
        <v>25</v>
      </c>
      <c r="W104" s="9">
        <v>25</v>
      </c>
      <c r="X104" s="9">
        <v>25</v>
      </c>
      <c r="Y104" s="9">
        <v>25</v>
      </c>
      <c r="Z104" s="9">
        <v>25</v>
      </c>
      <c r="AA104" s="9">
        <v>25</v>
      </c>
      <c r="AB104" s="9">
        <v>25</v>
      </c>
      <c r="AC104" s="9">
        <v>25</v>
      </c>
      <c r="AD104" s="9">
        <v>25</v>
      </c>
      <c r="AE104" s="9">
        <v>25</v>
      </c>
      <c r="AF104" s="9">
        <v>25</v>
      </c>
      <c r="AG104" s="9">
        <v>25</v>
      </c>
      <c r="AH104" s="9">
        <v>25</v>
      </c>
      <c r="AI104" s="9">
        <v>25</v>
      </c>
      <c r="AJ104" s="9">
        <v>25</v>
      </c>
      <c r="AK104" s="9">
        <v>25</v>
      </c>
      <c r="AL104" s="9">
        <v>25</v>
      </c>
      <c r="AM104" s="9">
        <v>25</v>
      </c>
      <c r="AN104" s="9">
        <v>25</v>
      </c>
      <c r="AO104" s="9">
        <v>25</v>
      </c>
      <c r="AP104" s="9">
        <v>25</v>
      </c>
      <c r="AQ104" s="9">
        <v>25</v>
      </c>
      <c r="AR104" s="9">
        <v>25</v>
      </c>
      <c r="AS104" s="9">
        <v>25</v>
      </c>
      <c r="AT104" s="9">
        <v>25</v>
      </c>
      <c r="AU104" s="9">
        <v>25</v>
      </c>
      <c r="AV104" s="9">
        <v>25</v>
      </c>
      <c r="AW104" s="10">
        <v>4.3499999999999996</v>
      </c>
      <c r="AX104" s="15" t="s">
        <v>16</v>
      </c>
      <c r="AY104" s="19"/>
      <c r="AZ104" s="19"/>
      <c r="BA104" s="20"/>
      <c r="BB104">
        <f t="shared" si="2"/>
        <v>4.3499999999999996</v>
      </c>
      <c r="BC104">
        <f t="shared" si="3"/>
        <v>4.3499999999999996</v>
      </c>
    </row>
    <row r="105" spans="1:55" ht="15.5">
      <c r="A105" s="5">
        <v>30</v>
      </c>
      <c r="B105" s="5">
        <v>30</v>
      </c>
      <c r="C105" s="5">
        <v>20</v>
      </c>
      <c r="D105" s="5">
        <v>20</v>
      </c>
      <c r="E105" s="5">
        <v>40</v>
      </c>
      <c r="F105" s="5">
        <v>20</v>
      </c>
      <c r="G105" s="5">
        <v>20</v>
      </c>
      <c r="H105" s="5">
        <v>20</v>
      </c>
      <c r="I105" s="5">
        <v>40</v>
      </c>
      <c r="J105" s="5">
        <v>20</v>
      </c>
      <c r="K105" s="5">
        <v>20</v>
      </c>
      <c r="L105" s="5">
        <v>20</v>
      </c>
      <c r="M105" s="5">
        <v>30</v>
      </c>
      <c r="N105" s="5">
        <v>30</v>
      </c>
      <c r="O105" s="5">
        <v>20</v>
      </c>
      <c r="P105" s="5">
        <v>20</v>
      </c>
      <c r="Q105" s="5">
        <v>20</v>
      </c>
      <c r="R105" s="5">
        <v>20</v>
      </c>
      <c r="S105" s="5">
        <v>30</v>
      </c>
      <c r="T105" s="5">
        <v>30</v>
      </c>
      <c r="U105" s="5">
        <v>30</v>
      </c>
      <c r="V105" s="5">
        <v>20</v>
      </c>
      <c r="W105" s="5">
        <v>20</v>
      </c>
      <c r="X105" s="5">
        <v>30</v>
      </c>
      <c r="Y105" s="5">
        <v>40</v>
      </c>
      <c r="Z105" s="5">
        <v>20</v>
      </c>
      <c r="AA105" s="5">
        <v>10</v>
      </c>
      <c r="AB105" s="5">
        <v>30</v>
      </c>
      <c r="AC105" s="5">
        <v>30</v>
      </c>
      <c r="AD105" s="5">
        <v>20</v>
      </c>
      <c r="AE105" s="5">
        <v>20</v>
      </c>
      <c r="AF105" s="5">
        <v>30</v>
      </c>
      <c r="AG105" s="5">
        <v>40</v>
      </c>
      <c r="AH105" s="5">
        <v>30</v>
      </c>
      <c r="AI105" s="5">
        <v>10</v>
      </c>
      <c r="AJ105" s="5">
        <v>20</v>
      </c>
      <c r="AK105" s="5">
        <v>20</v>
      </c>
      <c r="AL105" s="5">
        <v>20</v>
      </c>
      <c r="AM105" s="5">
        <v>30</v>
      </c>
      <c r="AN105" s="5">
        <v>30</v>
      </c>
      <c r="AO105" s="5">
        <v>30</v>
      </c>
      <c r="AP105" s="5">
        <v>20</v>
      </c>
      <c r="AQ105" s="5">
        <v>20</v>
      </c>
      <c r="AR105" s="5">
        <v>30</v>
      </c>
      <c r="AS105" s="5">
        <v>30</v>
      </c>
      <c r="AT105" s="5">
        <v>20</v>
      </c>
      <c r="AU105" s="5">
        <v>20</v>
      </c>
      <c r="AV105" s="5">
        <v>30</v>
      </c>
      <c r="AW105" s="28"/>
      <c r="AX105" s="28"/>
      <c r="AY105" s="6">
        <v>3.74</v>
      </c>
      <c r="AZ105" s="6" t="s">
        <v>26</v>
      </c>
      <c r="BA105" s="30"/>
      <c r="BB105">
        <f t="shared" si="2"/>
        <v>0</v>
      </c>
      <c r="BC105">
        <f t="shared" si="3"/>
        <v>3.74</v>
      </c>
    </row>
    <row r="106" spans="1:55" ht="15.5">
      <c r="A106" s="9">
        <v>30</v>
      </c>
      <c r="B106" s="9">
        <v>40</v>
      </c>
      <c r="C106" s="9">
        <v>20</v>
      </c>
      <c r="D106" s="9">
        <v>10</v>
      </c>
      <c r="E106" s="9">
        <v>30</v>
      </c>
      <c r="F106" s="9">
        <v>10</v>
      </c>
      <c r="G106" s="9">
        <v>30</v>
      </c>
      <c r="H106" s="9">
        <v>30</v>
      </c>
      <c r="I106" s="9">
        <v>30</v>
      </c>
      <c r="J106" s="9">
        <v>30</v>
      </c>
      <c r="K106" s="9">
        <v>20</v>
      </c>
      <c r="L106" s="9">
        <v>20</v>
      </c>
      <c r="M106" s="9">
        <v>20</v>
      </c>
      <c r="N106" s="9">
        <v>20</v>
      </c>
      <c r="O106" s="9">
        <v>20</v>
      </c>
      <c r="P106" s="9">
        <v>40</v>
      </c>
      <c r="Q106" s="9">
        <v>10</v>
      </c>
      <c r="R106" s="9">
        <v>20</v>
      </c>
      <c r="S106" s="9">
        <v>20</v>
      </c>
      <c r="T106" s="9">
        <v>50</v>
      </c>
      <c r="U106" s="9">
        <v>40</v>
      </c>
      <c r="V106" s="9">
        <v>10</v>
      </c>
      <c r="W106" s="9">
        <v>20</v>
      </c>
      <c r="X106" s="9">
        <v>30</v>
      </c>
      <c r="Y106" s="9">
        <v>40</v>
      </c>
      <c r="Z106" s="9">
        <v>40</v>
      </c>
      <c r="AA106" s="9">
        <v>10</v>
      </c>
      <c r="AB106" s="9">
        <v>10</v>
      </c>
      <c r="AC106" s="9">
        <v>10</v>
      </c>
      <c r="AD106" s="9">
        <v>10</v>
      </c>
      <c r="AE106" s="9">
        <v>20</v>
      </c>
      <c r="AF106" s="9">
        <v>60</v>
      </c>
      <c r="AG106" s="9">
        <v>20</v>
      </c>
      <c r="AH106" s="9">
        <v>30</v>
      </c>
      <c r="AI106" s="9">
        <v>30</v>
      </c>
      <c r="AJ106" s="9">
        <v>20</v>
      </c>
      <c r="AK106" s="9">
        <v>20</v>
      </c>
      <c r="AL106" s="9">
        <v>20</v>
      </c>
      <c r="AM106" s="9">
        <v>30</v>
      </c>
      <c r="AN106" s="9">
        <v>30</v>
      </c>
      <c r="AO106" s="9">
        <v>30</v>
      </c>
      <c r="AP106" s="9">
        <v>10</v>
      </c>
      <c r="AQ106" s="9">
        <v>30</v>
      </c>
      <c r="AR106" s="9">
        <v>30</v>
      </c>
      <c r="AS106" s="9">
        <v>10</v>
      </c>
      <c r="AT106" s="9">
        <v>30</v>
      </c>
      <c r="AU106" s="9">
        <v>30</v>
      </c>
      <c r="AV106" s="9">
        <v>30</v>
      </c>
      <c r="AW106" s="10">
        <v>4.07</v>
      </c>
      <c r="AX106" s="10" t="s">
        <v>16</v>
      </c>
      <c r="AY106" s="19"/>
      <c r="AZ106" s="19"/>
      <c r="BA106" s="20"/>
      <c r="BB106">
        <f t="shared" si="2"/>
        <v>4.07</v>
      </c>
      <c r="BC106">
        <f t="shared" si="3"/>
        <v>4.07</v>
      </c>
    </row>
    <row r="107" spans="1:55" ht="15.5">
      <c r="A107" s="5">
        <v>40</v>
      </c>
      <c r="B107" s="5">
        <v>10</v>
      </c>
      <c r="C107" s="5">
        <v>30</v>
      </c>
      <c r="D107" s="5">
        <v>20</v>
      </c>
      <c r="E107" s="5">
        <v>20</v>
      </c>
      <c r="F107" s="5">
        <v>30</v>
      </c>
      <c r="G107" s="5">
        <v>30</v>
      </c>
      <c r="H107" s="5">
        <v>20</v>
      </c>
      <c r="I107" s="5">
        <v>10</v>
      </c>
      <c r="J107" s="5">
        <v>10</v>
      </c>
      <c r="K107" s="5">
        <v>40</v>
      </c>
      <c r="L107" s="5">
        <v>40</v>
      </c>
      <c r="M107" s="5">
        <v>10</v>
      </c>
      <c r="N107" s="5">
        <v>10</v>
      </c>
      <c r="O107" s="5">
        <v>60</v>
      </c>
      <c r="P107" s="5">
        <v>20</v>
      </c>
      <c r="Q107" s="5">
        <v>20</v>
      </c>
      <c r="R107" s="5">
        <v>30</v>
      </c>
      <c r="S107" s="5">
        <v>30</v>
      </c>
      <c r="T107" s="5">
        <v>20</v>
      </c>
      <c r="U107" s="5">
        <v>30</v>
      </c>
      <c r="V107" s="5">
        <v>10</v>
      </c>
      <c r="W107" s="5">
        <v>30</v>
      </c>
      <c r="X107" s="5">
        <v>30</v>
      </c>
      <c r="Y107" s="5">
        <v>30</v>
      </c>
      <c r="Z107" s="5">
        <v>20</v>
      </c>
      <c r="AA107" s="5">
        <v>20</v>
      </c>
      <c r="AB107" s="5">
        <v>30</v>
      </c>
      <c r="AC107" s="5">
        <v>20</v>
      </c>
      <c r="AD107" s="5">
        <v>20</v>
      </c>
      <c r="AE107" s="5">
        <v>30</v>
      </c>
      <c r="AF107" s="5">
        <v>30</v>
      </c>
      <c r="AG107" s="5">
        <v>30</v>
      </c>
      <c r="AH107" s="5">
        <v>30</v>
      </c>
      <c r="AI107" s="5">
        <v>20</v>
      </c>
      <c r="AJ107" s="5">
        <v>20</v>
      </c>
      <c r="AK107" s="5">
        <v>30</v>
      </c>
      <c r="AL107" s="5">
        <v>20</v>
      </c>
      <c r="AM107" s="5">
        <v>20</v>
      </c>
      <c r="AN107" s="5">
        <v>30</v>
      </c>
      <c r="AO107" s="5">
        <v>40</v>
      </c>
      <c r="AP107" s="5">
        <v>10</v>
      </c>
      <c r="AQ107" s="5">
        <v>40</v>
      </c>
      <c r="AR107" s="5">
        <v>10</v>
      </c>
      <c r="AS107" s="5">
        <v>30</v>
      </c>
      <c r="AT107" s="5">
        <v>20</v>
      </c>
      <c r="AU107" s="5">
        <v>30</v>
      </c>
      <c r="AV107" s="5">
        <v>20</v>
      </c>
      <c r="AW107" s="6">
        <v>4.1500000000000004</v>
      </c>
      <c r="AX107" s="7" t="s">
        <v>16</v>
      </c>
      <c r="AY107" s="21"/>
      <c r="AZ107" s="21"/>
      <c r="BA107" s="22"/>
      <c r="BB107">
        <f t="shared" si="2"/>
        <v>4.1500000000000004</v>
      </c>
      <c r="BC107">
        <f t="shared" si="3"/>
        <v>4.1500000000000004</v>
      </c>
    </row>
    <row r="108" spans="1:55" ht="15.5">
      <c r="A108" s="9">
        <v>40</v>
      </c>
      <c r="B108" s="9">
        <v>20</v>
      </c>
      <c r="C108" s="9">
        <v>20</v>
      </c>
      <c r="D108" s="9">
        <v>20</v>
      </c>
      <c r="E108" s="9">
        <v>70</v>
      </c>
      <c r="F108" s="9">
        <v>10</v>
      </c>
      <c r="G108" s="9">
        <v>10</v>
      </c>
      <c r="H108" s="9">
        <v>10</v>
      </c>
      <c r="I108" s="9">
        <v>30</v>
      </c>
      <c r="J108" s="9">
        <v>30</v>
      </c>
      <c r="K108" s="9">
        <v>20</v>
      </c>
      <c r="L108" s="9">
        <v>20</v>
      </c>
      <c r="M108" s="9">
        <v>30</v>
      </c>
      <c r="N108" s="9">
        <v>20</v>
      </c>
      <c r="O108" s="9">
        <v>30</v>
      </c>
      <c r="P108" s="9">
        <v>20</v>
      </c>
      <c r="Q108" s="9">
        <v>20</v>
      </c>
      <c r="R108" s="9">
        <v>20</v>
      </c>
      <c r="S108" s="9">
        <v>30</v>
      </c>
      <c r="T108" s="9">
        <v>30</v>
      </c>
      <c r="U108" s="9">
        <v>30</v>
      </c>
      <c r="V108" s="9">
        <v>30</v>
      </c>
      <c r="W108" s="9">
        <v>10</v>
      </c>
      <c r="X108" s="9">
        <v>30</v>
      </c>
      <c r="Y108" s="9">
        <v>30</v>
      </c>
      <c r="Z108" s="9">
        <v>30</v>
      </c>
      <c r="AA108" s="9">
        <v>20</v>
      </c>
      <c r="AB108" s="9">
        <v>20</v>
      </c>
      <c r="AC108" s="9">
        <v>30</v>
      </c>
      <c r="AD108" s="9">
        <v>30</v>
      </c>
      <c r="AE108" s="9">
        <v>20</v>
      </c>
      <c r="AF108" s="9">
        <v>20</v>
      </c>
      <c r="AG108" s="9">
        <v>30</v>
      </c>
      <c r="AH108" s="9">
        <v>30</v>
      </c>
      <c r="AI108" s="9">
        <v>20</v>
      </c>
      <c r="AJ108" s="9">
        <v>20</v>
      </c>
      <c r="AK108" s="9">
        <v>30</v>
      </c>
      <c r="AL108" s="9">
        <v>20</v>
      </c>
      <c r="AM108" s="9">
        <v>20</v>
      </c>
      <c r="AN108" s="9">
        <v>30</v>
      </c>
      <c r="AO108" s="9">
        <v>30</v>
      </c>
      <c r="AP108" s="9">
        <v>10</v>
      </c>
      <c r="AQ108" s="9">
        <v>30</v>
      </c>
      <c r="AR108" s="9">
        <v>30</v>
      </c>
      <c r="AS108" s="9">
        <v>30</v>
      </c>
      <c r="AT108" s="9">
        <v>30</v>
      </c>
      <c r="AU108" s="9">
        <v>20</v>
      </c>
      <c r="AV108" s="9">
        <v>20</v>
      </c>
      <c r="AW108" s="10">
        <v>4.47</v>
      </c>
      <c r="AX108" s="10" t="s">
        <v>16</v>
      </c>
      <c r="AY108" s="19"/>
      <c r="AZ108" s="19"/>
      <c r="BA108" s="20"/>
      <c r="BB108">
        <f t="shared" si="2"/>
        <v>4.47</v>
      </c>
      <c r="BC108">
        <f t="shared" si="3"/>
        <v>4.47</v>
      </c>
    </row>
    <row r="109" spans="1:55" ht="15.5">
      <c r="A109" s="5">
        <v>30</v>
      </c>
      <c r="B109" s="5">
        <v>20</v>
      </c>
      <c r="C109" s="5">
        <v>30</v>
      </c>
      <c r="D109" s="5">
        <v>20</v>
      </c>
      <c r="E109" s="5">
        <v>30</v>
      </c>
      <c r="F109" s="5">
        <v>20</v>
      </c>
      <c r="G109" s="5">
        <v>30</v>
      </c>
      <c r="H109" s="5">
        <v>20</v>
      </c>
      <c r="I109" s="5">
        <v>25</v>
      </c>
      <c r="J109" s="5">
        <v>25</v>
      </c>
      <c r="K109" s="5">
        <v>25</v>
      </c>
      <c r="L109" s="5">
        <v>25</v>
      </c>
      <c r="M109" s="5">
        <v>20</v>
      </c>
      <c r="N109" s="5">
        <v>30</v>
      </c>
      <c r="O109" s="5">
        <v>20</v>
      </c>
      <c r="P109" s="5">
        <v>30</v>
      </c>
      <c r="Q109" s="5">
        <v>30</v>
      </c>
      <c r="R109" s="5">
        <v>10</v>
      </c>
      <c r="S109" s="5">
        <v>30</v>
      </c>
      <c r="T109" s="5">
        <v>30</v>
      </c>
      <c r="U109" s="5">
        <v>30</v>
      </c>
      <c r="V109" s="5">
        <v>20</v>
      </c>
      <c r="W109" s="5">
        <v>30</v>
      </c>
      <c r="X109" s="5">
        <v>20</v>
      </c>
      <c r="Y109" s="5">
        <v>30</v>
      </c>
      <c r="Z109" s="5">
        <v>30</v>
      </c>
      <c r="AA109" s="5">
        <v>20</v>
      </c>
      <c r="AB109" s="5">
        <v>20</v>
      </c>
      <c r="AC109" s="5">
        <v>45</v>
      </c>
      <c r="AD109" s="5">
        <v>25</v>
      </c>
      <c r="AE109" s="5">
        <v>15</v>
      </c>
      <c r="AF109" s="5">
        <v>15</v>
      </c>
      <c r="AG109" s="5">
        <v>50</v>
      </c>
      <c r="AH109" s="5">
        <v>20</v>
      </c>
      <c r="AI109" s="5">
        <v>20</v>
      </c>
      <c r="AJ109" s="5">
        <v>10</v>
      </c>
      <c r="AK109" s="5">
        <v>30</v>
      </c>
      <c r="AL109" s="5">
        <v>30</v>
      </c>
      <c r="AM109" s="5">
        <v>30</v>
      </c>
      <c r="AN109" s="5">
        <v>10</v>
      </c>
      <c r="AO109" s="5">
        <v>20</v>
      </c>
      <c r="AP109" s="5">
        <v>30</v>
      </c>
      <c r="AQ109" s="5">
        <v>20</v>
      </c>
      <c r="AR109" s="5">
        <v>30</v>
      </c>
      <c r="AS109" s="5">
        <v>30</v>
      </c>
      <c r="AT109" s="5">
        <v>20</v>
      </c>
      <c r="AU109" s="5">
        <v>30</v>
      </c>
      <c r="AV109" s="5">
        <v>20</v>
      </c>
      <c r="AW109" s="12">
        <v>3.87</v>
      </c>
      <c r="AX109" s="12" t="s">
        <v>26</v>
      </c>
      <c r="AY109" s="21"/>
      <c r="AZ109" s="21"/>
      <c r="BA109" s="22"/>
      <c r="BB109">
        <f t="shared" si="2"/>
        <v>3.87</v>
      </c>
      <c r="BC109">
        <f t="shared" si="3"/>
        <v>3.87</v>
      </c>
    </row>
    <row r="110" spans="1:55" ht="15.5">
      <c r="A110" s="9">
        <v>20</v>
      </c>
      <c r="B110" s="9">
        <v>30</v>
      </c>
      <c r="C110" s="9">
        <v>20</v>
      </c>
      <c r="D110" s="9">
        <v>30</v>
      </c>
      <c r="E110" s="9">
        <v>10</v>
      </c>
      <c r="F110" s="9">
        <v>30</v>
      </c>
      <c r="G110" s="9">
        <v>30</v>
      </c>
      <c r="H110" s="9">
        <v>30</v>
      </c>
      <c r="I110" s="9">
        <v>20</v>
      </c>
      <c r="J110" s="9">
        <v>10</v>
      </c>
      <c r="K110" s="9">
        <v>30</v>
      </c>
      <c r="L110" s="9">
        <v>40</v>
      </c>
      <c r="M110" s="9">
        <v>10</v>
      </c>
      <c r="N110" s="9">
        <v>20</v>
      </c>
      <c r="O110" s="9">
        <v>20</v>
      </c>
      <c r="P110" s="9">
        <v>50</v>
      </c>
      <c r="Q110" s="9">
        <v>20</v>
      </c>
      <c r="R110" s="9">
        <v>10</v>
      </c>
      <c r="S110" s="9">
        <v>30</v>
      </c>
      <c r="T110" s="9">
        <v>40</v>
      </c>
      <c r="U110" s="9">
        <v>20</v>
      </c>
      <c r="V110" s="9">
        <v>20</v>
      </c>
      <c r="W110" s="9">
        <v>30</v>
      </c>
      <c r="X110" s="9">
        <v>30</v>
      </c>
      <c r="Y110" s="9">
        <v>30</v>
      </c>
      <c r="Z110" s="9">
        <v>30</v>
      </c>
      <c r="AA110" s="9">
        <v>20</v>
      </c>
      <c r="AB110" s="9">
        <v>20</v>
      </c>
      <c r="AC110" s="9">
        <v>20</v>
      </c>
      <c r="AD110" s="9">
        <v>20</v>
      </c>
      <c r="AE110" s="9">
        <v>20</v>
      </c>
      <c r="AF110" s="9">
        <v>40</v>
      </c>
      <c r="AG110" s="9">
        <v>20</v>
      </c>
      <c r="AH110" s="9">
        <v>20</v>
      </c>
      <c r="AI110" s="9">
        <v>10</v>
      </c>
      <c r="AJ110" s="9">
        <v>50</v>
      </c>
      <c r="AK110" s="9">
        <v>20</v>
      </c>
      <c r="AL110" s="9">
        <v>10</v>
      </c>
      <c r="AM110" s="9">
        <v>10</v>
      </c>
      <c r="AN110" s="9">
        <v>60</v>
      </c>
      <c r="AO110" s="9">
        <v>70</v>
      </c>
      <c r="AP110" s="9">
        <v>10</v>
      </c>
      <c r="AQ110" s="9">
        <v>10</v>
      </c>
      <c r="AR110" s="9">
        <v>10</v>
      </c>
      <c r="AS110" s="9">
        <v>60</v>
      </c>
      <c r="AT110" s="9">
        <v>10</v>
      </c>
      <c r="AU110" s="9">
        <v>10</v>
      </c>
      <c r="AV110" s="9">
        <v>20</v>
      </c>
      <c r="AW110" s="23"/>
      <c r="AX110" s="23"/>
      <c r="AY110" s="10">
        <v>4.71</v>
      </c>
      <c r="AZ110" s="26" t="s">
        <v>16</v>
      </c>
      <c r="BA110" s="27"/>
      <c r="BB110">
        <f t="shared" si="2"/>
        <v>0</v>
      </c>
      <c r="BC110">
        <f t="shared" si="3"/>
        <v>4.71</v>
      </c>
    </row>
    <row r="111" spans="1:55" ht="15.5">
      <c r="A111" s="5">
        <v>40</v>
      </c>
      <c r="B111" s="5">
        <v>20</v>
      </c>
      <c r="C111" s="5">
        <v>20</v>
      </c>
      <c r="D111" s="5">
        <v>20</v>
      </c>
      <c r="E111" s="5">
        <v>30</v>
      </c>
      <c r="F111" s="5">
        <v>20</v>
      </c>
      <c r="G111" s="5">
        <v>30</v>
      </c>
      <c r="H111" s="5">
        <v>20</v>
      </c>
      <c r="I111" s="5">
        <v>20</v>
      </c>
      <c r="J111" s="5">
        <v>30</v>
      </c>
      <c r="K111" s="5">
        <v>30</v>
      </c>
      <c r="L111" s="5">
        <v>20</v>
      </c>
      <c r="M111" s="5">
        <v>30</v>
      </c>
      <c r="N111" s="5">
        <v>20</v>
      </c>
      <c r="O111" s="5">
        <v>30</v>
      </c>
      <c r="P111" s="5">
        <v>20</v>
      </c>
      <c r="Q111" s="5">
        <v>30</v>
      </c>
      <c r="R111" s="5">
        <v>20</v>
      </c>
      <c r="S111" s="5">
        <v>20</v>
      </c>
      <c r="T111" s="5">
        <v>30</v>
      </c>
      <c r="U111" s="5">
        <v>30</v>
      </c>
      <c r="V111" s="5">
        <v>20</v>
      </c>
      <c r="W111" s="5">
        <v>30</v>
      </c>
      <c r="X111" s="5">
        <v>20</v>
      </c>
      <c r="Y111" s="5">
        <v>60</v>
      </c>
      <c r="Z111" s="5">
        <v>10</v>
      </c>
      <c r="AA111" s="5">
        <v>20</v>
      </c>
      <c r="AB111" s="5">
        <v>10</v>
      </c>
      <c r="AC111" s="5">
        <v>40</v>
      </c>
      <c r="AD111" s="5">
        <v>20</v>
      </c>
      <c r="AE111" s="5">
        <v>20</v>
      </c>
      <c r="AF111" s="5">
        <v>20</v>
      </c>
      <c r="AG111" s="5">
        <v>30</v>
      </c>
      <c r="AH111" s="5">
        <v>20</v>
      </c>
      <c r="AI111" s="5">
        <v>30</v>
      </c>
      <c r="AJ111" s="5">
        <v>20</v>
      </c>
      <c r="AK111" s="5">
        <v>30</v>
      </c>
      <c r="AL111" s="5">
        <v>40</v>
      </c>
      <c r="AM111" s="5">
        <v>20</v>
      </c>
      <c r="AN111" s="5">
        <v>10</v>
      </c>
      <c r="AO111" s="5">
        <v>20</v>
      </c>
      <c r="AP111" s="5">
        <v>35</v>
      </c>
      <c r="AQ111" s="5">
        <v>35</v>
      </c>
      <c r="AR111" s="5">
        <v>10</v>
      </c>
      <c r="AS111" s="5">
        <v>30</v>
      </c>
      <c r="AT111" s="5">
        <v>30</v>
      </c>
      <c r="AU111" s="5">
        <v>20</v>
      </c>
      <c r="AV111" s="5">
        <v>20</v>
      </c>
      <c r="AW111" s="6">
        <v>4.2300000000000004</v>
      </c>
      <c r="AX111" s="7" t="s">
        <v>16</v>
      </c>
      <c r="AY111" s="21"/>
      <c r="AZ111" s="21"/>
      <c r="BA111" s="22"/>
      <c r="BB111">
        <f t="shared" si="2"/>
        <v>4.2300000000000004</v>
      </c>
      <c r="BC111">
        <f t="shared" si="3"/>
        <v>4.2300000000000004</v>
      </c>
    </row>
    <row r="112" spans="1:55" ht="15.5">
      <c r="A112" s="9">
        <v>30</v>
      </c>
      <c r="B112" s="9">
        <v>30</v>
      </c>
      <c r="C112" s="9">
        <v>20</v>
      </c>
      <c r="D112" s="9">
        <v>20</v>
      </c>
      <c r="E112" s="9">
        <v>20</v>
      </c>
      <c r="F112" s="9">
        <v>30</v>
      </c>
      <c r="G112" s="9">
        <v>20</v>
      </c>
      <c r="H112" s="9">
        <v>30</v>
      </c>
      <c r="I112" s="9">
        <v>10</v>
      </c>
      <c r="J112" s="9">
        <v>30</v>
      </c>
      <c r="K112" s="9">
        <v>30</v>
      </c>
      <c r="L112" s="9">
        <v>30</v>
      </c>
      <c r="M112" s="9">
        <v>10</v>
      </c>
      <c r="N112" s="9">
        <v>30</v>
      </c>
      <c r="O112" s="9">
        <v>30</v>
      </c>
      <c r="P112" s="9">
        <v>30</v>
      </c>
      <c r="Q112" s="9">
        <v>30</v>
      </c>
      <c r="R112" s="9">
        <v>30</v>
      </c>
      <c r="S112" s="9">
        <v>20</v>
      </c>
      <c r="T112" s="9">
        <v>20</v>
      </c>
      <c r="U112" s="9">
        <v>20</v>
      </c>
      <c r="V112" s="9">
        <v>30</v>
      </c>
      <c r="W112" s="9">
        <v>20</v>
      </c>
      <c r="X112" s="9">
        <v>30</v>
      </c>
      <c r="Y112" s="9">
        <v>10</v>
      </c>
      <c r="Z112" s="9">
        <v>30</v>
      </c>
      <c r="AA112" s="9">
        <v>30</v>
      </c>
      <c r="AB112" s="9">
        <v>30</v>
      </c>
      <c r="AC112" s="9">
        <v>20</v>
      </c>
      <c r="AD112" s="9">
        <v>30</v>
      </c>
      <c r="AE112" s="9">
        <v>30</v>
      </c>
      <c r="AF112" s="9">
        <v>20</v>
      </c>
      <c r="AG112" s="9">
        <v>40</v>
      </c>
      <c r="AH112" s="9">
        <v>20</v>
      </c>
      <c r="AI112" s="9">
        <v>20</v>
      </c>
      <c r="AJ112" s="9">
        <v>20</v>
      </c>
      <c r="AK112" s="9">
        <v>30</v>
      </c>
      <c r="AL112" s="9">
        <v>30</v>
      </c>
      <c r="AM112" s="9">
        <v>20</v>
      </c>
      <c r="AN112" s="9">
        <v>20</v>
      </c>
      <c r="AO112" s="9">
        <v>30</v>
      </c>
      <c r="AP112" s="9">
        <v>30</v>
      </c>
      <c r="AQ112" s="9">
        <v>20</v>
      </c>
      <c r="AR112" s="9">
        <v>20</v>
      </c>
      <c r="AS112" s="9">
        <v>20</v>
      </c>
      <c r="AT112" s="9">
        <v>20</v>
      </c>
      <c r="AU112" s="9">
        <v>30</v>
      </c>
      <c r="AV112" s="9">
        <v>30</v>
      </c>
      <c r="AW112" s="10">
        <v>4.95</v>
      </c>
      <c r="AX112" s="15" t="s">
        <v>16</v>
      </c>
      <c r="AY112" s="19" t="s">
        <v>42</v>
      </c>
      <c r="AZ112" s="19"/>
      <c r="BA112" s="20"/>
      <c r="BB112">
        <f t="shared" si="2"/>
        <v>4.95</v>
      </c>
      <c r="BC112">
        <f t="shared" si="3"/>
        <v>4.95</v>
      </c>
    </row>
    <row r="113" spans="1:55" ht="15.5">
      <c r="A113" s="5">
        <v>30</v>
      </c>
      <c r="B113" s="5">
        <v>20</v>
      </c>
      <c r="C113" s="5">
        <v>20</v>
      </c>
      <c r="D113" s="5">
        <v>30</v>
      </c>
      <c r="E113" s="5">
        <v>30</v>
      </c>
      <c r="F113" s="5">
        <v>20</v>
      </c>
      <c r="G113" s="5">
        <v>20</v>
      </c>
      <c r="H113" s="5">
        <v>30</v>
      </c>
      <c r="I113" s="5">
        <v>20</v>
      </c>
      <c r="J113" s="5">
        <v>30</v>
      </c>
      <c r="K113" s="5">
        <v>20</v>
      </c>
      <c r="L113" s="5">
        <v>30</v>
      </c>
      <c r="M113" s="5">
        <v>20</v>
      </c>
      <c r="N113" s="5">
        <v>20</v>
      </c>
      <c r="O113" s="5">
        <v>30</v>
      </c>
      <c r="P113" s="5">
        <v>30</v>
      </c>
      <c r="Q113" s="5">
        <v>20</v>
      </c>
      <c r="R113" s="5">
        <v>20</v>
      </c>
      <c r="S113" s="5">
        <v>30</v>
      </c>
      <c r="T113" s="5">
        <v>30</v>
      </c>
      <c r="U113" s="5">
        <v>20</v>
      </c>
      <c r="V113" s="5">
        <v>20</v>
      </c>
      <c r="W113" s="5">
        <v>30</v>
      </c>
      <c r="X113" s="5">
        <v>30</v>
      </c>
      <c r="Y113" s="5">
        <v>30</v>
      </c>
      <c r="Z113" s="5">
        <v>30</v>
      </c>
      <c r="AA113" s="5">
        <v>20</v>
      </c>
      <c r="AB113" s="5">
        <v>20</v>
      </c>
      <c r="AC113" s="5">
        <v>20</v>
      </c>
      <c r="AD113" s="5">
        <v>20</v>
      </c>
      <c r="AE113" s="5">
        <v>30</v>
      </c>
      <c r="AF113" s="5">
        <v>30</v>
      </c>
      <c r="AG113" s="5">
        <v>20</v>
      </c>
      <c r="AH113" s="5">
        <v>30</v>
      </c>
      <c r="AI113" s="5">
        <v>30</v>
      </c>
      <c r="AJ113" s="5">
        <v>20</v>
      </c>
      <c r="AK113" s="5">
        <v>20</v>
      </c>
      <c r="AL113" s="5">
        <v>30</v>
      </c>
      <c r="AM113" s="5">
        <v>30</v>
      </c>
      <c r="AN113" s="5">
        <v>20</v>
      </c>
      <c r="AO113" s="5">
        <v>20</v>
      </c>
      <c r="AP113" s="5">
        <v>20</v>
      </c>
      <c r="AQ113" s="5">
        <v>30</v>
      </c>
      <c r="AR113" s="5">
        <v>30</v>
      </c>
      <c r="AS113" s="5">
        <v>30</v>
      </c>
      <c r="AT113" s="5">
        <v>20</v>
      </c>
      <c r="AU113" s="5">
        <v>20</v>
      </c>
      <c r="AV113" s="5">
        <v>30</v>
      </c>
      <c r="AW113" s="6">
        <v>4.1500000000000004</v>
      </c>
      <c r="AX113" s="7" t="s">
        <v>16</v>
      </c>
      <c r="AY113" s="21"/>
      <c r="AZ113" s="21"/>
      <c r="BA113" s="22"/>
      <c r="BB113">
        <f t="shared" si="2"/>
        <v>4.1500000000000004</v>
      </c>
      <c r="BC113">
        <f t="shared" si="3"/>
        <v>4.1500000000000004</v>
      </c>
    </row>
    <row r="114" spans="1:55" ht="15.5">
      <c r="A114" s="9">
        <v>30</v>
      </c>
      <c r="B114" s="9">
        <v>30</v>
      </c>
      <c r="C114" s="9">
        <v>30</v>
      </c>
      <c r="D114" s="9">
        <v>10</v>
      </c>
      <c r="E114" s="9">
        <v>25</v>
      </c>
      <c r="F114" s="9">
        <v>25</v>
      </c>
      <c r="G114" s="9">
        <v>25</v>
      </c>
      <c r="H114" s="9">
        <v>25</v>
      </c>
      <c r="I114" s="9">
        <v>25</v>
      </c>
      <c r="J114" s="9">
        <v>25</v>
      </c>
      <c r="K114" s="9">
        <v>25</v>
      </c>
      <c r="L114" s="9">
        <v>25</v>
      </c>
      <c r="M114" s="9">
        <v>30</v>
      </c>
      <c r="N114" s="9">
        <v>30</v>
      </c>
      <c r="O114" s="9">
        <v>10</v>
      </c>
      <c r="P114" s="9">
        <v>30</v>
      </c>
      <c r="Q114" s="9">
        <v>20</v>
      </c>
      <c r="R114" s="9">
        <v>30</v>
      </c>
      <c r="S114" s="9">
        <v>20</v>
      </c>
      <c r="T114" s="9">
        <v>30</v>
      </c>
      <c r="U114" s="9">
        <v>30</v>
      </c>
      <c r="V114" s="9">
        <v>10</v>
      </c>
      <c r="W114" s="9">
        <v>30</v>
      </c>
      <c r="X114" s="9">
        <v>30</v>
      </c>
      <c r="Y114" s="9">
        <v>25</v>
      </c>
      <c r="Z114" s="9">
        <v>25</v>
      </c>
      <c r="AA114" s="9">
        <v>25</v>
      </c>
      <c r="AB114" s="9">
        <v>25</v>
      </c>
      <c r="AC114" s="9">
        <v>30</v>
      </c>
      <c r="AD114" s="9">
        <v>10</v>
      </c>
      <c r="AE114" s="9">
        <v>30</v>
      </c>
      <c r="AF114" s="9">
        <v>30</v>
      </c>
      <c r="AG114" s="9">
        <v>30</v>
      </c>
      <c r="AH114" s="9">
        <v>10</v>
      </c>
      <c r="AI114" s="9">
        <v>30</v>
      </c>
      <c r="AJ114" s="9">
        <v>30</v>
      </c>
      <c r="AK114" s="9">
        <v>25</v>
      </c>
      <c r="AL114" s="9">
        <v>25</v>
      </c>
      <c r="AM114" s="9">
        <v>25</v>
      </c>
      <c r="AN114" s="9">
        <v>25</v>
      </c>
      <c r="AO114" s="9">
        <v>25</v>
      </c>
      <c r="AP114" s="9">
        <v>25</v>
      </c>
      <c r="AQ114" s="9">
        <v>25</v>
      </c>
      <c r="AR114" s="9">
        <v>25</v>
      </c>
      <c r="AS114" s="9">
        <v>25</v>
      </c>
      <c r="AT114" s="9">
        <v>25</v>
      </c>
      <c r="AU114" s="9">
        <v>25</v>
      </c>
      <c r="AV114" s="9">
        <v>25</v>
      </c>
      <c r="AW114" s="23"/>
      <c r="AX114" s="10"/>
      <c r="AY114" s="10"/>
      <c r="AZ114" s="10">
        <v>3.94</v>
      </c>
      <c r="BA114" s="34" t="s">
        <v>26</v>
      </c>
      <c r="BB114">
        <f t="shared" si="2"/>
        <v>0</v>
      </c>
      <c r="BC114">
        <f t="shared" si="3"/>
        <v>0</v>
      </c>
    </row>
    <row r="115" spans="1:55" ht="15.5">
      <c r="A115" s="5">
        <v>35</v>
      </c>
      <c r="B115" s="5">
        <v>10</v>
      </c>
      <c r="C115" s="5">
        <v>35</v>
      </c>
      <c r="D115" s="5">
        <v>20</v>
      </c>
      <c r="E115" s="5">
        <v>20</v>
      </c>
      <c r="F115" s="5">
        <v>30</v>
      </c>
      <c r="G115" s="5">
        <v>30</v>
      </c>
      <c r="H115" s="5">
        <v>20</v>
      </c>
      <c r="I115" s="5">
        <v>20</v>
      </c>
      <c r="J115" s="5">
        <v>20</v>
      </c>
      <c r="K115" s="5">
        <v>20</v>
      </c>
      <c r="L115" s="5">
        <v>40</v>
      </c>
      <c r="M115" s="5">
        <v>20</v>
      </c>
      <c r="N115" s="5">
        <v>20</v>
      </c>
      <c r="O115" s="5">
        <v>30</v>
      </c>
      <c r="P115" s="5">
        <v>30</v>
      </c>
      <c r="Q115" s="5">
        <v>25</v>
      </c>
      <c r="R115" s="5">
        <v>25</v>
      </c>
      <c r="S115" s="5">
        <v>25</v>
      </c>
      <c r="T115" s="5">
        <v>25</v>
      </c>
      <c r="U115" s="5">
        <v>20</v>
      </c>
      <c r="V115" s="5">
        <v>30</v>
      </c>
      <c r="W115" s="5">
        <v>30</v>
      </c>
      <c r="X115" s="5">
        <v>20</v>
      </c>
      <c r="Y115" s="5">
        <v>20</v>
      </c>
      <c r="Z115" s="5">
        <v>30</v>
      </c>
      <c r="AA115" s="5">
        <v>30</v>
      </c>
      <c r="AB115" s="5">
        <v>20</v>
      </c>
      <c r="AC115" s="5">
        <v>20</v>
      </c>
      <c r="AD115" s="5">
        <v>20</v>
      </c>
      <c r="AE115" s="5">
        <v>20</v>
      </c>
      <c r="AF115" s="5">
        <v>40</v>
      </c>
      <c r="AG115" s="5">
        <v>30</v>
      </c>
      <c r="AH115" s="5">
        <v>20</v>
      </c>
      <c r="AI115" s="5">
        <v>20</v>
      </c>
      <c r="AJ115" s="5">
        <v>30</v>
      </c>
      <c r="AK115" s="5">
        <v>20</v>
      </c>
      <c r="AL115" s="5">
        <v>40</v>
      </c>
      <c r="AM115" s="5">
        <v>20</v>
      </c>
      <c r="AN115" s="5">
        <v>20</v>
      </c>
      <c r="AO115" s="5">
        <v>10</v>
      </c>
      <c r="AP115" s="5">
        <v>30</v>
      </c>
      <c r="AQ115" s="5">
        <v>30</v>
      </c>
      <c r="AR115" s="5">
        <v>30</v>
      </c>
      <c r="AS115" s="5">
        <v>20</v>
      </c>
      <c r="AT115" s="5">
        <v>40</v>
      </c>
      <c r="AU115" s="5">
        <v>20</v>
      </c>
      <c r="AV115" s="5">
        <v>20</v>
      </c>
      <c r="AW115" s="6">
        <v>4.75</v>
      </c>
      <c r="AX115" s="7" t="s">
        <v>16</v>
      </c>
      <c r="AY115" s="21"/>
      <c r="AZ115" s="21"/>
      <c r="BA115" s="22"/>
      <c r="BB115">
        <f t="shared" si="2"/>
        <v>4.75</v>
      </c>
      <c r="BC115">
        <f t="shared" si="3"/>
        <v>4.75</v>
      </c>
    </row>
    <row r="116" spans="1:55" ht="15.5">
      <c r="A116" s="9">
        <v>25</v>
      </c>
      <c r="B116" s="9">
        <v>25</v>
      </c>
      <c r="C116" s="9">
        <v>25</v>
      </c>
      <c r="D116" s="9">
        <v>25</v>
      </c>
      <c r="E116" s="9">
        <v>30</v>
      </c>
      <c r="F116" s="9">
        <v>30</v>
      </c>
      <c r="G116" s="9">
        <v>30</v>
      </c>
      <c r="H116" s="9">
        <v>10</v>
      </c>
      <c r="I116" s="9">
        <v>30</v>
      </c>
      <c r="J116" s="9">
        <v>30</v>
      </c>
      <c r="K116" s="9">
        <v>30</v>
      </c>
      <c r="L116" s="9">
        <v>10</v>
      </c>
      <c r="M116" s="9">
        <v>30</v>
      </c>
      <c r="N116" s="9">
        <v>10</v>
      </c>
      <c r="O116" s="9">
        <v>30</v>
      </c>
      <c r="P116" s="9">
        <v>30</v>
      </c>
      <c r="Q116" s="9">
        <v>20</v>
      </c>
      <c r="R116" s="9">
        <v>20</v>
      </c>
      <c r="S116" s="9">
        <v>30</v>
      </c>
      <c r="T116" s="9">
        <v>30</v>
      </c>
      <c r="U116" s="9">
        <v>20</v>
      </c>
      <c r="V116" s="9">
        <v>20</v>
      </c>
      <c r="W116" s="9">
        <v>20</v>
      </c>
      <c r="X116" s="9">
        <v>40</v>
      </c>
      <c r="Y116" s="9">
        <v>25</v>
      </c>
      <c r="Z116" s="9">
        <v>25</v>
      </c>
      <c r="AA116" s="9">
        <v>25</v>
      </c>
      <c r="AB116" s="9">
        <v>25</v>
      </c>
      <c r="AC116" s="9">
        <v>10</v>
      </c>
      <c r="AD116" s="9">
        <v>30</v>
      </c>
      <c r="AE116" s="9">
        <v>30</v>
      </c>
      <c r="AF116" s="9">
        <v>30</v>
      </c>
      <c r="AG116" s="9">
        <v>25</v>
      </c>
      <c r="AH116" s="9">
        <v>25</v>
      </c>
      <c r="AI116" s="9">
        <v>25</v>
      </c>
      <c r="AJ116" s="9">
        <v>25</v>
      </c>
      <c r="AK116" s="9">
        <v>25</v>
      </c>
      <c r="AL116" s="9">
        <v>25</v>
      </c>
      <c r="AM116" s="9">
        <v>25</v>
      </c>
      <c r="AN116" s="9">
        <v>25</v>
      </c>
      <c r="AO116" s="9">
        <v>25</v>
      </c>
      <c r="AP116" s="9">
        <v>25</v>
      </c>
      <c r="AQ116" s="9">
        <v>25</v>
      </c>
      <c r="AR116" s="9">
        <v>25</v>
      </c>
      <c r="AS116" s="9">
        <v>20</v>
      </c>
      <c r="AT116" s="9">
        <v>20</v>
      </c>
      <c r="AU116" s="9">
        <v>40</v>
      </c>
      <c r="AV116" s="9">
        <v>20</v>
      </c>
      <c r="AW116" s="23"/>
      <c r="AX116" s="14"/>
      <c r="AY116" s="14"/>
      <c r="AZ116" s="14">
        <v>4.04</v>
      </c>
      <c r="BA116" s="35" t="s">
        <v>16</v>
      </c>
      <c r="BB116">
        <f t="shared" si="2"/>
        <v>0</v>
      </c>
      <c r="BC116">
        <f t="shared" si="3"/>
        <v>0</v>
      </c>
    </row>
    <row r="117" spans="1:55" ht="15.5">
      <c r="A117" s="5">
        <v>10</v>
      </c>
      <c r="B117" s="5">
        <v>10</v>
      </c>
      <c r="C117" s="5">
        <v>40</v>
      </c>
      <c r="D117" s="5">
        <v>40</v>
      </c>
      <c r="E117" s="5">
        <v>20</v>
      </c>
      <c r="F117" s="5">
        <v>20</v>
      </c>
      <c r="G117" s="5">
        <v>30</v>
      </c>
      <c r="H117" s="5">
        <v>30</v>
      </c>
      <c r="I117" s="5">
        <v>20</v>
      </c>
      <c r="J117" s="5">
        <v>20</v>
      </c>
      <c r="K117" s="5">
        <v>30</v>
      </c>
      <c r="L117" s="5">
        <v>30</v>
      </c>
      <c r="M117" s="5">
        <v>50</v>
      </c>
      <c r="N117" s="5">
        <v>10</v>
      </c>
      <c r="O117" s="5">
        <v>10</v>
      </c>
      <c r="P117" s="5">
        <v>30</v>
      </c>
      <c r="Q117" s="5">
        <v>30</v>
      </c>
      <c r="R117" s="5">
        <v>10</v>
      </c>
      <c r="S117" s="5">
        <v>50</v>
      </c>
      <c r="T117" s="5">
        <v>10</v>
      </c>
      <c r="U117" s="5">
        <v>50</v>
      </c>
      <c r="V117" s="5">
        <v>10</v>
      </c>
      <c r="W117" s="5">
        <v>20</v>
      </c>
      <c r="X117" s="5">
        <v>20</v>
      </c>
      <c r="Y117" s="5">
        <v>30</v>
      </c>
      <c r="Z117" s="5">
        <v>30</v>
      </c>
      <c r="AA117" s="5">
        <v>30</v>
      </c>
      <c r="AB117" s="5">
        <v>10</v>
      </c>
      <c r="AC117" s="5">
        <v>30</v>
      </c>
      <c r="AD117" s="5">
        <v>30</v>
      </c>
      <c r="AE117" s="5">
        <v>20</v>
      </c>
      <c r="AF117" s="5">
        <v>20</v>
      </c>
      <c r="AG117" s="5">
        <v>30</v>
      </c>
      <c r="AH117" s="5">
        <v>30</v>
      </c>
      <c r="AI117" s="5">
        <v>30</v>
      </c>
      <c r="AJ117" s="5">
        <v>10</v>
      </c>
      <c r="AK117" s="5">
        <v>30</v>
      </c>
      <c r="AL117" s="5">
        <v>30</v>
      </c>
      <c r="AM117" s="5">
        <v>30</v>
      </c>
      <c r="AN117" s="5">
        <v>10</v>
      </c>
      <c r="AO117" s="5">
        <v>30</v>
      </c>
      <c r="AP117" s="5">
        <v>30</v>
      </c>
      <c r="AQ117" s="5">
        <v>30</v>
      </c>
      <c r="AR117" s="5">
        <v>10</v>
      </c>
      <c r="AS117" s="5">
        <v>30</v>
      </c>
      <c r="AT117" s="5">
        <v>30</v>
      </c>
      <c r="AU117" s="5">
        <v>30</v>
      </c>
      <c r="AV117" s="5">
        <v>10</v>
      </c>
      <c r="AW117" s="12">
        <v>4.37</v>
      </c>
      <c r="AX117" s="7" t="s">
        <v>16</v>
      </c>
      <c r="AY117" s="12">
        <v>4.62</v>
      </c>
      <c r="AZ117" s="7" t="s">
        <v>16</v>
      </c>
      <c r="BA117" s="22"/>
      <c r="BB117">
        <f t="shared" si="2"/>
        <v>4.37</v>
      </c>
      <c r="BC117">
        <f t="shared" si="3"/>
        <v>4.37</v>
      </c>
    </row>
    <row r="118" spans="1:55" ht="15.5">
      <c r="A118" s="9">
        <v>30</v>
      </c>
      <c r="B118" s="9">
        <v>30</v>
      </c>
      <c r="C118" s="9">
        <v>20</v>
      </c>
      <c r="D118" s="9">
        <v>20</v>
      </c>
      <c r="E118" s="9">
        <v>30</v>
      </c>
      <c r="F118" s="9">
        <v>20</v>
      </c>
      <c r="G118" s="9">
        <v>30</v>
      </c>
      <c r="H118" s="9">
        <v>20</v>
      </c>
      <c r="I118" s="9">
        <v>30</v>
      </c>
      <c r="J118" s="9">
        <v>20</v>
      </c>
      <c r="K118" s="9">
        <v>30</v>
      </c>
      <c r="L118" s="9">
        <v>20</v>
      </c>
      <c r="M118" s="9">
        <v>20</v>
      </c>
      <c r="N118" s="9">
        <v>20</v>
      </c>
      <c r="O118" s="9">
        <v>30</v>
      </c>
      <c r="P118" s="9">
        <v>30</v>
      </c>
      <c r="Q118" s="9">
        <v>10</v>
      </c>
      <c r="R118" s="9">
        <v>20</v>
      </c>
      <c r="S118" s="9">
        <v>30</v>
      </c>
      <c r="T118" s="9">
        <v>40</v>
      </c>
      <c r="U118" s="9">
        <v>30</v>
      </c>
      <c r="V118" s="9">
        <v>20</v>
      </c>
      <c r="W118" s="9">
        <v>30</v>
      </c>
      <c r="X118" s="9">
        <v>20</v>
      </c>
      <c r="Y118" s="9">
        <v>30</v>
      </c>
      <c r="Z118" s="9">
        <v>30</v>
      </c>
      <c r="AA118" s="9">
        <v>20</v>
      </c>
      <c r="AB118" s="9">
        <v>20</v>
      </c>
      <c r="AC118" s="9">
        <v>20</v>
      </c>
      <c r="AD118" s="9">
        <v>20</v>
      </c>
      <c r="AE118" s="9">
        <v>30</v>
      </c>
      <c r="AF118" s="9">
        <v>30</v>
      </c>
      <c r="AG118" s="9">
        <v>40</v>
      </c>
      <c r="AH118" s="9">
        <v>40</v>
      </c>
      <c r="AI118" s="9">
        <v>10</v>
      </c>
      <c r="AJ118" s="9">
        <v>10</v>
      </c>
      <c r="AK118" s="9">
        <v>10</v>
      </c>
      <c r="AL118" s="9">
        <v>10</v>
      </c>
      <c r="AM118" s="9">
        <v>40</v>
      </c>
      <c r="AN118" s="9">
        <v>40</v>
      </c>
      <c r="AO118" s="9">
        <v>20</v>
      </c>
      <c r="AP118" s="9">
        <v>20</v>
      </c>
      <c r="AQ118" s="9">
        <v>50</v>
      </c>
      <c r="AR118" s="9">
        <v>10</v>
      </c>
      <c r="AS118" s="9">
        <v>10</v>
      </c>
      <c r="AT118" s="9">
        <v>10</v>
      </c>
      <c r="AU118" s="9">
        <v>40</v>
      </c>
      <c r="AV118" s="9">
        <v>40</v>
      </c>
      <c r="AW118" s="10">
        <v>4.9000000000000004</v>
      </c>
      <c r="AX118" s="15" t="s">
        <v>16</v>
      </c>
      <c r="AY118" s="19"/>
      <c r="AZ118" s="19"/>
      <c r="BA118" s="20"/>
      <c r="BB118">
        <f t="shared" si="2"/>
        <v>4.9000000000000004</v>
      </c>
      <c r="BC118">
        <f t="shared" si="3"/>
        <v>4.9000000000000004</v>
      </c>
    </row>
    <row r="119" spans="1:55" ht="15.5">
      <c r="A119" s="5">
        <v>60</v>
      </c>
      <c r="B119" s="5">
        <v>10</v>
      </c>
      <c r="C119" s="5">
        <v>20</v>
      </c>
      <c r="D119" s="5">
        <v>10</v>
      </c>
      <c r="E119" s="5">
        <v>60</v>
      </c>
      <c r="F119" s="5">
        <v>10</v>
      </c>
      <c r="G119" s="5">
        <v>20</v>
      </c>
      <c r="H119" s="5">
        <v>10</v>
      </c>
      <c r="I119" s="5">
        <v>70</v>
      </c>
      <c r="J119" s="5">
        <v>10</v>
      </c>
      <c r="K119" s="5">
        <v>10</v>
      </c>
      <c r="L119" s="5">
        <v>10</v>
      </c>
      <c r="M119" s="5">
        <v>70</v>
      </c>
      <c r="N119" s="5">
        <v>10</v>
      </c>
      <c r="O119" s="5">
        <v>10</v>
      </c>
      <c r="P119" s="5">
        <v>10</v>
      </c>
      <c r="Q119" s="5">
        <v>40</v>
      </c>
      <c r="R119" s="5">
        <v>20</v>
      </c>
      <c r="S119" s="5">
        <v>10</v>
      </c>
      <c r="T119" s="5">
        <v>30</v>
      </c>
      <c r="U119" s="5">
        <v>40</v>
      </c>
      <c r="V119" s="5">
        <v>20</v>
      </c>
      <c r="W119" s="5">
        <v>10</v>
      </c>
      <c r="X119" s="5">
        <v>30</v>
      </c>
      <c r="Y119" s="5">
        <v>10</v>
      </c>
      <c r="Z119" s="5">
        <v>70</v>
      </c>
      <c r="AA119" s="5">
        <v>10</v>
      </c>
      <c r="AB119" s="5">
        <v>10</v>
      </c>
      <c r="AC119" s="5">
        <v>10</v>
      </c>
      <c r="AD119" s="5">
        <v>70</v>
      </c>
      <c r="AE119" s="5">
        <v>10</v>
      </c>
      <c r="AF119" s="5">
        <v>10</v>
      </c>
      <c r="AG119" s="5">
        <v>40</v>
      </c>
      <c r="AH119" s="5">
        <v>30</v>
      </c>
      <c r="AI119" s="5">
        <v>10</v>
      </c>
      <c r="AJ119" s="5">
        <v>20</v>
      </c>
      <c r="AK119" s="5">
        <v>40</v>
      </c>
      <c r="AL119" s="5">
        <v>30</v>
      </c>
      <c r="AM119" s="5">
        <v>10</v>
      </c>
      <c r="AN119" s="5">
        <v>20</v>
      </c>
      <c r="AO119" s="5">
        <v>60</v>
      </c>
      <c r="AP119" s="5">
        <v>20</v>
      </c>
      <c r="AQ119" s="5">
        <v>10</v>
      </c>
      <c r="AR119" s="5">
        <v>10</v>
      </c>
      <c r="AS119" s="5">
        <v>70</v>
      </c>
      <c r="AT119" s="5">
        <v>10</v>
      </c>
      <c r="AU119" s="5">
        <v>10</v>
      </c>
      <c r="AV119" s="5">
        <v>10</v>
      </c>
      <c r="AW119" s="12">
        <v>4.29</v>
      </c>
      <c r="AX119" s="7" t="s">
        <v>16</v>
      </c>
      <c r="AY119" s="12">
        <v>4.54</v>
      </c>
      <c r="AZ119" s="7" t="s">
        <v>16</v>
      </c>
      <c r="BA119" s="22"/>
      <c r="BB119">
        <f t="shared" si="2"/>
        <v>4.29</v>
      </c>
      <c r="BC119">
        <f t="shared" si="3"/>
        <v>4.29</v>
      </c>
    </row>
    <row r="120" spans="1:55" ht="15.5">
      <c r="A120" s="9">
        <v>70</v>
      </c>
      <c r="B120" s="9">
        <v>10</v>
      </c>
      <c r="C120" s="9">
        <v>10</v>
      </c>
      <c r="D120" s="9">
        <v>10</v>
      </c>
      <c r="E120" s="9">
        <v>70</v>
      </c>
      <c r="F120" s="9">
        <v>10</v>
      </c>
      <c r="G120" s="9">
        <v>10</v>
      </c>
      <c r="H120" s="9">
        <v>10</v>
      </c>
      <c r="I120" s="9">
        <v>70</v>
      </c>
      <c r="J120" s="9">
        <v>10</v>
      </c>
      <c r="K120" s="9">
        <v>10</v>
      </c>
      <c r="L120" s="9">
        <v>10</v>
      </c>
      <c r="M120" s="9">
        <v>70</v>
      </c>
      <c r="N120" s="9">
        <v>10</v>
      </c>
      <c r="O120" s="9">
        <v>10</v>
      </c>
      <c r="P120" s="9">
        <v>10</v>
      </c>
      <c r="Q120" s="9">
        <v>40</v>
      </c>
      <c r="R120" s="9">
        <v>30</v>
      </c>
      <c r="S120" s="9">
        <v>20</v>
      </c>
      <c r="T120" s="9">
        <v>10</v>
      </c>
      <c r="U120" s="9">
        <v>40</v>
      </c>
      <c r="V120" s="9">
        <v>20</v>
      </c>
      <c r="W120" s="9">
        <v>20</v>
      </c>
      <c r="X120" s="9">
        <v>20</v>
      </c>
      <c r="Y120" s="9">
        <v>50</v>
      </c>
      <c r="Z120" s="9">
        <v>10</v>
      </c>
      <c r="AA120" s="9">
        <v>10</v>
      </c>
      <c r="AB120" s="9">
        <v>30</v>
      </c>
      <c r="AC120" s="9">
        <v>50</v>
      </c>
      <c r="AD120" s="9">
        <v>10</v>
      </c>
      <c r="AE120" s="9">
        <v>10</v>
      </c>
      <c r="AF120" s="9">
        <v>30</v>
      </c>
      <c r="AG120" s="9">
        <v>40</v>
      </c>
      <c r="AH120" s="9">
        <v>20</v>
      </c>
      <c r="AI120" s="9">
        <v>20</v>
      </c>
      <c r="AJ120" s="9">
        <v>20</v>
      </c>
      <c r="AK120" s="9">
        <v>30</v>
      </c>
      <c r="AL120" s="9">
        <v>10</v>
      </c>
      <c r="AM120" s="9">
        <v>50</v>
      </c>
      <c r="AN120" s="9">
        <v>10</v>
      </c>
      <c r="AO120" s="9">
        <v>50</v>
      </c>
      <c r="AP120" s="9">
        <v>10</v>
      </c>
      <c r="AQ120" s="9">
        <v>20</v>
      </c>
      <c r="AR120" s="9">
        <v>20</v>
      </c>
      <c r="AS120" s="9">
        <v>50</v>
      </c>
      <c r="AT120" s="9">
        <v>10</v>
      </c>
      <c r="AU120" s="9">
        <v>20</v>
      </c>
      <c r="AV120" s="9">
        <v>20</v>
      </c>
      <c r="AW120" s="14">
        <v>4.4000000000000004</v>
      </c>
      <c r="AX120" s="15" t="s">
        <v>16</v>
      </c>
      <c r="AY120" s="19"/>
      <c r="AZ120" s="19"/>
      <c r="BA120" s="20"/>
      <c r="BB120">
        <f t="shared" si="2"/>
        <v>4.4000000000000004</v>
      </c>
      <c r="BC120">
        <f t="shared" si="3"/>
        <v>4.4000000000000004</v>
      </c>
    </row>
    <row r="121" spans="1:55" ht="15.5">
      <c r="A121" s="5">
        <v>50</v>
      </c>
      <c r="B121" s="5">
        <v>10</v>
      </c>
      <c r="C121" s="5">
        <v>10</v>
      </c>
      <c r="D121" s="5">
        <v>30</v>
      </c>
      <c r="E121" s="5">
        <v>10</v>
      </c>
      <c r="F121" s="5">
        <v>10</v>
      </c>
      <c r="G121" s="5">
        <v>40</v>
      </c>
      <c r="H121" s="5">
        <v>40</v>
      </c>
      <c r="I121" s="5">
        <v>30</v>
      </c>
      <c r="J121" s="5">
        <v>30</v>
      </c>
      <c r="K121" s="5">
        <v>20</v>
      </c>
      <c r="L121" s="5">
        <v>20</v>
      </c>
      <c r="M121" s="5">
        <v>20</v>
      </c>
      <c r="N121" s="5">
        <v>20</v>
      </c>
      <c r="O121" s="5">
        <v>30</v>
      </c>
      <c r="P121" s="5">
        <v>30</v>
      </c>
      <c r="Q121" s="5">
        <v>20</v>
      </c>
      <c r="R121" s="5">
        <v>20</v>
      </c>
      <c r="S121" s="5">
        <v>30</v>
      </c>
      <c r="T121" s="5">
        <v>30</v>
      </c>
      <c r="U121" s="5">
        <v>20</v>
      </c>
      <c r="V121" s="5">
        <v>20</v>
      </c>
      <c r="W121" s="5">
        <v>20</v>
      </c>
      <c r="X121" s="5">
        <v>40</v>
      </c>
      <c r="Y121" s="5">
        <v>50</v>
      </c>
      <c r="Z121" s="5">
        <v>10</v>
      </c>
      <c r="AA121" s="5">
        <v>10</v>
      </c>
      <c r="AB121" s="5">
        <v>30</v>
      </c>
      <c r="AC121" s="5">
        <v>50</v>
      </c>
      <c r="AD121" s="5">
        <v>10</v>
      </c>
      <c r="AE121" s="5">
        <v>10</v>
      </c>
      <c r="AF121" s="5">
        <v>30</v>
      </c>
      <c r="AG121" s="5">
        <v>30</v>
      </c>
      <c r="AH121" s="5">
        <v>10</v>
      </c>
      <c r="AI121" s="5">
        <v>50</v>
      </c>
      <c r="AJ121" s="5">
        <v>10</v>
      </c>
      <c r="AK121" s="5">
        <v>40</v>
      </c>
      <c r="AL121" s="5">
        <v>20</v>
      </c>
      <c r="AM121" s="5">
        <v>20</v>
      </c>
      <c r="AN121" s="5">
        <v>20</v>
      </c>
      <c r="AO121" s="5">
        <v>50</v>
      </c>
      <c r="AP121" s="5">
        <v>10</v>
      </c>
      <c r="AQ121" s="5">
        <v>20</v>
      </c>
      <c r="AR121" s="5">
        <v>20</v>
      </c>
      <c r="AS121" s="5">
        <v>50</v>
      </c>
      <c r="AT121" s="5">
        <v>10</v>
      </c>
      <c r="AU121" s="5">
        <v>20</v>
      </c>
      <c r="AV121" s="5">
        <v>20</v>
      </c>
      <c r="AW121" s="12">
        <v>4.5599999999999996</v>
      </c>
      <c r="AX121" s="7" t="s">
        <v>16</v>
      </c>
      <c r="AY121" s="21"/>
      <c r="AZ121" s="21"/>
      <c r="BA121" s="22"/>
      <c r="BB121">
        <f t="shared" si="2"/>
        <v>4.5599999999999996</v>
      </c>
      <c r="BC121">
        <f t="shared" si="3"/>
        <v>4.5599999999999996</v>
      </c>
    </row>
    <row r="122" spans="1:55" ht="15.5">
      <c r="A122" s="9">
        <v>50</v>
      </c>
      <c r="B122" s="9">
        <v>10</v>
      </c>
      <c r="C122" s="9">
        <v>10</v>
      </c>
      <c r="D122" s="9">
        <v>30</v>
      </c>
      <c r="E122" s="9">
        <v>10</v>
      </c>
      <c r="F122" s="9">
        <v>10</v>
      </c>
      <c r="G122" s="9">
        <v>40</v>
      </c>
      <c r="H122" s="9">
        <v>40</v>
      </c>
      <c r="I122" s="9">
        <v>30</v>
      </c>
      <c r="J122" s="9">
        <v>30</v>
      </c>
      <c r="K122" s="9">
        <v>20</v>
      </c>
      <c r="L122" s="9">
        <v>20</v>
      </c>
      <c r="M122" s="9">
        <v>20</v>
      </c>
      <c r="N122" s="9">
        <v>20</v>
      </c>
      <c r="O122" s="9">
        <v>30</v>
      </c>
      <c r="P122" s="9">
        <v>30</v>
      </c>
      <c r="Q122" s="9">
        <v>20</v>
      </c>
      <c r="R122" s="9">
        <v>20</v>
      </c>
      <c r="S122" s="9">
        <v>20</v>
      </c>
      <c r="T122" s="9">
        <v>40</v>
      </c>
      <c r="U122" s="9">
        <v>20</v>
      </c>
      <c r="V122" s="9">
        <v>20</v>
      </c>
      <c r="W122" s="9">
        <v>30</v>
      </c>
      <c r="X122" s="9">
        <v>30</v>
      </c>
      <c r="Y122" s="9">
        <v>50</v>
      </c>
      <c r="Z122" s="9">
        <v>10</v>
      </c>
      <c r="AA122" s="9">
        <v>10</v>
      </c>
      <c r="AB122" s="9">
        <v>30</v>
      </c>
      <c r="AC122" s="9">
        <v>50</v>
      </c>
      <c r="AD122" s="9">
        <v>10</v>
      </c>
      <c r="AE122" s="9">
        <v>10</v>
      </c>
      <c r="AF122" s="9">
        <v>30</v>
      </c>
      <c r="AG122" s="9">
        <v>40</v>
      </c>
      <c r="AH122" s="9">
        <v>20</v>
      </c>
      <c r="AI122" s="9">
        <v>20</v>
      </c>
      <c r="AJ122" s="9">
        <v>20</v>
      </c>
      <c r="AK122" s="9">
        <v>30</v>
      </c>
      <c r="AL122" s="9">
        <v>10</v>
      </c>
      <c r="AM122" s="9">
        <v>50</v>
      </c>
      <c r="AN122" s="9">
        <v>10</v>
      </c>
      <c r="AO122" s="9">
        <v>50</v>
      </c>
      <c r="AP122" s="9">
        <v>10</v>
      </c>
      <c r="AQ122" s="9">
        <v>20</v>
      </c>
      <c r="AR122" s="9">
        <v>20</v>
      </c>
      <c r="AS122" s="9">
        <v>50</v>
      </c>
      <c r="AT122" s="9">
        <v>10</v>
      </c>
      <c r="AU122" s="9">
        <v>20</v>
      </c>
      <c r="AV122" s="9">
        <v>20</v>
      </c>
      <c r="AW122" s="14">
        <v>4.43</v>
      </c>
      <c r="AX122" s="15" t="s">
        <v>16</v>
      </c>
      <c r="AY122" s="19"/>
      <c r="AZ122" s="19"/>
      <c r="BA122" s="20"/>
      <c r="BB122">
        <f t="shared" si="2"/>
        <v>4.43</v>
      </c>
      <c r="BC122">
        <f t="shared" si="3"/>
        <v>4.43</v>
      </c>
    </row>
    <row r="123" spans="1:55" ht="15.5">
      <c r="A123" s="5">
        <v>50</v>
      </c>
      <c r="B123" s="5">
        <v>10</v>
      </c>
      <c r="C123" s="5">
        <v>10</v>
      </c>
      <c r="D123" s="5">
        <v>30</v>
      </c>
      <c r="E123" s="5">
        <v>10</v>
      </c>
      <c r="F123" s="5">
        <v>10</v>
      </c>
      <c r="G123" s="5">
        <v>40</v>
      </c>
      <c r="H123" s="5">
        <v>40</v>
      </c>
      <c r="I123" s="5">
        <v>30</v>
      </c>
      <c r="J123" s="5">
        <v>30</v>
      </c>
      <c r="K123" s="5">
        <v>20</v>
      </c>
      <c r="L123" s="5">
        <v>20</v>
      </c>
      <c r="M123" s="5">
        <v>20</v>
      </c>
      <c r="N123" s="5">
        <v>20</v>
      </c>
      <c r="O123" s="5">
        <v>30</v>
      </c>
      <c r="P123" s="5">
        <v>30</v>
      </c>
      <c r="Q123" s="5">
        <v>20</v>
      </c>
      <c r="R123" s="5">
        <v>20</v>
      </c>
      <c r="S123" s="5">
        <v>20</v>
      </c>
      <c r="T123" s="5">
        <v>40</v>
      </c>
      <c r="U123" s="5">
        <v>20</v>
      </c>
      <c r="V123" s="5">
        <v>20</v>
      </c>
      <c r="W123" s="5">
        <v>30</v>
      </c>
      <c r="X123" s="5">
        <v>30</v>
      </c>
      <c r="Y123" s="5">
        <v>50</v>
      </c>
      <c r="Z123" s="5">
        <v>10</v>
      </c>
      <c r="AA123" s="5">
        <v>10</v>
      </c>
      <c r="AB123" s="5">
        <v>30</v>
      </c>
      <c r="AC123" s="5">
        <v>50</v>
      </c>
      <c r="AD123" s="5">
        <v>10</v>
      </c>
      <c r="AE123" s="5">
        <v>10</v>
      </c>
      <c r="AF123" s="5">
        <v>30</v>
      </c>
      <c r="AG123" s="5">
        <v>40</v>
      </c>
      <c r="AH123" s="5">
        <v>20</v>
      </c>
      <c r="AI123" s="5">
        <v>20</v>
      </c>
      <c r="AJ123" s="5">
        <v>20</v>
      </c>
      <c r="AK123" s="5">
        <v>30</v>
      </c>
      <c r="AL123" s="5">
        <v>10</v>
      </c>
      <c r="AM123" s="5">
        <v>50</v>
      </c>
      <c r="AN123" s="5">
        <v>10</v>
      </c>
      <c r="AO123" s="5">
        <v>50</v>
      </c>
      <c r="AP123" s="5">
        <v>10</v>
      </c>
      <c r="AQ123" s="5">
        <v>20</v>
      </c>
      <c r="AR123" s="5">
        <v>20</v>
      </c>
      <c r="AS123" s="5">
        <v>50</v>
      </c>
      <c r="AT123" s="5">
        <v>10</v>
      </c>
      <c r="AU123" s="5">
        <v>30</v>
      </c>
      <c r="AV123" s="5">
        <v>10</v>
      </c>
      <c r="AW123" s="12">
        <v>4.45</v>
      </c>
      <c r="AX123" s="7" t="s">
        <v>16</v>
      </c>
      <c r="AY123" s="21"/>
      <c r="AZ123" s="21"/>
      <c r="BA123" s="22"/>
      <c r="BB123">
        <f t="shared" si="2"/>
        <v>4.45</v>
      </c>
      <c r="BC123">
        <f t="shared" si="3"/>
        <v>4.45</v>
      </c>
    </row>
    <row r="124" spans="1:55" ht="15.5">
      <c r="A124" s="9">
        <v>40</v>
      </c>
      <c r="B124" s="9">
        <v>20</v>
      </c>
      <c r="C124" s="9">
        <v>20</v>
      </c>
      <c r="D124" s="9">
        <v>20</v>
      </c>
      <c r="E124" s="9">
        <v>30</v>
      </c>
      <c r="F124" s="9">
        <v>20</v>
      </c>
      <c r="G124" s="9">
        <v>30</v>
      </c>
      <c r="H124" s="9">
        <v>20</v>
      </c>
      <c r="I124" s="9">
        <v>10</v>
      </c>
      <c r="J124" s="9">
        <v>50</v>
      </c>
      <c r="K124" s="9">
        <v>20</v>
      </c>
      <c r="L124" s="9">
        <v>20</v>
      </c>
      <c r="M124" s="9">
        <v>30</v>
      </c>
      <c r="N124" s="9">
        <v>40</v>
      </c>
      <c r="O124" s="9">
        <v>10</v>
      </c>
      <c r="P124" s="9">
        <v>20</v>
      </c>
      <c r="Q124" s="9">
        <v>20</v>
      </c>
      <c r="R124" s="9">
        <v>10</v>
      </c>
      <c r="S124" s="9">
        <v>50</v>
      </c>
      <c r="T124" s="9">
        <v>20</v>
      </c>
      <c r="U124" s="9">
        <v>40</v>
      </c>
      <c r="V124" s="9">
        <v>15</v>
      </c>
      <c r="W124" s="9">
        <v>30</v>
      </c>
      <c r="X124" s="9">
        <v>15</v>
      </c>
      <c r="Y124" s="9">
        <v>15</v>
      </c>
      <c r="Z124" s="9">
        <v>40</v>
      </c>
      <c r="AA124" s="9">
        <v>20</v>
      </c>
      <c r="AB124" s="9">
        <v>25</v>
      </c>
      <c r="AC124" s="9">
        <v>20</v>
      </c>
      <c r="AD124" s="9">
        <v>30</v>
      </c>
      <c r="AE124" s="9">
        <v>40</v>
      </c>
      <c r="AF124" s="9">
        <v>10</v>
      </c>
      <c r="AG124" s="9">
        <v>20</v>
      </c>
      <c r="AH124" s="9">
        <v>50</v>
      </c>
      <c r="AI124" s="9">
        <v>20</v>
      </c>
      <c r="AJ124" s="9">
        <v>10</v>
      </c>
      <c r="AK124" s="9">
        <v>30</v>
      </c>
      <c r="AL124" s="9">
        <v>30</v>
      </c>
      <c r="AM124" s="9">
        <v>20</v>
      </c>
      <c r="AN124" s="9">
        <v>20</v>
      </c>
      <c r="AO124" s="9">
        <v>60</v>
      </c>
      <c r="AP124" s="9">
        <v>10</v>
      </c>
      <c r="AQ124" s="9">
        <v>15</v>
      </c>
      <c r="AR124" s="9">
        <v>15</v>
      </c>
      <c r="AS124" s="9">
        <v>40</v>
      </c>
      <c r="AT124" s="9">
        <v>15</v>
      </c>
      <c r="AU124" s="9">
        <v>25</v>
      </c>
      <c r="AV124" s="9">
        <v>20</v>
      </c>
      <c r="AW124" s="14">
        <v>4.01</v>
      </c>
      <c r="AX124" s="14" t="s">
        <v>16</v>
      </c>
      <c r="AY124" s="19"/>
      <c r="AZ124" s="19"/>
      <c r="BA124" s="20"/>
      <c r="BB124">
        <f t="shared" si="2"/>
        <v>4.01</v>
      </c>
      <c r="BC124">
        <f t="shared" si="3"/>
        <v>4.01</v>
      </c>
    </row>
    <row r="125" spans="1:55" ht="15.5">
      <c r="A125" s="5">
        <v>40</v>
      </c>
      <c r="B125" s="5">
        <v>30</v>
      </c>
      <c r="C125" s="5">
        <v>10</v>
      </c>
      <c r="D125" s="5">
        <v>20</v>
      </c>
      <c r="E125" s="5">
        <v>50</v>
      </c>
      <c r="F125" s="5">
        <v>20</v>
      </c>
      <c r="G125" s="5">
        <v>10</v>
      </c>
      <c r="H125" s="5">
        <v>20</v>
      </c>
      <c r="I125" s="5">
        <v>20</v>
      </c>
      <c r="J125" s="5">
        <v>20</v>
      </c>
      <c r="K125" s="5">
        <v>10</v>
      </c>
      <c r="L125" s="5">
        <v>50</v>
      </c>
      <c r="M125" s="5">
        <v>10</v>
      </c>
      <c r="N125" s="5">
        <v>10</v>
      </c>
      <c r="O125" s="5">
        <v>30</v>
      </c>
      <c r="P125" s="5">
        <v>50</v>
      </c>
      <c r="Q125" s="5">
        <v>20</v>
      </c>
      <c r="R125" s="5">
        <v>10</v>
      </c>
      <c r="S125" s="5">
        <v>20</v>
      </c>
      <c r="T125" s="5">
        <v>50</v>
      </c>
      <c r="U125" s="5">
        <v>20</v>
      </c>
      <c r="V125" s="5">
        <v>50</v>
      </c>
      <c r="W125" s="5">
        <v>10</v>
      </c>
      <c r="X125" s="5">
        <v>20</v>
      </c>
      <c r="Y125" s="5">
        <v>20</v>
      </c>
      <c r="Z125" s="5">
        <v>50</v>
      </c>
      <c r="AA125" s="5">
        <v>20</v>
      </c>
      <c r="AB125" s="5">
        <v>10</v>
      </c>
      <c r="AC125" s="5">
        <v>10</v>
      </c>
      <c r="AD125" s="5">
        <v>20</v>
      </c>
      <c r="AE125" s="5">
        <v>50</v>
      </c>
      <c r="AF125" s="5">
        <v>20</v>
      </c>
      <c r="AG125" s="5">
        <v>20</v>
      </c>
      <c r="AH125" s="5">
        <v>50</v>
      </c>
      <c r="AI125" s="5">
        <v>20</v>
      </c>
      <c r="AJ125" s="5">
        <v>10</v>
      </c>
      <c r="AK125" s="5">
        <v>10</v>
      </c>
      <c r="AL125" s="5">
        <v>20</v>
      </c>
      <c r="AM125" s="5">
        <v>20</v>
      </c>
      <c r="AN125" s="5">
        <v>50</v>
      </c>
      <c r="AO125" s="5">
        <v>50</v>
      </c>
      <c r="AP125" s="5">
        <v>10</v>
      </c>
      <c r="AQ125" s="5">
        <v>20</v>
      </c>
      <c r="AR125" s="5">
        <v>20</v>
      </c>
      <c r="AS125" s="5">
        <v>20</v>
      </c>
      <c r="AT125" s="5">
        <v>20</v>
      </c>
      <c r="AU125" s="5">
        <v>10</v>
      </c>
      <c r="AV125" s="5">
        <v>50</v>
      </c>
      <c r="AW125" s="12">
        <v>4.0999999999999996</v>
      </c>
      <c r="AX125" s="12" t="s">
        <v>16</v>
      </c>
      <c r="AY125" s="21"/>
      <c r="AZ125" s="21"/>
      <c r="BA125" s="22"/>
      <c r="BB125">
        <f t="shared" si="2"/>
        <v>4.0999999999999996</v>
      </c>
      <c r="BC125">
        <f t="shared" si="3"/>
        <v>4.0999999999999996</v>
      </c>
    </row>
    <row r="126" spans="1:55" ht="15.5">
      <c r="A126" s="9">
        <v>50</v>
      </c>
      <c r="B126" s="9">
        <v>10</v>
      </c>
      <c r="C126" s="9">
        <v>10</v>
      </c>
      <c r="D126" s="9">
        <v>30</v>
      </c>
      <c r="E126" s="9">
        <v>10</v>
      </c>
      <c r="F126" s="9">
        <v>10</v>
      </c>
      <c r="G126" s="9">
        <v>40</v>
      </c>
      <c r="H126" s="9">
        <v>40</v>
      </c>
      <c r="I126" s="9">
        <v>30</v>
      </c>
      <c r="J126" s="9">
        <v>30</v>
      </c>
      <c r="K126" s="9">
        <v>20</v>
      </c>
      <c r="L126" s="9">
        <v>20</v>
      </c>
      <c r="M126" s="9">
        <v>20</v>
      </c>
      <c r="N126" s="9">
        <v>20</v>
      </c>
      <c r="O126" s="9">
        <v>30</v>
      </c>
      <c r="P126" s="9">
        <v>30</v>
      </c>
      <c r="Q126" s="9">
        <v>20</v>
      </c>
      <c r="R126" s="9">
        <v>20</v>
      </c>
      <c r="S126" s="9">
        <v>30</v>
      </c>
      <c r="T126" s="9">
        <v>30</v>
      </c>
      <c r="U126" s="9">
        <v>20</v>
      </c>
      <c r="V126" s="9">
        <v>20</v>
      </c>
      <c r="W126" s="9">
        <v>20</v>
      </c>
      <c r="X126" s="9">
        <v>40</v>
      </c>
      <c r="Y126" s="9">
        <v>50</v>
      </c>
      <c r="Z126" s="9">
        <v>10</v>
      </c>
      <c r="AA126" s="9">
        <v>10</v>
      </c>
      <c r="AB126" s="9">
        <v>30</v>
      </c>
      <c r="AC126" s="9">
        <v>50</v>
      </c>
      <c r="AD126" s="9">
        <v>10</v>
      </c>
      <c r="AE126" s="9">
        <v>10</v>
      </c>
      <c r="AF126" s="9">
        <v>30</v>
      </c>
      <c r="AG126" s="9">
        <v>40</v>
      </c>
      <c r="AH126" s="9">
        <v>20</v>
      </c>
      <c r="AI126" s="9">
        <v>20</v>
      </c>
      <c r="AJ126" s="9">
        <v>20</v>
      </c>
      <c r="AK126" s="9">
        <v>30</v>
      </c>
      <c r="AL126" s="9">
        <v>10</v>
      </c>
      <c r="AM126" s="9">
        <v>50</v>
      </c>
      <c r="AN126" s="9">
        <v>10</v>
      </c>
      <c r="AO126" s="9">
        <v>50</v>
      </c>
      <c r="AP126" s="9">
        <v>20</v>
      </c>
      <c r="AQ126" s="9">
        <v>10</v>
      </c>
      <c r="AR126" s="9">
        <v>20</v>
      </c>
      <c r="AS126" s="9">
        <v>50</v>
      </c>
      <c r="AT126" s="9">
        <v>20</v>
      </c>
      <c r="AU126" s="9">
        <v>10</v>
      </c>
      <c r="AV126" s="9">
        <v>20</v>
      </c>
      <c r="AW126" s="14">
        <v>4.4000000000000004</v>
      </c>
      <c r="AX126" s="15" t="s">
        <v>16</v>
      </c>
      <c r="AY126" s="10">
        <v>4.37</v>
      </c>
      <c r="AZ126" s="10" t="s">
        <v>16</v>
      </c>
      <c r="BA126" s="20"/>
      <c r="BB126">
        <f t="shared" si="2"/>
        <v>4.4000000000000004</v>
      </c>
      <c r="BC126">
        <f t="shared" si="3"/>
        <v>4.4000000000000004</v>
      </c>
    </row>
    <row r="127" spans="1:55" ht="15.5">
      <c r="A127" s="5">
        <v>60</v>
      </c>
      <c r="B127" s="5">
        <v>20</v>
      </c>
      <c r="C127" s="5">
        <v>10</v>
      </c>
      <c r="D127" s="5">
        <v>10</v>
      </c>
      <c r="E127" s="5">
        <v>40</v>
      </c>
      <c r="F127" s="5">
        <v>10</v>
      </c>
      <c r="G127" s="5">
        <v>40</v>
      </c>
      <c r="H127" s="5">
        <v>10</v>
      </c>
      <c r="I127" s="5">
        <v>70</v>
      </c>
      <c r="J127" s="5">
        <v>10</v>
      </c>
      <c r="K127" s="5">
        <v>10</v>
      </c>
      <c r="L127" s="5">
        <v>10</v>
      </c>
      <c r="M127" s="5">
        <v>20</v>
      </c>
      <c r="N127" s="5">
        <v>10</v>
      </c>
      <c r="O127" s="5">
        <v>60</v>
      </c>
      <c r="P127" s="5">
        <v>10</v>
      </c>
      <c r="Q127" s="5">
        <v>15</v>
      </c>
      <c r="R127" s="5">
        <v>20</v>
      </c>
      <c r="S127" s="5">
        <v>15</v>
      </c>
      <c r="T127" s="5">
        <v>50</v>
      </c>
      <c r="U127" s="5">
        <v>10</v>
      </c>
      <c r="V127" s="5">
        <v>30</v>
      </c>
      <c r="W127" s="5">
        <v>10</v>
      </c>
      <c r="X127" s="5">
        <v>50</v>
      </c>
      <c r="Y127" s="5">
        <v>40</v>
      </c>
      <c r="Z127" s="5">
        <v>20</v>
      </c>
      <c r="AA127" s="5">
        <v>10</v>
      </c>
      <c r="AB127" s="5">
        <v>30</v>
      </c>
      <c r="AC127" s="5">
        <v>40</v>
      </c>
      <c r="AD127" s="5">
        <v>20</v>
      </c>
      <c r="AE127" s="5">
        <v>10</v>
      </c>
      <c r="AF127" s="5">
        <v>30</v>
      </c>
      <c r="AG127" s="5">
        <v>10</v>
      </c>
      <c r="AH127" s="5">
        <v>20</v>
      </c>
      <c r="AI127" s="5">
        <v>10</v>
      </c>
      <c r="AJ127" s="5">
        <v>60</v>
      </c>
      <c r="AK127" s="5">
        <v>10</v>
      </c>
      <c r="AL127" s="5">
        <v>70</v>
      </c>
      <c r="AM127" s="5">
        <v>10</v>
      </c>
      <c r="AN127" s="5">
        <v>10</v>
      </c>
      <c r="AO127" s="5">
        <v>70</v>
      </c>
      <c r="AP127" s="5">
        <v>10</v>
      </c>
      <c r="AQ127" s="5">
        <v>10</v>
      </c>
      <c r="AR127" s="5">
        <v>10</v>
      </c>
      <c r="AS127" s="5">
        <v>70</v>
      </c>
      <c r="AT127" s="5">
        <v>10</v>
      </c>
      <c r="AU127" s="5">
        <v>10</v>
      </c>
      <c r="AV127" s="5">
        <v>10</v>
      </c>
      <c r="AW127" s="6">
        <v>4.07</v>
      </c>
      <c r="AX127" s="6" t="s">
        <v>16</v>
      </c>
      <c r="AY127" s="6">
        <v>4.37</v>
      </c>
      <c r="AZ127" s="6" t="s">
        <v>16</v>
      </c>
      <c r="BA127" s="22"/>
      <c r="BB127">
        <f t="shared" si="2"/>
        <v>4.07</v>
      </c>
      <c r="BC127">
        <f t="shared" si="3"/>
        <v>4.07</v>
      </c>
    </row>
    <row r="128" spans="1:55" ht="15.5">
      <c r="A128" s="9">
        <v>25</v>
      </c>
      <c r="B128" s="9">
        <v>25</v>
      </c>
      <c r="C128" s="9">
        <v>25</v>
      </c>
      <c r="D128" s="9">
        <v>25</v>
      </c>
      <c r="E128" s="9">
        <v>30</v>
      </c>
      <c r="F128" s="9">
        <v>25</v>
      </c>
      <c r="G128" s="9">
        <v>30</v>
      </c>
      <c r="H128" s="9">
        <v>15</v>
      </c>
      <c r="I128" s="9">
        <v>25</v>
      </c>
      <c r="J128" s="9">
        <v>25</v>
      </c>
      <c r="K128" s="9">
        <v>25</v>
      </c>
      <c r="L128" s="9">
        <v>25</v>
      </c>
      <c r="M128" s="9">
        <v>30</v>
      </c>
      <c r="N128" s="9">
        <v>20</v>
      </c>
      <c r="O128" s="9">
        <v>30</v>
      </c>
      <c r="P128" s="9">
        <v>20</v>
      </c>
      <c r="Q128" s="9">
        <v>25</v>
      </c>
      <c r="R128" s="9">
        <v>20</v>
      </c>
      <c r="S128" s="9">
        <v>35</v>
      </c>
      <c r="T128" s="9">
        <v>20</v>
      </c>
      <c r="U128" s="9">
        <v>25</v>
      </c>
      <c r="V128" s="9">
        <v>25</v>
      </c>
      <c r="W128" s="9">
        <v>30</v>
      </c>
      <c r="X128" s="9">
        <v>20</v>
      </c>
      <c r="Y128" s="9">
        <v>30</v>
      </c>
      <c r="Z128" s="9">
        <v>30</v>
      </c>
      <c r="AA128" s="9">
        <v>20</v>
      </c>
      <c r="AB128" s="9">
        <v>20</v>
      </c>
      <c r="AC128" s="9">
        <v>30</v>
      </c>
      <c r="AD128" s="9">
        <v>30</v>
      </c>
      <c r="AE128" s="9">
        <v>20</v>
      </c>
      <c r="AF128" s="9">
        <v>20</v>
      </c>
      <c r="AG128" s="9">
        <v>30</v>
      </c>
      <c r="AH128" s="9">
        <v>25</v>
      </c>
      <c r="AI128" s="9">
        <v>25</v>
      </c>
      <c r="AJ128" s="9">
        <v>20</v>
      </c>
      <c r="AK128" s="9">
        <v>25</v>
      </c>
      <c r="AL128" s="9">
        <v>25</v>
      </c>
      <c r="AM128" s="9">
        <v>25</v>
      </c>
      <c r="AN128" s="9">
        <v>25</v>
      </c>
      <c r="AO128" s="9">
        <v>30</v>
      </c>
      <c r="AP128" s="9">
        <v>30</v>
      </c>
      <c r="AQ128" s="9">
        <v>20</v>
      </c>
      <c r="AR128" s="9">
        <v>20</v>
      </c>
      <c r="AS128" s="9">
        <v>30</v>
      </c>
      <c r="AT128" s="9">
        <v>30</v>
      </c>
      <c r="AU128" s="9">
        <v>20</v>
      </c>
      <c r="AV128" s="9">
        <v>20</v>
      </c>
      <c r="AW128" s="10">
        <v>4.26</v>
      </c>
      <c r="AX128" s="10" t="s">
        <v>16</v>
      </c>
      <c r="AY128" s="19"/>
      <c r="AZ128" s="19"/>
      <c r="BA128" s="20"/>
      <c r="BB128">
        <f t="shared" si="2"/>
        <v>4.26</v>
      </c>
      <c r="BC128">
        <f t="shared" si="3"/>
        <v>4.26</v>
      </c>
    </row>
    <row r="129" spans="1:55" ht="15.5">
      <c r="A129" s="5">
        <v>40</v>
      </c>
      <c r="B129" s="5">
        <v>20</v>
      </c>
      <c r="C129" s="5">
        <v>10</v>
      </c>
      <c r="D129" s="5">
        <v>30</v>
      </c>
      <c r="E129" s="5">
        <v>20</v>
      </c>
      <c r="F129" s="5">
        <v>20</v>
      </c>
      <c r="G129" s="5">
        <v>20</v>
      </c>
      <c r="H129" s="5">
        <v>40</v>
      </c>
      <c r="I129" s="5">
        <v>40</v>
      </c>
      <c r="J129" s="5">
        <v>30</v>
      </c>
      <c r="K129" s="5">
        <v>20</v>
      </c>
      <c r="L129" s="5">
        <v>10</v>
      </c>
      <c r="M129" s="5">
        <v>30</v>
      </c>
      <c r="N129" s="5">
        <v>20</v>
      </c>
      <c r="O129" s="5">
        <v>10</v>
      </c>
      <c r="P129" s="5">
        <v>40</v>
      </c>
      <c r="Q129" s="5">
        <v>30</v>
      </c>
      <c r="R129" s="5">
        <v>10</v>
      </c>
      <c r="S129" s="5">
        <v>10</v>
      </c>
      <c r="T129" s="5">
        <v>50</v>
      </c>
      <c r="U129" s="5">
        <v>20</v>
      </c>
      <c r="V129" s="5">
        <v>20</v>
      </c>
      <c r="W129" s="5">
        <v>40</v>
      </c>
      <c r="X129" s="5">
        <v>20</v>
      </c>
      <c r="Y129" s="5">
        <v>40</v>
      </c>
      <c r="Z129" s="5">
        <v>40</v>
      </c>
      <c r="AA129" s="5">
        <v>10</v>
      </c>
      <c r="AB129" s="5">
        <v>10</v>
      </c>
      <c r="AC129" s="5">
        <v>30</v>
      </c>
      <c r="AD129" s="5">
        <v>40</v>
      </c>
      <c r="AE129" s="5">
        <v>10</v>
      </c>
      <c r="AF129" s="5">
        <v>20</v>
      </c>
      <c r="AG129" s="5">
        <v>30</v>
      </c>
      <c r="AH129" s="5">
        <v>20</v>
      </c>
      <c r="AI129" s="5">
        <v>30</v>
      </c>
      <c r="AJ129" s="5">
        <v>20</v>
      </c>
      <c r="AK129" s="5">
        <v>20</v>
      </c>
      <c r="AL129" s="5">
        <v>20</v>
      </c>
      <c r="AM129" s="5">
        <v>30</v>
      </c>
      <c r="AN129" s="5">
        <v>30</v>
      </c>
      <c r="AO129" s="5">
        <v>20</v>
      </c>
      <c r="AP129" s="5">
        <v>30</v>
      </c>
      <c r="AQ129" s="5">
        <v>30</v>
      </c>
      <c r="AR129" s="5">
        <v>20</v>
      </c>
      <c r="AS129" s="5">
        <v>20</v>
      </c>
      <c r="AT129" s="5">
        <v>30</v>
      </c>
      <c r="AU129" s="5">
        <v>30</v>
      </c>
      <c r="AV129" s="5">
        <v>20</v>
      </c>
      <c r="AW129" s="6">
        <v>4.3499999999999996</v>
      </c>
      <c r="AX129" s="7" t="s">
        <v>16</v>
      </c>
      <c r="AY129" s="21"/>
      <c r="AZ129" s="21"/>
      <c r="BA129" s="22"/>
      <c r="BB129">
        <f t="shared" si="2"/>
        <v>4.3499999999999996</v>
      </c>
      <c r="BC129">
        <f t="shared" si="3"/>
        <v>4.3499999999999996</v>
      </c>
    </row>
    <row r="130" spans="1:55" ht="15.5">
      <c r="A130" s="9">
        <v>70</v>
      </c>
      <c r="B130" s="9">
        <v>10</v>
      </c>
      <c r="C130" s="9">
        <v>10</v>
      </c>
      <c r="D130" s="9">
        <v>10</v>
      </c>
      <c r="E130" s="9">
        <v>60</v>
      </c>
      <c r="F130" s="9">
        <v>20</v>
      </c>
      <c r="G130" s="9">
        <v>10</v>
      </c>
      <c r="H130" s="9">
        <v>10</v>
      </c>
      <c r="I130" s="9">
        <v>70</v>
      </c>
      <c r="J130" s="9">
        <v>10</v>
      </c>
      <c r="K130" s="9">
        <v>10</v>
      </c>
      <c r="L130" s="9">
        <v>10</v>
      </c>
      <c r="M130" s="9">
        <v>60</v>
      </c>
      <c r="N130" s="9">
        <v>20</v>
      </c>
      <c r="O130" s="9">
        <v>10</v>
      </c>
      <c r="P130" s="9">
        <v>10</v>
      </c>
      <c r="Q130" s="9">
        <v>60</v>
      </c>
      <c r="R130" s="9">
        <v>20</v>
      </c>
      <c r="S130" s="9">
        <v>10</v>
      </c>
      <c r="T130" s="9">
        <v>10</v>
      </c>
      <c r="U130" s="9">
        <v>50</v>
      </c>
      <c r="V130" s="9">
        <v>15</v>
      </c>
      <c r="W130" s="9">
        <v>15</v>
      </c>
      <c r="X130" s="9">
        <v>20</v>
      </c>
      <c r="Y130" s="9">
        <v>50</v>
      </c>
      <c r="Z130" s="9">
        <v>20</v>
      </c>
      <c r="AA130" s="9">
        <v>15</v>
      </c>
      <c r="AB130" s="9">
        <v>15</v>
      </c>
      <c r="AC130" s="9">
        <v>40</v>
      </c>
      <c r="AD130" s="9">
        <v>30</v>
      </c>
      <c r="AE130" s="9">
        <v>15</v>
      </c>
      <c r="AF130" s="9">
        <v>15</v>
      </c>
      <c r="AG130" s="9">
        <v>50</v>
      </c>
      <c r="AH130" s="9">
        <v>30</v>
      </c>
      <c r="AI130" s="9">
        <v>10</v>
      </c>
      <c r="AJ130" s="9">
        <v>10</v>
      </c>
      <c r="AK130" s="9">
        <v>40</v>
      </c>
      <c r="AL130" s="9">
        <v>30</v>
      </c>
      <c r="AM130" s="9">
        <v>10</v>
      </c>
      <c r="AN130" s="9">
        <v>20</v>
      </c>
      <c r="AO130" s="9">
        <v>70</v>
      </c>
      <c r="AP130" s="9">
        <v>10</v>
      </c>
      <c r="AQ130" s="9">
        <v>10</v>
      </c>
      <c r="AR130" s="9">
        <v>10</v>
      </c>
      <c r="AS130" s="9">
        <v>60</v>
      </c>
      <c r="AT130" s="9">
        <v>20</v>
      </c>
      <c r="AU130" s="9">
        <v>10</v>
      </c>
      <c r="AV130" s="9">
        <v>10</v>
      </c>
      <c r="AW130" s="10">
        <v>4.55</v>
      </c>
      <c r="AX130" s="15" t="s">
        <v>16</v>
      </c>
      <c r="AY130" s="19"/>
      <c r="AZ130" s="19"/>
      <c r="BA130" s="20"/>
      <c r="BB130">
        <f t="shared" si="2"/>
        <v>4.55</v>
      </c>
      <c r="BC130">
        <f t="shared" si="3"/>
        <v>4.55</v>
      </c>
    </row>
    <row r="131" spans="1:55" ht="15.5">
      <c r="A131" s="5">
        <v>70</v>
      </c>
      <c r="B131" s="5">
        <v>10</v>
      </c>
      <c r="C131" s="5">
        <v>10</v>
      </c>
      <c r="D131" s="5">
        <v>10</v>
      </c>
      <c r="E131" s="5">
        <v>10</v>
      </c>
      <c r="F131" s="5">
        <v>10</v>
      </c>
      <c r="G131" s="5">
        <v>10</v>
      </c>
      <c r="H131" s="5">
        <v>70</v>
      </c>
      <c r="I131" s="5">
        <v>70</v>
      </c>
      <c r="J131" s="5">
        <v>10</v>
      </c>
      <c r="K131" s="5">
        <v>10</v>
      </c>
      <c r="L131" s="5">
        <v>10</v>
      </c>
      <c r="M131" s="5">
        <v>10</v>
      </c>
      <c r="N131" s="5">
        <v>10</v>
      </c>
      <c r="O131" s="5">
        <v>10</v>
      </c>
      <c r="P131" s="5">
        <v>70</v>
      </c>
      <c r="Q131" s="5">
        <v>10</v>
      </c>
      <c r="R131" s="5">
        <v>70</v>
      </c>
      <c r="S131" s="5">
        <v>10</v>
      </c>
      <c r="T131" s="5">
        <v>10</v>
      </c>
      <c r="U131" s="5">
        <v>70</v>
      </c>
      <c r="V131" s="5">
        <v>10</v>
      </c>
      <c r="W131" s="5">
        <v>10</v>
      </c>
      <c r="X131" s="5">
        <v>10</v>
      </c>
      <c r="Y131" s="5">
        <v>10</v>
      </c>
      <c r="Z131" s="5">
        <v>70</v>
      </c>
      <c r="AA131" s="5">
        <v>10</v>
      </c>
      <c r="AB131" s="5">
        <v>10</v>
      </c>
      <c r="AC131" s="5">
        <v>70</v>
      </c>
      <c r="AD131" s="5">
        <v>10</v>
      </c>
      <c r="AE131" s="5">
        <v>10</v>
      </c>
      <c r="AF131" s="5">
        <v>10</v>
      </c>
      <c r="AG131" s="5">
        <v>10</v>
      </c>
      <c r="AH131" s="5">
        <v>70</v>
      </c>
      <c r="AI131" s="5">
        <v>10</v>
      </c>
      <c r="AJ131" s="5">
        <v>10</v>
      </c>
      <c r="AK131" s="5">
        <v>10</v>
      </c>
      <c r="AL131" s="5">
        <v>10</v>
      </c>
      <c r="AM131" s="5">
        <v>70</v>
      </c>
      <c r="AN131" s="5">
        <v>10</v>
      </c>
      <c r="AO131" s="5">
        <v>70</v>
      </c>
      <c r="AP131" s="5">
        <v>10</v>
      </c>
      <c r="AQ131" s="5">
        <v>10</v>
      </c>
      <c r="AR131" s="5">
        <v>10</v>
      </c>
      <c r="AS131" s="5">
        <v>10</v>
      </c>
      <c r="AT131" s="5">
        <v>10</v>
      </c>
      <c r="AU131" s="5">
        <v>10</v>
      </c>
      <c r="AV131" s="5">
        <v>70</v>
      </c>
      <c r="AW131" s="12">
        <v>4.42</v>
      </c>
      <c r="AX131" s="7" t="s">
        <v>16</v>
      </c>
      <c r="AY131" s="21"/>
      <c r="AZ131" s="21"/>
      <c r="BA131" s="22"/>
      <c r="BB131">
        <f t="shared" si="2"/>
        <v>4.42</v>
      </c>
      <c r="BC131">
        <f t="shared" si="3"/>
        <v>4.42</v>
      </c>
    </row>
    <row r="132" spans="1:55" ht="15.5">
      <c r="A132" s="9">
        <v>50</v>
      </c>
      <c r="B132" s="9">
        <v>30</v>
      </c>
      <c r="C132" s="9">
        <v>10</v>
      </c>
      <c r="D132" s="9">
        <v>10</v>
      </c>
      <c r="E132" s="9">
        <v>50</v>
      </c>
      <c r="F132" s="9">
        <v>30</v>
      </c>
      <c r="G132" s="9">
        <v>10</v>
      </c>
      <c r="H132" s="9">
        <v>10</v>
      </c>
      <c r="I132" s="9">
        <v>70</v>
      </c>
      <c r="J132" s="9">
        <v>10</v>
      </c>
      <c r="K132" s="9">
        <v>10</v>
      </c>
      <c r="L132" s="9">
        <v>10</v>
      </c>
      <c r="M132" s="9">
        <v>50</v>
      </c>
      <c r="N132" s="9">
        <v>30</v>
      </c>
      <c r="O132" s="9">
        <v>10</v>
      </c>
      <c r="P132" s="9">
        <v>10</v>
      </c>
      <c r="Q132" s="9">
        <v>70</v>
      </c>
      <c r="R132" s="9">
        <v>10</v>
      </c>
      <c r="S132" s="9">
        <v>10</v>
      </c>
      <c r="T132" s="9">
        <v>10</v>
      </c>
      <c r="U132" s="9">
        <v>70</v>
      </c>
      <c r="V132" s="9">
        <v>10</v>
      </c>
      <c r="W132" s="9">
        <v>10</v>
      </c>
      <c r="X132" s="9">
        <v>10</v>
      </c>
      <c r="Y132" s="9">
        <v>70</v>
      </c>
      <c r="Z132" s="9">
        <v>10</v>
      </c>
      <c r="AA132" s="9">
        <v>10</v>
      </c>
      <c r="AB132" s="9">
        <v>10</v>
      </c>
      <c r="AC132" s="9">
        <v>70</v>
      </c>
      <c r="AD132" s="9">
        <v>10</v>
      </c>
      <c r="AE132" s="9">
        <v>10</v>
      </c>
      <c r="AF132" s="9">
        <v>10</v>
      </c>
      <c r="AG132" s="9">
        <v>70</v>
      </c>
      <c r="AH132" s="9">
        <v>10</v>
      </c>
      <c r="AI132" s="9">
        <v>10</v>
      </c>
      <c r="AJ132" s="9">
        <v>10</v>
      </c>
      <c r="AK132" s="9">
        <v>50</v>
      </c>
      <c r="AL132" s="9">
        <v>30</v>
      </c>
      <c r="AM132" s="9">
        <v>10</v>
      </c>
      <c r="AN132" s="9">
        <v>10</v>
      </c>
      <c r="AO132" s="9">
        <v>60</v>
      </c>
      <c r="AP132" s="9">
        <v>20</v>
      </c>
      <c r="AQ132" s="9">
        <v>10</v>
      </c>
      <c r="AR132" s="9">
        <v>10</v>
      </c>
      <c r="AS132" s="9">
        <v>40</v>
      </c>
      <c r="AT132" s="9">
        <v>20</v>
      </c>
      <c r="AU132" s="9">
        <v>20</v>
      </c>
      <c r="AV132" s="9">
        <v>20</v>
      </c>
      <c r="AW132" s="14">
        <v>3.88</v>
      </c>
      <c r="AX132" s="14" t="s">
        <v>26</v>
      </c>
      <c r="AY132" s="19"/>
      <c r="AZ132" s="19"/>
      <c r="BA132" s="20"/>
      <c r="BB132">
        <f t="shared" ref="BB132:BB183" si="4">AW132</f>
        <v>3.88</v>
      </c>
      <c r="BC132">
        <f t="shared" ref="BC132:BC183" si="5">IF(AW132&gt;0,AW132,AY132)</f>
        <v>3.88</v>
      </c>
    </row>
    <row r="133" spans="1:55" ht="15.5">
      <c r="A133" s="5">
        <v>10</v>
      </c>
      <c r="B133" s="5">
        <v>10</v>
      </c>
      <c r="C133" s="5">
        <v>40</v>
      </c>
      <c r="D133" s="5">
        <v>40</v>
      </c>
      <c r="E133" s="5">
        <v>20</v>
      </c>
      <c r="F133" s="5">
        <v>20</v>
      </c>
      <c r="G133" s="5">
        <v>40</v>
      </c>
      <c r="H133" s="5">
        <v>20</v>
      </c>
      <c r="I133" s="5">
        <v>40</v>
      </c>
      <c r="J133" s="5">
        <v>20</v>
      </c>
      <c r="K133" s="5">
        <v>20</v>
      </c>
      <c r="L133" s="5">
        <v>20</v>
      </c>
      <c r="M133" s="5">
        <v>20</v>
      </c>
      <c r="N133" s="5">
        <v>20</v>
      </c>
      <c r="O133" s="5">
        <v>30</v>
      </c>
      <c r="P133" s="5">
        <v>30</v>
      </c>
      <c r="Q133" s="5">
        <v>20</v>
      </c>
      <c r="R133" s="5">
        <v>20</v>
      </c>
      <c r="S133" s="5">
        <v>20</v>
      </c>
      <c r="T133" s="5">
        <v>40</v>
      </c>
      <c r="U133" s="5">
        <v>20</v>
      </c>
      <c r="V133" s="5">
        <v>20</v>
      </c>
      <c r="W133" s="5">
        <v>30</v>
      </c>
      <c r="X133" s="5">
        <v>30</v>
      </c>
      <c r="Y133" s="5">
        <v>20</v>
      </c>
      <c r="Z133" s="5">
        <v>20</v>
      </c>
      <c r="AA133" s="5">
        <v>20</v>
      </c>
      <c r="AB133" s="5">
        <v>40</v>
      </c>
      <c r="AC133" s="5">
        <v>30</v>
      </c>
      <c r="AD133" s="5">
        <v>30</v>
      </c>
      <c r="AE133" s="5">
        <v>20</v>
      </c>
      <c r="AF133" s="5">
        <v>20</v>
      </c>
      <c r="AG133" s="5">
        <v>20</v>
      </c>
      <c r="AH133" s="5">
        <v>20</v>
      </c>
      <c r="AI133" s="5">
        <v>20</v>
      </c>
      <c r="AJ133" s="5">
        <v>40</v>
      </c>
      <c r="AK133" s="5">
        <v>40</v>
      </c>
      <c r="AL133" s="5">
        <v>20</v>
      </c>
      <c r="AM133" s="5">
        <v>20</v>
      </c>
      <c r="AN133" s="5">
        <v>20</v>
      </c>
      <c r="AO133" s="5">
        <v>40</v>
      </c>
      <c r="AP133" s="5">
        <v>20</v>
      </c>
      <c r="AQ133" s="5">
        <v>20</v>
      </c>
      <c r="AR133" s="5">
        <v>20</v>
      </c>
      <c r="AS133" s="5">
        <v>30</v>
      </c>
      <c r="AT133" s="5">
        <v>30</v>
      </c>
      <c r="AU133" s="5">
        <v>20</v>
      </c>
      <c r="AV133" s="5">
        <v>20</v>
      </c>
      <c r="AW133" s="6">
        <v>4.07</v>
      </c>
      <c r="AX133" s="6" t="s">
        <v>16</v>
      </c>
      <c r="AY133" s="21"/>
      <c r="AZ133" s="21"/>
      <c r="BA133" s="22"/>
      <c r="BB133">
        <f t="shared" si="4"/>
        <v>4.07</v>
      </c>
      <c r="BC133">
        <f t="shared" si="5"/>
        <v>4.07</v>
      </c>
    </row>
    <row r="134" spans="1:5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19"/>
      <c r="AX134" s="19"/>
      <c r="AY134" s="19"/>
      <c r="AZ134" s="19"/>
      <c r="BA134" s="20"/>
      <c r="BB134">
        <f t="shared" si="4"/>
        <v>0</v>
      </c>
      <c r="BC134">
        <f t="shared" si="5"/>
        <v>0</v>
      </c>
    </row>
    <row r="135" spans="1:5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21"/>
      <c r="AX135" s="21"/>
      <c r="AY135" s="21"/>
      <c r="AZ135" s="21"/>
      <c r="BA135" s="22"/>
      <c r="BB135">
        <f t="shared" si="4"/>
        <v>0</v>
      </c>
      <c r="BC135">
        <f t="shared" si="5"/>
        <v>0</v>
      </c>
    </row>
    <row r="136" spans="1:5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19"/>
      <c r="AX136" s="19"/>
      <c r="AY136" s="19"/>
      <c r="AZ136" s="19"/>
      <c r="BA136" s="20"/>
      <c r="BB136">
        <f t="shared" si="4"/>
        <v>0</v>
      </c>
      <c r="BC136">
        <f t="shared" si="5"/>
        <v>0</v>
      </c>
    </row>
    <row r="137" spans="1:5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21"/>
      <c r="AX137" s="21"/>
      <c r="AY137" s="21"/>
      <c r="AZ137" s="21"/>
      <c r="BA137" s="22"/>
      <c r="BB137">
        <f t="shared" si="4"/>
        <v>0</v>
      </c>
      <c r="BC137">
        <f t="shared" si="5"/>
        <v>0</v>
      </c>
    </row>
    <row r="138" spans="1:5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19"/>
      <c r="AX138" s="19"/>
      <c r="AY138" s="19"/>
      <c r="AZ138" s="19"/>
      <c r="BA138" s="20"/>
      <c r="BB138">
        <f t="shared" si="4"/>
        <v>0</v>
      </c>
      <c r="BC138">
        <f t="shared" si="5"/>
        <v>0</v>
      </c>
    </row>
    <row r="139" spans="1:5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21"/>
      <c r="AX139" s="21"/>
      <c r="AY139" s="21"/>
      <c r="AZ139" s="21"/>
      <c r="BA139" s="22"/>
      <c r="BB139">
        <f t="shared" si="4"/>
        <v>0</v>
      </c>
      <c r="BC139">
        <f t="shared" si="5"/>
        <v>0</v>
      </c>
    </row>
    <row r="140" spans="1:5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19"/>
      <c r="AX140" s="19"/>
      <c r="AY140" s="19"/>
      <c r="AZ140" s="19"/>
      <c r="BA140" s="20"/>
      <c r="BB140">
        <f t="shared" si="4"/>
        <v>0</v>
      </c>
      <c r="BC140">
        <f t="shared" si="5"/>
        <v>0</v>
      </c>
    </row>
    <row r="141" spans="1:5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21"/>
      <c r="AX141" s="21"/>
      <c r="AY141" s="21"/>
      <c r="AZ141" s="21"/>
      <c r="BA141" s="22"/>
      <c r="BB141">
        <f t="shared" si="4"/>
        <v>0</v>
      </c>
      <c r="BC141">
        <f t="shared" si="5"/>
        <v>0</v>
      </c>
    </row>
    <row r="142" spans="1:5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19"/>
      <c r="AX142" s="19"/>
      <c r="AY142" s="19"/>
      <c r="AZ142" s="19"/>
      <c r="BA142" s="20"/>
      <c r="BB142">
        <f t="shared" si="4"/>
        <v>0</v>
      </c>
      <c r="BC142">
        <f t="shared" si="5"/>
        <v>0</v>
      </c>
    </row>
    <row r="143" spans="1:5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21"/>
      <c r="AX143" s="21"/>
      <c r="AY143" s="21"/>
      <c r="AZ143" s="21"/>
      <c r="BA143" s="22"/>
      <c r="BB143">
        <f t="shared" si="4"/>
        <v>0</v>
      </c>
      <c r="BC143">
        <f t="shared" si="5"/>
        <v>0</v>
      </c>
    </row>
    <row r="144" spans="1:5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19"/>
      <c r="AX144" s="19"/>
      <c r="AY144" s="19"/>
      <c r="AZ144" s="19"/>
      <c r="BA144" s="20"/>
      <c r="BB144">
        <f t="shared" si="4"/>
        <v>0</v>
      </c>
      <c r="BC144">
        <f t="shared" si="5"/>
        <v>0</v>
      </c>
    </row>
    <row r="145" spans="1:5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21"/>
      <c r="AX145" s="21"/>
      <c r="AY145" s="21"/>
      <c r="AZ145" s="21"/>
      <c r="BA145" s="22"/>
      <c r="BB145">
        <f t="shared" si="4"/>
        <v>0</v>
      </c>
      <c r="BC145">
        <f t="shared" si="5"/>
        <v>0</v>
      </c>
    </row>
    <row r="146" spans="1:5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19"/>
      <c r="AX146" s="19"/>
      <c r="AY146" s="19"/>
      <c r="AZ146" s="19"/>
      <c r="BA146" s="20"/>
      <c r="BB146">
        <f t="shared" si="4"/>
        <v>0</v>
      </c>
      <c r="BC146">
        <f t="shared" si="5"/>
        <v>0</v>
      </c>
    </row>
    <row r="147" spans="1:5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21"/>
      <c r="AX147" s="21"/>
      <c r="AY147" s="21"/>
      <c r="AZ147" s="21"/>
      <c r="BA147" s="22"/>
      <c r="BB147">
        <f t="shared" si="4"/>
        <v>0</v>
      </c>
      <c r="BC147">
        <f t="shared" si="5"/>
        <v>0</v>
      </c>
    </row>
    <row r="148" spans="1:5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19"/>
      <c r="AX148" s="19"/>
      <c r="AY148" s="19"/>
      <c r="AZ148" s="19"/>
      <c r="BA148" s="20"/>
      <c r="BB148">
        <f t="shared" si="4"/>
        <v>0</v>
      </c>
      <c r="BC148">
        <f t="shared" si="5"/>
        <v>0</v>
      </c>
    </row>
    <row r="149" spans="1:5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21"/>
      <c r="AX149" s="21"/>
      <c r="AY149" s="21"/>
      <c r="AZ149" s="21"/>
      <c r="BA149" s="22"/>
      <c r="BB149">
        <f t="shared" si="4"/>
        <v>0</v>
      </c>
      <c r="BC149">
        <f t="shared" si="5"/>
        <v>0</v>
      </c>
    </row>
    <row r="150" spans="1:5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19"/>
      <c r="AX150" s="19"/>
      <c r="AY150" s="19"/>
      <c r="AZ150" s="19"/>
      <c r="BA150" s="20"/>
      <c r="BB150">
        <f t="shared" si="4"/>
        <v>0</v>
      </c>
      <c r="BC150">
        <f t="shared" si="5"/>
        <v>0</v>
      </c>
    </row>
    <row r="151" spans="1:5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21"/>
      <c r="AX151" s="21"/>
      <c r="AY151" s="21"/>
      <c r="AZ151" s="21"/>
      <c r="BA151" s="22"/>
      <c r="BB151">
        <f t="shared" si="4"/>
        <v>0</v>
      </c>
      <c r="BC151">
        <f t="shared" si="5"/>
        <v>0</v>
      </c>
    </row>
    <row r="152" spans="1:5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19"/>
      <c r="AX152" s="19"/>
      <c r="AY152" s="19"/>
      <c r="AZ152" s="19"/>
      <c r="BA152" s="20"/>
      <c r="BB152">
        <f t="shared" si="4"/>
        <v>0</v>
      </c>
      <c r="BC152">
        <f t="shared" si="5"/>
        <v>0</v>
      </c>
    </row>
    <row r="153" spans="1:5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21"/>
      <c r="AX153" s="21"/>
      <c r="AY153" s="21"/>
      <c r="AZ153" s="21"/>
      <c r="BA153" s="22"/>
      <c r="BB153">
        <f t="shared" si="4"/>
        <v>0</v>
      </c>
      <c r="BC153">
        <f t="shared" si="5"/>
        <v>0</v>
      </c>
    </row>
    <row r="154" spans="1:5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19"/>
      <c r="AX154" s="19"/>
      <c r="AY154" s="19"/>
      <c r="AZ154" s="19"/>
      <c r="BA154" s="20"/>
      <c r="BB154">
        <f t="shared" si="4"/>
        <v>0</v>
      </c>
      <c r="BC154">
        <f t="shared" si="5"/>
        <v>0</v>
      </c>
    </row>
    <row r="155" spans="1: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21"/>
      <c r="AX155" s="21"/>
      <c r="AY155" s="21"/>
      <c r="AZ155" s="21"/>
      <c r="BA155" s="22"/>
      <c r="BB155">
        <f t="shared" si="4"/>
        <v>0</v>
      </c>
      <c r="BC155">
        <f t="shared" si="5"/>
        <v>0</v>
      </c>
    </row>
    <row r="156" spans="1:5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19"/>
      <c r="AX156" s="19"/>
      <c r="AY156" s="19"/>
      <c r="AZ156" s="19"/>
      <c r="BA156" s="20"/>
      <c r="BB156">
        <f t="shared" si="4"/>
        <v>0</v>
      </c>
      <c r="BC156">
        <f t="shared" si="5"/>
        <v>0</v>
      </c>
    </row>
    <row r="157" spans="1:5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21"/>
      <c r="AX157" s="21"/>
      <c r="AY157" s="21"/>
      <c r="AZ157" s="21"/>
      <c r="BA157" s="22"/>
      <c r="BB157">
        <f t="shared" si="4"/>
        <v>0</v>
      </c>
      <c r="BC157">
        <f t="shared" si="5"/>
        <v>0</v>
      </c>
    </row>
    <row r="158" spans="1:5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19"/>
      <c r="AX158" s="19"/>
      <c r="AY158" s="19"/>
      <c r="AZ158" s="19"/>
      <c r="BA158" s="20"/>
      <c r="BB158">
        <f t="shared" si="4"/>
        <v>0</v>
      </c>
      <c r="BC158">
        <f t="shared" si="5"/>
        <v>0</v>
      </c>
    </row>
    <row r="159" spans="1:5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21"/>
      <c r="AX159" s="21"/>
      <c r="AY159" s="21"/>
      <c r="AZ159" s="21"/>
      <c r="BA159" s="22"/>
      <c r="BB159">
        <f t="shared" si="4"/>
        <v>0</v>
      </c>
      <c r="BC159">
        <f t="shared" si="5"/>
        <v>0</v>
      </c>
    </row>
    <row r="160" spans="1:5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19"/>
      <c r="AX160" s="19"/>
      <c r="AY160" s="19"/>
      <c r="AZ160" s="19"/>
      <c r="BA160" s="20"/>
      <c r="BB160">
        <f t="shared" si="4"/>
        <v>0</v>
      </c>
      <c r="BC160">
        <f t="shared" si="5"/>
        <v>0</v>
      </c>
    </row>
    <row r="161" spans="1:5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21"/>
      <c r="AX161" s="21"/>
      <c r="AY161" s="21"/>
      <c r="AZ161" s="21"/>
      <c r="BA161" s="22"/>
      <c r="BB161">
        <f t="shared" si="4"/>
        <v>0</v>
      </c>
      <c r="BC161">
        <f t="shared" si="5"/>
        <v>0</v>
      </c>
    </row>
    <row r="162" spans="1:5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19"/>
      <c r="AX162" s="19"/>
      <c r="AY162" s="19"/>
      <c r="AZ162" s="19"/>
      <c r="BA162" s="20"/>
      <c r="BB162">
        <f t="shared" si="4"/>
        <v>0</v>
      </c>
      <c r="BC162">
        <f t="shared" si="5"/>
        <v>0</v>
      </c>
    </row>
    <row r="163" spans="1:5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21"/>
      <c r="AX163" s="21"/>
      <c r="AY163" s="21"/>
      <c r="AZ163" s="21"/>
      <c r="BA163" s="22"/>
      <c r="BB163">
        <f t="shared" si="4"/>
        <v>0</v>
      </c>
      <c r="BC163">
        <f t="shared" si="5"/>
        <v>0</v>
      </c>
    </row>
    <row r="164" spans="1:5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19"/>
      <c r="AX164" s="19"/>
      <c r="AY164" s="19"/>
      <c r="AZ164" s="19"/>
      <c r="BA164" s="20"/>
      <c r="BB164">
        <f t="shared" si="4"/>
        <v>0</v>
      </c>
      <c r="BC164">
        <f t="shared" si="5"/>
        <v>0</v>
      </c>
    </row>
    <row r="165" spans="1:5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21"/>
      <c r="AX165" s="21"/>
      <c r="AY165" s="21"/>
      <c r="AZ165" s="21"/>
      <c r="BA165" s="22"/>
      <c r="BB165">
        <f t="shared" si="4"/>
        <v>0</v>
      </c>
      <c r="BC165">
        <f t="shared" si="5"/>
        <v>0</v>
      </c>
    </row>
    <row r="166" spans="1:5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19"/>
      <c r="AX166" s="19"/>
      <c r="AY166" s="19"/>
      <c r="AZ166" s="19"/>
      <c r="BA166" s="20"/>
      <c r="BB166">
        <f t="shared" si="4"/>
        <v>0</v>
      </c>
      <c r="BC166">
        <f t="shared" si="5"/>
        <v>0</v>
      </c>
    </row>
    <row r="167" spans="1:5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21"/>
      <c r="AX167" s="21"/>
      <c r="AY167" s="21"/>
      <c r="AZ167" s="21"/>
      <c r="BA167" s="22"/>
      <c r="BB167">
        <f t="shared" si="4"/>
        <v>0</v>
      </c>
      <c r="BC167">
        <f t="shared" si="5"/>
        <v>0</v>
      </c>
    </row>
    <row r="168" spans="1:5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19"/>
      <c r="AX168" s="19"/>
      <c r="AY168" s="19"/>
      <c r="AZ168" s="19"/>
      <c r="BA168" s="20"/>
      <c r="BB168">
        <f t="shared" si="4"/>
        <v>0</v>
      </c>
      <c r="BC168">
        <f t="shared" si="5"/>
        <v>0</v>
      </c>
    </row>
    <row r="169" spans="1:5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21"/>
      <c r="AX169" s="21"/>
      <c r="AY169" s="21"/>
      <c r="AZ169" s="21"/>
      <c r="BA169" s="22"/>
      <c r="BB169">
        <f t="shared" si="4"/>
        <v>0</v>
      </c>
      <c r="BC169">
        <f t="shared" si="5"/>
        <v>0</v>
      </c>
    </row>
    <row r="170" spans="1:5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19"/>
      <c r="AX170" s="19"/>
      <c r="AY170" s="19"/>
      <c r="AZ170" s="19"/>
      <c r="BA170" s="20"/>
      <c r="BB170">
        <f t="shared" si="4"/>
        <v>0</v>
      </c>
      <c r="BC170">
        <f t="shared" si="5"/>
        <v>0</v>
      </c>
    </row>
    <row r="171" spans="1:5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21"/>
      <c r="AX171" s="21"/>
      <c r="AY171" s="21"/>
      <c r="AZ171" s="21"/>
      <c r="BA171" s="22"/>
      <c r="BB171">
        <f t="shared" si="4"/>
        <v>0</v>
      </c>
      <c r="BC171">
        <f t="shared" si="5"/>
        <v>0</v>
      </c>
    </row>
    <row r="172" spans="1:5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19"/>
      <c r="AX172" s="19"/>
      <c r="AY172" s="19"/>
      <c r="AZ172" s="19"/>
      <c r="BA172" s="20"/>
      <c r="BB172">
        <f t="shared" si="4"/>
        <v>0</v>
      </c>
      <c r="BC172">
        <f t="shared" si="5"/>
        <v>0</v>
      </c>
    </row>
    <row r="173" spans="1:5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21"/>
      <c r="AX173" s="21"/>
      <c r="AY173" s="21"/>
      <c r="AZ173" s="21"/>
      <c r="BA173" s="22"/>
      <c r="BB173">
        <f t="shared" si="4"/>
        <v>0</v>
      </c>
      <c r="BC173">
        <f t="shared" si="5"/>
        <v>0</v>
      </c>
    </row>
    <row r="174" spans="1:5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19"/>
      <c r="AX174" s="19"/>
      <c r="AY174" s="19"/>
      <c r="AZ174" s="19"/>
      <c r="BA174" s="20"/>
      <c r="BB174">
        <f t="shared" si="4"/>
        <v>0</v>
      </c>
      <c r="BC174">
        <f t="shared" si="5"/>
        <v>0</v>
      </c>
    </row>
    <row r="175" spans="1:5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21"/>
      <c r="AX175" s="21"/>
      <c r="AY175" s="21"/>
      <c r="AZ175" s="21"/>
      <c r="BA175" s="22"/>
      <c r="BB175">
        <f t="shared" si="4"/>
        <v>0</v>
      </c>
      <c r="BC175">
        <f t="shared" si="5"/>
        <v>0</v>
      </c>
    </row>
    <row r="176" spans="1:5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19"/>
      <c r="AX176" s="19"/>
      <c r="AY176" s="19"/>
      <c r="AZ176" s="19"/>
      <c r="BA176" s="20"/>
      <c r="BB176">
        <f t="shared" si="4"/>
        <v>0</v>
      </c>
      <c r="BC176">
        <f t="shared" si="5"/>
        <v>0</v>
      </c>
    </row>
    <row r="177" spans="1:5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21"/>
      <c r="AX177" s="21"/>
      <c r="AY177" s="21"/>
      <c r="AZ177" s="21"/>
      <c r="BA177" s="22"/>
      <c r="BB177">
        <f t="shared" si="4"/>
        <v>0</v>
      </c>
      <c r="BC177">
        <f t="shared" si="5"/>
        <v>0</v>
      </c>
    </row>
    <row r="178" spans="1:5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19"/>
      <c r="AX178" s="19"/>
      <c r="AY178" s="19"/>
      <c r="AZ178" s="19"/>
      <c r="BA178" s="20"/>
      <c r="BB178">
        <f t="shared" si="4"/>
        <v>0</v>
      </c>
      <c r="BC178">
        <f t="shared" si="5"/>
        <v>0</v>
      </c>
    </row>
    <row r="179" spans="1:5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21"/>
      <c r="AX179" s="21"/>
      <c r="AY179" s="21"/>
      <c r="AZ179" s="21"/>
      <c r="BA179" s="22"/>
      <c r="BB179">
        <f t="shared" si="4"/>
        <v>0</v>
      </c>
      <c r="BC179">
        <f t="shared" si="5"/>
        <v>0</v>
      </c>
    </row>
    <row r="180" spans="1:5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19"/>
      <c r="AX180" s="19"/>
      <c r="AY180" s="19"/>
      <c r="AZ180" s="19"/>
      <c r="BA180" s="20"/>
      <c r="BB180">
        <f t="shared" si="4"/>
        <v>0</v>
      </c>
      <c r="BC180">
        <f t="shared" si="5"/>
        <v>0</v>
      </c>
    </row>
    <row r="181" spans="1:5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21"/>
      <c r="AX181" s="21"/>
      <c r="AY181" s="21"/>
      <c r="AZ181" s="21"/>
      <c r="BA181" s="22"/>
      <c r="BB181">
        <f t="shared" si="4"/>
        <v>0</v>
      </c>
      <c r="BC181">
        <f t="shared" si="5"/>
        <v>0</v>
      </c>
    </row>
    <row r="182" spans="1:5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19"/>
      <c r="AX182" s="19"/>
      <c r="AY182" s="19"/>
      <c r="AZ182" s="19"/>
      <c r="BA182" s="20"/>
      <c r="BB182">
        <f t="shared" si="4"/>
        <v>0</v>
      </c>
      <c r="BC182">
        <f t="shared" si="5"/>
        <v>0</v>
      </c>
    </row>
    <row r="183" spans="1:55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40"/>
      <c r="AX183" s="40"/>
      <c r="AY183" s="40"/>
      <c r="AZ183" s="40"/>
      <c r="BA183" s="41"/>
      <c r="BB183">
        <f t="shared" si="4"/>
        <v>0</v>
      </c>
      <c r="BC183">
        <f t="shared" si="5"/>
        <v>0</v>
      </c>
    </row>
    <row r="186" spans="1:55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</row>
  </sheetData>
  <mergeCells count="13">
    <mergeCell ref="AW1:BA1"/>
    <mergeCell ref="Y1:AB1"/>
    <mergeCell ref="AC1:AF1"/>
    <mergeCell ref="AG1:AJ1"/>
    <mergeCell ref="AK1:AN1"/>
    <mergeCell ref="AO1:AR1"/>
    <mergeCell ref="AS1:AV1"/>
    <mergeCell ref="U1:X1"/>
    <mergeCell ref="A1:D1"/>
    <mergeCell ref="E1:H1"/>
    <mergeCell ref="I1:L1"/>
    <mergeCell ref="M1:P1"/>
    <mergeCell ref="Q1:T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911F-FBF0-4FFC-9B30-5E40DD1C6E86}">
  <dimension ref="A1:L186"/>
  <sheetViews>
    <sheetView workbookViewId="0">
      <selection activeCell="L2" sqref="L2"/>
    </sheetView>
  </sheetViews>
  <sheetFormatPr defaultRowHeight="14.5"/>
  <cols>
    <col min="1" max="1" width="7.81640625" customWidth="1"/>
    <col min="3" max="3" width="6.26953125" bestFit="1" customWidth="1"/>
    <col min="4" max="4" width="8" bestFit="1" customWidth="1"/>
    <col min="5" max="5" width="7" customWidth="1"/>
    <col min="7" max="7" width="6.26953125" bestFit="1" customWidth="1"/>
    <col min="8" max="8" width="8" bestFit="1" customWidth="1"/>
  </cols>
  <sheetData>
    <row r="1" spans="1:12">
      <c r="A1" s="47" t="s">
        <v>64</v>
      </c>
      <c r="B1" s="47"/>
      <c r="C1" s="47"/>
      <c r="D1" s="47"/>
      <c r="E1" s="47" t="s">
        <v>65</v>
      </c>
      <c r="F1" s="47"/>
      <c r="G1" s="47"/>
      <c r="H1" s="47"/>
      <c r="J1" s="44"/>
      <c r="K1" s="44" t="s">
        <v>80</v>
      </c>
      <c r="L1" s="44" t="s">
        <v>82</v>
      </c>
    </row>
    <row r="2" spans="1:12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77</v>
      </c>
      <c r="G2" s="2" t="s">
        <v>78</v>
      </c>
      <c r="H2" s="2" t="s">
        <v>79</v>
      </c>
      <c r="J2" s="45" t="s">
        <v>76</v>
      </c>
      <c r="K2" s="44">
        <f>AVERAGE(E3:E133)</f>
        <v>29.045801526717558</v>
      </c>
      <c r="L2" s="44">
        <f>AVERAGE(A3:A133)</f>
        <v>32.251908396946568</v>
      </c>
    </row>
    <row r="3" spans="1:12">
      <c r="A3" s="5">
        <v>30</v>
      </c>
      <c r="B3" s="5">
        <v>20</v>
      </c>
      <c r="C3" s="5">
        <v>20</v>
      </c>
      <c r="D3" s="5">
        <v>30</v>
      </c>
      <c r="E3" s="5">
        <v>30</v>
      </c>
      <c r="F3" s="5">
        <v>30</v>
      </c>
      <c r="G3" s="5">
        <v>20</v>
      </c>
      <c r="H3" s="5">
        <v>20</v>
      </c>
      <c r="J3" s="45" t="s">
        <v>77</v>
      </c>
      <c r="K3" s="44">
        <f>AVERAGE(F3:F133)</f>
        <v>21.145038167938932</v>
      </c>
      <c r="L3" s="44">
        <f>AVERAGE(B3:B133)</f>
        <v>22.404580152671755</v>
      </c>
    </row>
    <row r="4" spans="1:12">
      <c r="A4" s="9">
        <v>40</v>
      </c>
      <c r="B4" s="9">
        <v>10</v>
      </c>
      <c r="C4" s="9">
        <v>20</v>
      </c>
      <c r="D4" s="9">
        <v>30</v>
      </c>
      <c r="E4" s="9">
        <v>40</v>
      </c>
      <c r="F4" s="9">
        <v>10</v>
      </c>
      <c r="G4" s="9">
        <v>30</v>
      </c>
      <c r="H4" s="9">
        <v>20</v>
      </c>
      <c r="J4" s="45" t="s">
        <v>78</v>
      </c>
      <c r="K4" s="44">
        <f>AVERAGE(G3:G133)</f>
        <v>24.198473282442748</v>
      </c>
      <c r="L4" s="44">
        <f>AVERAGE(C3:C133)</f>
        <v>21.221374045801525</v>
      </c>
    </row>
    <row r="5" spans="1:12">
      <c r="A5" s="5">
        <v>25</v>
      </c>
      <c r="B5" s="5">
        <v>25</v>
      </c>
      <c r="C5" s="5">
        <v>25</v>
      </c>
      <c r="D5" s="5">
        <v>25</v>
      </c>
      <c r="E5" s="5">
        <v>25</v>
      </c>
      <c r="F5" s="5">
        <v>25</v>
      </c>
      <c r="G5" s="5">
        <v>25</v>
      </c>
      <c r="H5" s="5">
        <v>25</v>
      </c>
      <c r="J5" s="45" t="s">
        <v>79</v>
      </c>
      <c r="K5" s="44">
        <f>AVERAGE(H3:H133)</f>
        <v>25.610687022900763</v>
      </c>
      <c r="L5" s="44">
        <f>AVERAGE(D3:D133)</f>
        <v>24.122137404580151</v>
      </c>
    </row>
    <row r="6" spans="1:12">
      <c r="A6" s="9">
        <v>30</v>
      </c>
      <c r="B6" s="9">
        <v>30</v>
      </c>
      <c r="C6" s="9">
        <v>20</v>
      </c>
      <c r="D6" s="9">
        <v>20</v>
      </c>
      <c r="E6" s="9">
        <v>20</v>
      </c>
      <c r="F6" s="9">
        <v>20</v>
      </c>
      <c r="G6" s="9">
        <v>30</v>
      </c>
      <c r="H6" s="9">
        <v>30</v>
      </c>
    </row>
    <row r="7" spans="1:12">
      <c r="A7" s="5">
        <v>50</v>
      </c>
      <c r="B7" s="5">
        <v>20</v>
      </c>
      <c r="C7" s="5">
        <v>10</v>
      </c>
      <c r="D7" s="5">
        <v>20</v>
      </c>
      <c r="E7" s="5">
        <v>10</v>
      </c>
      <c r="F7" s="5">
        <v>30</v>
      </c>
      <c r="G7" s="5">
        <v>30</v>
      </c>
      <c r="H7" s="5">
        <v>30</v>
      </c>
    </row>
    <row r="8" spans="1:12">
      <c r="A8" s="9">
        <v>40</v>
      </c>
      <c r="B8" s="9">
        <v>20</v>
      </c>
      <c r="C8" s="9">
        <v>20</v>
      </c>
      <c r="D8" s="9">
        <v>20</v>
      </c>
      <c r="E8" s="9">
        <v>40</v>
      </c>
      <c r="F8" s="9">
        <v>20</v>
      </c>
      <c r="G8" s="9">
        <v>20</v>
      </c>
      <c r="H8" s="9">
        <v>20</v>
      </c>
    </row>
    <row r="9" spans="1:12">
      <c r="A9" s="5">
        <v>20</v>
      </c>
      <c r="B9" s="5">
        <v>20</v>
      </c>
      <c r="C9" s="5">
        <v>20</v>
      </c>
      <c r="D9" s="5">
        <v>40</v>
      </c>
      <c r="E9" s="5">
        <v>25</v>
      </c>
      <c r="F9" s="5">
        <v>25</v>
      </c>
      <c r="G9" s="5">
        <v>25</v>
      </c>
      <c r="H9" s="5">
        <v>25</v>
      </c>
    </row>
    <row r="10" spans="1:12">
      <c r="A10" s="9">
        <v>25</v>
      </c>
      <c r="B10" s="9">
        <v>25</v>
      </c>
      <c r="C10" s="9">
        <v>25</v>
      </c>
      <c r="D10" s="9">
        <v>25</v>
      </c>
      <c r="E10" s="9">
        <v>25</v>
      </c>
      <c r="F10" s="9">
        <v>25</v>
      </c>
      <c r="G10" s="9">
        <v>25</v>
      </c>
      <c r="H10" s="9">
        <v>25</v>
      </c>
    </row>
    <row r="11" spans="1:12">
      <c r="A11" s="5">
        <v>25</v>
      </c>
      <c r="B11" s="5">
        <v>25</v>
      </c>
      <c r="C11" s="5">
        <v>25</v>
      </c>
      <c r="D11" s="5">
        <v>25</v>
      </c>
      <c r="E11" s="5">
        <v>25</v>
      </c>
      <c r="F11" s="5">
        <v>25</v>
      </c>
      <c r="G11" s="5">
        <v>25</v>
      </c>
      <c r="H11" s="5">
        <v>25</v>
      </c>
    </row>
    <row r="12" spans="1:12">
      <c r="A12" s="9">
        <v>30</v>
      </c>
      <c r="B12" s="9">
        <v>30</v>
      </c>
      <c r="C12" s="9">
        <v>10</v>
      </c>
      <c r="D12" s="9">
        <v>30</v>
      </c>
      <c r="E12" s="9">
        <v>30</v>
      </c>
      <c r="F12" s="9">
        <v>40</v>
      </c>
      <c r="G12" s="9">
        <v>10</v>
      </c>
      <c r="H12" s="9">
        <v>20</v>
      </c>
    </row>
    <row r="13" spans="1:12">
      <c r="A13" s="5">
        <v>40</v>
      </c>
      <c r="B13" s="5">
        <v>30</v>
      </c>
      <c r="C13" s="5">
        <v>20</v>
      </c>
      <c r="D13" s="5">
        <v>10</v>
      </c>
      <c r="E13" s="5">
        <v>40</v>
      </c>
      <c r="F13" s="5">
        <v>30</v>
      </c>
      <c r="G13" s="5">
        <v>20</v>
      </c>
      <c r="H13" s="5">
        <v>10</v>
      </c>
    </row>
    <row r="14" spans="1:12">
      <c r="A14" s="9">
        <v>25</v>
      </c>
      <c r="B14" s="9">
        <v>25</v>
      </c>
      <c r="C14" s="9">
        <v>25</v>
      </c>
      <c r="D14" s="9">
        <v>25</v>
      </c>
      <c r="E14" s="9">
        <v>25</v>
      </c>
      <c r="F14" s="9">
        <v>25</v>
      </c>
      <c r="G14" s="9">
        <v>25</v>
      </c>
      <c r="H14" s="9">
        <v>25</v>
      </c>
    </row>
    <row r="15" spans="1:12">
      <c r="A15" s="5">
        <v>25</v>
      </c>
      <c r="B15" s="5">
        <v>25</v>
      </c>
      <c r="C15" s="5">
        <v>25</v>
      </c>
      <c r="D15" s="5">
        <v>25</v>
      </c>
      <c r="E15" s="5">
        <v>25</v>
      </c>
      <c r="F15" s="5">
        <v>25</v>
      </c>
      <c r="G15" s="5">
        <v>25</v>
      </c>
      <c r="H15" s="5">
        <v>25</v>
      </c>
    </row>
    <row r="16" spans="1:12">
      <c r="A16" s="9">
        <v>30</v>
      </c>
      <c r="B16" s="9">
        <v>30</v>
      </c>
      <c r="C16" s="9">
        <v>20</v>
      </c>
      <c r="D16" s="9">
        <v>20</v>
      </c>
      <c r="E16" s="9">
        <v>20</v>
      </c>
      <c r="F16" s="9">
        <v>40</v>
      </c>
      <c r="G16" s="9">
        <v>20</v>
      </c>
      <c r="H16" s="9">
        <v>20</v>
      </c>
    </row>
    <row r="17" spans="1:8">
      <c r="A17" s="5">
        <v>30</v>
      </c>
      <c r="B17" s="5">
        <v>30</v>
      </c>
      <c r="C17" s="5">
        <v>20</v>
      </c>
      <c r="D17" s="5">
        <v>20</v>
      </c>
      <c r="E17" s="5">
        <v>30</v>
      </c>
      <c r="F17" s="5">
        <v>30</v>
      </c>
      <c r="G17" s="5">
        <v>20</v>
      </c>
      <c r="H17" s="5">
        <v>20</v>
      </c>
    </row>
    <row r="18" spans="1:8">
      <c r="A18" s="9">
        <v>25</v>
      </c>
      <c r="B18" s="9">
        <v>25</v>
      </c>
      <c r="C18" s="9">
        <v>25</v>
      </c>
      <c r="D18" s="9">
        <v>25</v>
      </c>
      <c r="E18" s="9">
        <v>30</v>
      </c>
      <c r="F18" s="9">
        <v>10</v>
      </c>
      <c r="G18" s="9">
        <v>30</v>
      </c>
      <c r="H18" s="9">
        <v>30</v>
      </c>
    </row>
    <row r="19" spans="1:8">
      <c r="A19" s="5">
        <v>10</v>
      </c>
      <c r="B19" s="5">
        <v>10</v>
      </c>
      <c r="C19" s="5">
        <v>10</v>
      </c>
      <c r="D19" s="5">
        <v>70</v>
      </c>
      <c r="E19" s="5">
        <v>10</v>
      </c>
      <c r="F19" s="5">
        <v>10</v>
      </c>
      <c r="G19" s="5">
        <v>30</v>
      </c>
      <c r="H19" s="5">
        <v>50</v>
      </c>
    </row>
    <row r="20" spans="1:8">
      <c r="A20" s="9">
        <v>10</v>
      </c>
      <c r="B20" s="9">
        <v>20</v>
      </c>
      <c r="C20" s="9">
        <v>35</v>
      </c>
      <c r="D20" s="9">
        <v>35</v>
      </c>
      <c r="E20" s="9">
        <v>10</v>
      </c>
      <c r="F20" s="9">
        <v>30</v>
      </c>
      <c r="G20" s="9">
        <v>30</v>
      </c>
      <c r="H20" s="9">
        <v>30</v>
      </c>
    </row>
    <row r="21" spans="1:8">
      <c r="A21" s="5">
        <v>20</v>
      </c>
      <c r="B21" s="5">
        <v>20</v>
      </c>
      <c r="C21" s="5">
        <v>20</v>
      </c>
      <c r="D21" s="5">
        <v>40</v>
      </c>
      <c r="E21" s="5">
        <v>15</v>
      </c>
      <c r="F21" s="5">
        <v>35</v>
      </c>
      <c r="G21" s="5">
        <v>25</v>
      </c>
      <c r="H21" s="5">
        <v>25</v>
      </c>
    </row>
    <row r="22" spans="1:8">
      <c r="A22" s="9">
        <v>25</v>
      </c>
      <c r="B22" s="9">
        <v>25</v>
      </c>
      <c r="C22" s="9">
        <v>25</v>
      </c>
      <c r="D22" s="9">
        <v>25</v>
      </c>
      <c r="E22" s="9">
        <v>25</v>
      </c>
      <c r="F22" s="9">
        <v>25</v>
      </c>
      <c r="G22" s="9">
        <v>25</v>
      </c>
      <c r="H22" s="9">
        <v>25</v>
      </c>
    </row>
    <row r="23" spans="1:8">
      <c r="A23" s="5">
        <v>70</v>
      </c>
      <c r="B23" s="5">
        <v>10</v>
      </c>
      <c r="C23" s="5">
        <v>10</v>
      </c>
      <c r="D23" s="5">
        <v>10</v>
      </c>
      <c r="E23" s="5">
        <v>20</v>
      </c>
      <c r="F23" s="5">
        <v>10</v>
      </c>
      <c r="G23" s="5">
        <v>10</v>
      </c>
      <c r="H23" s="5">
        <v>60</v>
      </c>
    </row>
    <row r="24" spans="1:8">
      <c r="A24" s="9">
        <v>20</v>
      </c>
      <c r="B24" s="9">
        <v>20</v>
      </c>
      <c r="C24" s="9">
        <v>20</v>
      </c>
      <c r="D24" s="9">
        <v>40</v>
      </c>
      <c r="E24" s="9">
        <v>10</v>
      </c>
      <c r="F24" s="9">
        <v>10</v>
      </c>
      <c r="G24" s="9">
        <v>40</v>
      </c>
      <c r="H24" s="9">
        <v>40</v>
      </c>
    </row>
    <row r="25" spans="1:8">
      <c r="A25" s="5">
        <v>25</v>
      </c>
      <c r="B25" s="5">
        <v>25</v>
      </c>
      <c r="C25" s="5">
        <v>25</v>
      </c>
      <c r="D25" s="5">
        <v>25</v>
      </c>
      <c r="E25" s="5">
        <v>25</v>
      </c>
      <c r="F25" s="5">
        <v>25</v>
      </c>
      <c r="G25" s="5">
        <v>25</v>
      </c>
      <c r="H25" s="5">
        <v>25</v>
      </c>
    </row>
    <row r="26" spans="1:8">
      <c r="A26" s="9">
        <v>20</v>
      </c>
      <c r="B26" s="9">
        <v>20</v>
      </c>
      <c r="C26" s="9">
        <v>20</v>
      </c>
      <c r="D26" s="9">
        <v>40</v>
      </c>
      <c r="E26" s="9">
        <v>20</v>
      </c>
      <c r="F26" s="9">
        <v>20</v>
      </c>
      <c r="G26" s="9">
        <v>20</v>
      </c>
      <c r="H26" s="9">
        <v>40</v>
      </c>
    </row>
    <row r="27" spans="1:8">
      <c r="A27" s="5">
        <v>30</v>
      </c>
      <c r="B27" s="5">
        <v>30</v>
      </c>
      <c r="C27" s="5">
        <v>20</v>
      </c>
      <c r="D27" s="5">
        <v>20</v>
      </c>
      <c r="E27" s="5">
        <v>70</v>
      </c>
      <c r="F27" s="5">
        <v>10</v>
      </c>
      <c r="G27" s="5">
        <v>10</v>
      </c>
      <c r="H27" s="5">
        <v>10</v>
      </c>
    </row>
    <row r="28" spans="1:8">
      <c r="A28" s="9">
        <v>10</v>
      </c>
      <c r="B28" s="9">
        <v>30</v>
      </c>
      <c r="C28" s="9">
        <v>30</v>
      </c>
      <c r="D28" s="9">
        <v>30</v>
      </c>
      <c r="E28" s="9">
        <v>30</v>
      </c>
      <c r="F28" s="9">
        <v>10</v>
      </c>
      <c r="G28" s="9">
        <v>30</v>
      </c>
      <c r="H28" s="9">
        <v>30</v>
      </c>
    </row>
    <row r="29" spans="1:8">
      <c r="A29" s="5">
        <v>30</v>
      </c>
      <c r="B29" s="5">
        <v>20</v>
      </c>
      <c r="C29" s="5">
        <v>40</v>
      </c>
      <c r="D29" s="5">
        <v>10</v>
      </c>
      <c r="E29" s="5">
        <v>20</v>
      </c>
      <c r="F29" s="5">
        <v>30</v>
      </c>
      <c r="G29" s="5">
        <v>30</v>
      </c>
      <c r="H29" s="5">
        <v>20</v>
      </c>
    </row>
    <row r="30" spans="1:8">
      <c r="A30" s="9">
        <v>10</v>
      </c>
      <c r="B30" s="9">
        <v>30</v>
      </c>
      <c r="C30" s="9">
        <v>30</v>
      </c>
      <c r="D30" s="9">
        <v>30</v>
      </c>
      <c r="E30" s="9">
        <v>20</v>
      </c>
      <c r="F30" s="9">
        <v>20</v>
      </c>
      <c r="G30" s="9">
        <v>20</v>
      </c>
      <c r="H30" s="9">
        <v>40</v>
      </c>
    </row>
    <row r="31" spans="1:8">
      <c r="A31" s="5">
        <v>30</v>
      </c>
      <c r="B31" s="5">
        <v>30</v>
      </c>
      <c r="C31" s="5">
        <v>10</v>
      </c>
      <c r="D31" s="5">
        <v>30</v>
      </c>
      <c r="E31" s="5">
        <v>20</v>
      </c>
      <c r="F31" s="5">
        <v>20</v>
      </c>
      <c r="G31" s="5">
        <v>20</v>
      </c>
      <c r="H31" s="5">
        <v>40</v>
      </c>
    </row>
    <row r="32" spans="1:8">
      <c r="A32" s="9">
        <v>20</v>
      </c>
      <c r="B32" s="9">
        <v>20</v>
      </c>
      <c r="C32" s="9">
        <v>30</v>
      </c>
      <c r="D32" s="9">
        <v>30</v>
      </c>
      <c r="E32" s="9">
        <v>20</v>
      </c>
      <c r="F32" s="9">
        <v>20</v>
      </c>
      <c r="G32" s="9">
        <v>30</v>
      </c>
      <c r="H32" s="9">
        <v>30</v>
      </c>
    </row>
    <row r="33" spans="1:8">
      <c r="A33" s="5">
        <v>25</v>
      </c>
      <c r="B33" s="5">
        <v>25</v>
      </c>
      <c r="C33" s="5">
        <v>25</v>
      </c>
      <c r="D33" s="5">
        <v>25</v>
      </c>
      <c r="E33" s="5">
        <v>25</v>
      </c>
      <c r="F33" s="5">
        <v>25</v>
      </c>
      <c r="G33" s="5">
        <v>25</v>
      </c>
      <c r="H33" s="5">
        <v>25</v>
      </c>
    </row>
    <row r="34" spans="1:8">
      <c r="A34" s="9">
        <v>30</v>
      </c>
      <c r="B34" s="9">
        <v>30</v>
      </c>
      <c r="C34" s="9">
        <v>20</v>
      </c>
      <c r="D34" s="9">
        <v>20</v>
      </c>
      <c r="E34" s="9">
        <v>30</v>
      </c>
      <c r="F34" s="9">
        <v>30</v>
      </c>
      <c r="G34" s="9">
        <v>20</v>
      </c>
      <c r="H34" s="9">
        <v>20</v>
      </c>
    </row>
    <row r="35" spans="1:8">
      <c r="A35" s="5">
        <v>40</v>
      </c>
      <c r="B35" s="5">
        <v>20</v>
      </c>
      <c r="C35" s="5">
        <v>20</v>
      </c>
      <c r="D35" s="5">
        <v>20</v>
      </c>
      <c r="E35" s="5">
        <v>20</v>
      </c>
      <c r="F35" s="5">
        <v>20</v>
      </c>
      <c r="G35" s="5">
        <v>30</v>
      </c>
      <c r="H35" s="5">
        <v>30</v>
      </c>
    </row>
    <row r="36" spans="1:8">
      <c r="A36" s="9">
        <v>20</v>
      </c>
      <c r="B36" s="9">
        <v>20</v>
      </c>
      <c r="C36" s="9">
        <v>30</v>
      </c>
      <c r="D36" s="9">
        <v>30</v>
      </c>
      <c r="E36" s="9">
        <v>20</v>
      </c>
      <c r="F36" s="9">
        <v>30</v>
      </c>
      <c r="G36" s="9">
        <v>30</v>
      </c>
      <c r="H36" s="9">
        <v>20</v>
      </c>
    </row>
    <row r="37" spans="1:8">
      <c r="A37" s="5">
        <v>40</v>
      </c>
      <c r="B37" s="5">
        <v>30</v>
      </c>
      <c r="C37" s="5">
        <v>10</v>
      </c>
      <c r="D37" s="5">
        <v>20</v>
      </c>
      <c r="E37" s="5">
        <v>40</v>
      </c>
      <c r="F37" s="5">
        <v>20</v>
      </c>
      <c r="G37" s="5">
        <v>10</v>
      </c>
      <c r="H37" s="5">
        <v>30</v>
      </c>
    </row>
    <row r="38" spans="1:8">
      <c r="A38" s="9">
        <v>30</v>
      </c>
      <c r="B38" s="9">
        <v>20</v>
      </c>
      <c r="C38" s="9">
        <v>30</v>
      </c>
      <c r="D38" s="9">
        <v>20</v>
      </c>
      <c r="E38" s="9">
        <v>30</v>
      </c>
      <c r="F38" s="9">
        <v>30</v>
      </c>
      <c r="G38" s="9">
        <v>20</v>
      </c>
      <c r="H38" s="9">
        <v>20</v>
      </c>
    </row>
    <row r="39" spans="1:8">
      <c r="A39" s="5">
        <v>20</v>
      </c>
      <c r="B39" s="5">
        <v>30</v>
      </c>
      <c r="C39" s="5">
        <v>20</v>
      </c>
      <c r="D39" s="5">
        <v>30</v>
      </c>
      <c r="E39" s="5">
        <v>20</v>
      </c>
      <c r="F39" s="5">
        <v>30</v>
      </c>
      <c r="G39" s="5">
        <v>20</v>
      </c>
      <c r="H39" s="5">
        <v>30</v>
      </c>
    </row>
    <row r="40" spans="1:8">
      <c r="A40" s="9">
        <v>30</v>
      </c>
      <c r="B40" s="9">
        <v>30</v>
      </c>
      <c r="C40" s="9">
        <v>20</v>
      </c>
      <c r="D40" s="9">
        <v>20</v>
      </c>
      <c r="E40" s="9">
        <v>25</v>
      </c>
      <c r="F40" s="9">
        <v>25</v>
      </c>
      <c r="G40" s="9">
        <v>25</v>
      </c>
      <c r="H40" s="9">
        <v>25</v>
      </c>
    </row>
    <row r="41" spans="1:8">
      <c r="A41" s="5">
        <v>10</v>
      </c>
      <c r="B41" s="5">
        <v>30</v>
      </c>
      <c r="C41" s="5">
        <v>30</v>
      </c>
      <c r="D41" s="5">
        <v>30</v>
      </c>
      <c r="E41" s="5">
        <v>25</v>
      </c>
      <c r="F41" s="5">
        <v>25</v>
      </c>
      <c r="G41" s="5">
        <v>25</v>
      </c>
      <c r="H41" s="5">
        <v>25</v>
      </c>
    </row>
    <row r="42" spans="1:8">
      <c r="A42" s="9">
        <v>40</v>
      </c>
      <c r="B42" s="9">
        <v>30</v>
      </c>
      <c r="C42" s="9">
        <v>20</v>
      </c>
      <c r="D42" s="9">
        <v>10</v>
      </c>
      <c r="E42" s="9">
        <v>40</v>
      </c>
      <c r="F42" s="9">
        <v>30</v>
      </c>
      <c r="G42" s="9">
        <v>20</v>
      </c>
      <c r="H42" s="9">
        <v>10</v>
      </c>
    </row>
    <row r="43" spans="1:8">
      <c r="A43" s="5">
        <v>30</v>
      </c>
      <c r="B43" s="5">
        <v>30</v>
      </c>
      <c r="C43" s="5">
        <v>20</v>
      </c>
      <c r="D43" s="5">
        <v>20</v>
      </c>
      <c r="E43" s="5">
        <v>20</v>
      </c>
      <c r="F43" s="5">
        <v>20</v>
      </c>
      <c r="G43" s="5">
        <v>30</v>
      </c>
      <c r="H43" s="5">
        <v>30</v>
      </c>
    </row>
    <row r="44" spans="1:8">
      <c r="A44" s="9">
        <v>40</v>
      </c>
      <c r="B44" s="9">
        <v>20</v>
      </c>
      <c r="C44" s="9">
        <v>20</v>
      </c>
      <c r="D44" s="9">
        <v>20</v>
      </c>
      <c r="E44" s="9">
        <v>40</v>
      </c>
      <c r="F44" s="9">
        <v>20</v>
      </c>
      <c r="G44" s="9">
        <v>20</v>
      </c>
      <c r="H44" s="9">
        <v>20</v>
      </c>
    </row>
    <row r="45" spans="1:8">
      <c r="A45" s="5">
        <v>40</v>
      </c>
      <c r="B45" s="5">
        <v>25</v>
      </c>
      <c r="C45" s="5">
        <v>25</v>
      </c>
      <c r="D45" s="5">
        <v>10</v>
      </c>
      <c r="E45" s="5">
        <v>50</v>
      </c>
      <c r="F45" s="5">
        <v>20</v>
      </c>
      <c r="G45" s="5">
        <v>10</v>
      </c>
      <c r="H45" s="5">
        <v>20</v>
      </c>
    </row>
    <row r="46" spans="1:8">
      <c r="A46" s="9">
        <v>20</v>
      </c>
      <c r="B46" s="9">
        <v>10</v>
      </c>
      <c r="C46" s="9">
        <v>30</v>
      </c>
      <c r="D46" s="9">
        <v>40</v>
      </c>
      <c r="E46" s="9">
        <v>40</v>
      </c>
      <c r="F46" s="9">
        <v>10</v>
      </c>
      <c r="G46" s="9">
        <v>20</v>
      </c>
      <c r="H46" s="9">
        <v>30</v>
      </c>
    </row>
    <row r="47" spans="1:8">
      <c r="A47" s="5">
        <v>10</v>
      </c>
      <c r="B47" s="5">
        <v>25</v>
      </c>
      <c r="C47" s="5">
        <v>25</v>
      </c>
      <c r="D47" s="5">
        <v>40</v>
      </c>
      <c r="E47" s="5">
        <v>15</v>
      </c>
      <c r="F47" s="5">
        <v>15</v>
      </c>
      <c r="G47" s="5">
        <v>30</v>
      </c>
      <c r="H47" s="5">
        <v>40</v>
      </c>
    </row>
    <row r="48" spans="1:8">
      <c r="A48" s="9">
        <v>30</v>
      </c>
      <c r="B48" s="9">
        <v>30</v>
      </c>
      <c r="C48" s="9">
        <v>30</v>
      </c>
      <c r="D48" s="9">
        <v>10</v>
      </c>
      <c r="E48" s="9">
        <v>30</v>
      </c>
      <c r="F48" s="9">
        <v>30</v>
      </c>
      <c r="G48" s="9">
        <v>30</v>
      </c>
      <c r="H48" s="9">
        <v>10</v>
      </c>
    </row>
    <row r="49" spans="1:8">
      <c r="A49" s="5">
        <v>20</v>
      </c>
      <c r="B49" s="5">
        <v>20</v>
      </c>
      <c r="C49" s="5">
        <v>30</v>
      </c>
      <c r="D49" s="5">
        <v>30</v>
      </c>
      <c r="E49" s="5">
        <v>30</v>
      </c>
      <c r="F49" s="5">
        <v>30</v>
      </c>
      <c r="G49" s="5">
        <v>20</v>
      </c>
      <c r="H49" s="5">
        <v>20</v>
      </c>
    </row>
    <row r="50" spans="1:8">
      <c r="A50" s="9">
        <v>25</v>
      </c>
      <c r="B50" s="9">
        <v>25</v>
      </c>
      <c r="C50" s="9">
        <v>25</v>
      </c>
      <c r="D50" s="9">
        <v>25</v>
      </c>
      <c r="E50" s="9">
        <v>40</v>
      </c>
      <c r="F50" s="9">
        <v>15</v>
      </c>
      <c r="G50" s="9">
        <v>15</v>
      </c>
      <c r="H50" s="9">
        <v>30</v>
      </c>
    </row>
    <row r="51" spans="1:8">
      <c r="A51" s="5">
        <v>30</v>
      </c>
      <c r="B51" s="5">
        <v>20</v>
      </c>
      <c r="C51" s="5">
        <v>30</v>
      </c>
      <c r="D51" s="5">
        <v>20</v>
      </c>
      <c r="E51" s="5">
        <v>30</v>
      </c>
      <c r="F51" s="5">
        <v>20</v>
      </c>
      <c r="G51" s="5">
        <v>30</v>
      </c>
      <c r="H51" s="5">
        <v>20</v>
      </c>
    </row>
    <row r="52" spans="1:8">
      <c r="A52" s="9">
        <v>10</v>
      </c>
      <c r="B52" s="9">
        <v>10</v>
      </c>
      <c r="C52" s="9">
        <v>10</v>
      </c>
      <c r="D52" s="9">
        <v>70</v>
      </c>
      <c r="E52" s="9">
        <v>10</v>
      </c>
      <c r="F52" s="9">
        <v>10</v>
      </c>
      <c r="G52" s="9">
        <v>10</v>
      </c>
      <c r="H52" s="9">
        <v>70</v>
      </c>
    </row>
    <row r="53" spans="1:8">
      <c r="A53" s="5">
        <v>30</v>
      </c>
      <c r="B53" s="5">
        <v>20</v>
      </c>
      <c r="C53" s="5">
        <v>20</v>
      </c>
      <c r="D53" s="5">
        <v>30</v>
      </c>
      <c r="E53" s="5">
        <v>30</v>
      </c>
      <c r="F53" s="5">
        <v>20</v>
      </c>
      <c r="G53" s="5">
        <v>20</v>
      </c>
      <c r="H53" s="5">
        <v>30</v>
      </c>
    </row>
    <row r="54" spans="1:8">
      <c r="A54" s="9">
        <v>30</v>
      </c>
      <c r="B54" s="9">
        <v>20</v>
      </c>
      <c r="C54" s="9">
        <v>20</v>
      </c>
      <c r="D54" s="9">
        <v>30</v>
      </c>
      <c r="E54" s="9">
        <v>20</v>
      </c>
      <c r="F54" s="9">
        <v>30</v>
      </c>
      <c r="G54" s="9">
        <v>20</v>
      </c>
      <c r="H54" s="9">
        <v>30</v>
      </c>
    </row>
    <row r="55" spans="1:8">
      <c r="A55" s="5">
        <v>25</v>
      </c>
      <c r="B55" s="5">
        <v>25</v>
      </c>
      <c r="C55" s="5">
        <v>25</v>
      </c>
      <c r="D55" s="5">
        <v>25</v>
      </c>
      <c r="E55" s="5">
        <v>25</v>
      </c>
      <c r="F55" s="5">
        <v>25</v>
      </c>
      <c r="G55" s="5">
        <v>25</v>
      </c>
      <c r="H55" s="5">
        <v>25</v>
      </c>
    </row>
    <row r="56" spans="1:8">
      <c r="A56" s="9">
        <v>25</v>
      </c>
      <c r="B56" s="9">
        <v>25</v>
      </c>
      <c r="C56" s="9">
        <v>25</v>
      </c>
      <c r="D56" s="9">
        <v>25</v>
      </c>
      <c r="E56" s="9">
        <v>25</v>
      </c>
      <c r="F56" s="9">
        <v>25</v>
      </c>
      <c r="G56" s="9">
        <v>25</v>
      </c>
      <c r="H56" s="9">
        <v>25</v>
      </c>
    </row>
    <row r="57" spans="1:8">
      <c r="A57" s="5">
        <v>25</v>
      </c>
      <c r="B57" s="5">
        <v>25</v>
      </c>
      <c r="C57" s="5">
        <v>25</v>
      </c>
      <c r="D57" s="5">
        <v>25</v>
      </c>
      <c r="E57" s="5">
        <v>25</v>
      </c>
      <c r="F57" s="5">
        <v>25</v>
      </c>
      <c r="G57" s="5">
        <v>25</v>
      </c>
      <c r="H57" s="5">
        <v>25</v>
      </c>
    </row>
    <row r="58" spans="1:8">
      <c r="A58" s="9">
        <v>50</v>
      </c>
      <c r="B58" s="9">
        <v>10</v>
      </c>
      <c r="C58" s="9">
        <v>20</v>
      </c>
      <c r="D58" s="9">
        <v>20</v>
      </c>
      <c r="E58" s="9">
        <v>70</v>
      </c>
      <c r="F58" s="9">
        <v>10</v>
      </c>
      <c r="G58" s="9">
        <v>10</v>
      </c>
      <c r="H58" s="9">
        <v>10</v>
      </c>
    </row>
    <row r="59" spans="1:8">
      <c r="A59" s="5">
        <v>25</v>
      </c>
      <c r="B59" s="5">
        <v>25</v>
      </c>
      <c r="C59" s="5">
        <v>25</v>
      </c>
      <c r="D59" s="5">
        <v>25</v>
      </c>
      <c r="E59" s="5">
        <v>25</v>
      </c>
      <c r="F59" s="5">
        <v>25</v>
      </c>
      <c r="G59" s="5">
        <v>25</v>
      </c>
      <c r="H59" s="5">
        <v>25</v>
      </c>
    </row>
    <row r="60" spans="1:8">
      <c r="A60" s="9">
        <v>20</v>
      </c>
      <c r="B60" s="9">
        <v>30</v>
      </c>
      <c r="C60" s="9">
        <v>30</v>
      </c>
      <c r="D60" s="9">
        <v>20</v>
      </c>
      <c r="E60" s="9">
        <v>20</v>
      </c>
      <c r="F60" s="9">
        <v>20</v>
      </c>
      <c r="G60" s="9">
        <v>20</v>
      </c>
      <c r="H60" s="9">
        <v>40</v>
      </c>
    </row>
    <row r="61" spans="1:8">
      <c r="A61" s="5">
        <v>50</v>
      </c>
      <c r="B61" s="5">
        <v>30</v>
      </c>
      <c r="C61" s="5">
        <v>10</v>
      </c>
      <c r="D61" s="5">
        <v>10</v>
      </c>
      <c r="E61" s="5">
        <v>10</v>
      </c>
      <c r="F61" s="5">
        <v>10</v>
      </c>
      <c r="G61" s="5">
        <v>40</v>
      </c>
      <c r="H61" s="5">
        <v>40</v>
      </c>
    </row>
    <row r="62" spans="1:8">
      <c r="A62" s="9">
        <v>70</v>
      </c>
      <c r="B62" s="9">
        <v>10</v>
      </c>
      <c r="C62" s="9">
        <v>10</v>
      </c>
      <c r="D62" s="9">
        <v>10</v>
      </c>
      <c r="E62" s="9">
        <v>60</v>
      </c>
      <c r="F62" s="9">
        <v>10</v>
      </c>
      <c r="G62" s="9">
        <v>10</v>
      </c>
      <c r="H62" s="9">
        <v>20</v>
      </c>
    </row>
    <row r="63" spans="1:8">
      <c r="A63" s="5">
        <v>30</v>
      </c>
      <c r="B63" s="5">
        <v>30</v>
      </c>
      <c r="C63" s="5">
        <v>10</v>
      </c>
      <c r="D63" s="5">
        <v>30</v>
      </c>
      <c r="E63" s="5">
        <v>10</v>
      </c>
      <c r="F63" s="5">
        <v>30</v>
      </c>
      <c r="G63" s="5">
        <v>30</v>
      </c>
      <c r="H63" s="5">
        <v>30</v>
      </c>
    </row>
    <row r="64" spans="1:8">
      <c r="A64" s="9">
        <v>10</v>
      </c>
      <c r="B64" s="9">
        <v>20</v>
      </c>
      <c r="C64" s="9">
        <v>50</v>
      </c>
      <c r="D64" s="9">
        <v>20</v>
      </c>
      <c r="E64" s="9">
        <v>20</v>
      </c>
      <c r="F64" s="9">
        <v>20</v>
      </c>
      <c r="G64" s="9">
        <v>30</v>
      </c>
      <c r="H64" s="9">
        <v>30</v>
      </c>
    </row>
    <row r="65" spans="1:8">
      <c r="A65" s="5">
        <v>20</v>
      </c>
      <c r="B65" s="5">
        <v>20</v>
      </c>
      <c r="C65" s="5">
        <v>30</v>
      </c>
      <c r="D65" s="5">
        <v>30</v>
      </c>
      <c r="E65" s="5">
        <v>20</v>
      </c>
      <c r="F65" s="5">
        <v>10</v>
      </c>
      <c r="G65" s="5">
        <v>40</v>
      </c>
      <c r="H65" s="5">
        <v>30</v>
      </c>
    </row>
    <row r="66" spans="1:8">
      <c r="A66" s="9">
        <v>30</v>
      </c>
      <c r="B66" s="9">
        <v>20</v>
      </c>
      <c r="C66" s="9">
        <v>20</v>
      </c>
      <c r="D66" s="9">
        <v>30</v>
      </c>
      <c r="E66" s="9">
        <v>20</v>
      </c>
      <c r="F66" s="9">
        <v>20</v>
      </c>
      <c r="G66" s="9">
        <v>20</v>
      </c>
      <c r="H66" s="9">
        <v>40</v>
      </c>
    </row>
    <row r="67" spans="1:8">
      <c r="A67" s="5">
        <v>40</v>
      </c>
      <c r="B67" s="5">
        <v>10</v>
      </c>
      <c r="C67" s="5">
        <v>20</v>
      </c>
      <c r="D67" s="5">
        <v>30</v>
      </c>
      <c r="E67" s="5">
        <v>35</v>
      </c>
      <c r="F67" s="5">
        <v>15</v>
      </c>
      <c r="G67" s="5">
        <v>25</v>
      </c>
      <c r="H67" s="5">
        <v>25</v>
      </c>
    </row>
    <row r="68" spans="1:8">
      <c r="A68" s="9">
        <v>40</v>
      </c>
      <c r="B68" s="9">
        <v>20</v>
      </c>
      <c r="C68" s="9">
        <v>20</v>
      </c>
      <c r="D68" s="9">
        <v>20</v>
      </c>
      <c r="E68" s="9">
        <v>35</v>
      </c>
      <c r="F68" s="9">
        <v>15</v>
      </c>
      <c r="G68" s="9">
        <v>25</v>
      </c>
      <c r="H68" s="9">
        <v>25</v>
      </c>
    </row>
    <row r="69" spans="1:8">
      <c r="A69" s="5">
        <v>30</v>
      </c>
      <c r="B69" s="5">
        <v>20</v>
      </c>
      <c r="C69" s="5">
        <v>20</v>
      </c>
      <c r="D69" s="5">
        <v>30</v>
      </c>
      <c r="E69" s="5">
        <v>30</v>
      </c>
      <c r="F69" s="5">
        <v>20</v>
      </c>
      <c r="G69" s="5">
        <v>20</v>
      </c>
      <c r="H69" s="5">
        <v>30</v>
      </c>
    </row>
    <row r="70" spans="1:8">
      <c r="A70" s="9">
        <v>30</v>
      </c>
      <c r="B70" s="9">
        <v>30</v>
      </c>
      <c r="C70" s="9">
        <v>20</v>
      </c>
      <c r="D70" s="9">
        <v>20</v>
      </c>
      <c r="E70" s="9">
        <v>40</v>
      </c>
      <c r="F70" s="9">
        <v>20</v>
      </c>
      <c r="G70" s="9">
        <v>20</v>
      </c>
      <c r="H70" s="9">
        <v>20</v>
      </c>
    </row>
    <row r="71" spans="1:8">
      <c r="A71" s="5">
        <v>70</v>
      </c>
      <c r="B71" s="5">
        <v>10</v>
      </c>
      <c r="C71" s="5">
        <v>10</v>
      </c>
      <c r="D71" s="5">
        <v>10</v>
      </c>
      <c r="E71" s="5">
        <v>70</v>
      </c>
      <c r="F71" s="5">
        <v>10</v>
      </c>
      <c r="G71" s="5">
        <v>10</v>
      </c>
      <c r="H71" s="5">
        <v>10</v>
      </c>
    </row>
    <row r="72" spans="1:8">
      <c r="A72" s="9">
        <v>20</v>
      </c>
      <c r="B72" s="9">
        <v>30</v>
      </c>
      <c r="C72" s="9">
        <v>30</v>
      </c>
      <c r="D72" s="9">
        <v>20</v>
      </c>
      <c r="E72" s="9">
        <v>20</v>
      </c>
      <c r="F72" s="9">
        <v>30</v>
      </c>
      <c r="G72" s="9">
        <v>30</v>
      </c>
      <c r="H72" s="9">
        <v>20</v>
      </c>
    </row>
    <row r="73" spans="1:8">
      <c r="A73" s="5">
        <v>30</v>
      </c>
      <c r="B73" s="5">
        <v>20</v>
      </c>
      <c r="C73" s="5">
        <v>30</v>
      </c>
      <c r="D73" s="5">
        <v>20</v>
      </c>
      <c r="E73" s="5">
        <v>40</v>
      </c>
      <c r="F73" s="5">
        <v>20</v>
      </c>
      <c r="G73" s="5">
        <v>30</v>
      </c>
      <c r="H73" s="5">
        <v>10</v>
      </c>
    </row>
    <row r="74" spans="1:8">
      <c r="A74" s="9">
        <v>20</v>
      </c>
      <c r="B74" s="9">
        <v>60</v>
      </c>
      <c r="C74" s="9">
        <v>10</v>
      </c>
      <c r="D74" s="9">
        <v>10</v>
      </c>
      <c r="E74" s="9">
        <v>60</v>
      </c>
      <c r="F74" s="9">
        <v>10</v>
      </c>
      <c r="G74" s="9">
        <v>10</v>
      </c>
      <c r="H74" s="9">
        <v>20</v>
      </c>
    </row>
    <row r="75" spans="1:8">
      <c r="A75" s="5">
        <v>40</v>
      </c>
      <c r="B75" s="5">
        <v>20</v>
      </c>
      <c r="C75" s="5">
        <v>20</v>
      </c>
      <c r="D75" s="5">
        <v>20</v>
      </c>
      <c r="E75" s="5">
        <v>40</v>
      </c>
      <c r="F75" s="5">
        <v>30</v>
      </c>
      <c r="G75" s="5">
        <v>15</v>
      </c>
      <c r="H75" s="5">
        <v>15</v>
      </c>
    </row>
    <row r="76" spans="1:8">
      <c r="A76" s="9">
        <v>40</v>
      </c>
      <c r="B76" s="9">
        <v>20</v>
      </c>
      <c r="C76" s="9">
        <v>20</v>
      </c>
      <c r="D76" s="9">
        <v>20</v>
      </c>
      <c r="E76" s="9">
        <v>25</v>
      </c>
      <c r="F76" s="9">
        <v>25</v>
      </c>
      <c r="G76" s="9">
        <v>25</v>
      </c>
      <c r="H76" s="9">
        <v>25</v>
      </c>
    </row>
    <row r="77" spans="1:8">
      <c r="A77" s="5">
        <v>40</v>
      </c>
      <c r="B77" s="5">
        <v>30</v>
      </c>
      <c r="C77" s="5">
        <v>15</v>
      </c>
      <c r="D77" s="5">
        <v>15</v>
      </c>
      <c r="E77" s="5">
        <v>25</v>
      </c>
      <c r="F77" s="5">
        <v>25</v>
      </c>
      <c r="G77" s="5">
        <v>25</v>
      </c>
      <c r="H77" s="5">
        <v>25</v>
      </c>
    </row>
    <row r="78" spans="1:8">
      <c r="A78" s="9">
        <v>30</v>
      </c>
      <c r="B78" s="9">
        <v>10</v>
      </c>
      <c r="C78" s="9">
        <v>30</v>
      </c>
      <c r="D78" s="9">
        <v>30</v>
      </c>
      <c r="E78" s="9">
        <v>30</v>
      </c>
      <c r="F78" s="9">
        <v>10</v>
      </c>
      <c r="G78" s="9">
        <v>30</v>
      </c>
      <c r="H78" s="9">
        <v>30</v>
      </c>
    </row>
    <row r="79" spans="1:8">
      <c r="A79" s="5">
        <v>30</v>
      </c>
      <c r="B79" s="5">
        <v>30</v>
      </c>
      <c r="C79" s="5">
        <v>20</v>
      </c>
      <c r="D79" s="5">
        <v>20</v>
      </c>
      <c r="E79" s="5">
        <v>30</v>
      </c>
      <c r="F79" s="5">
        <v>20</v>
      </c>
      <c r="G79" s="5">
        <v>30</v>
      </c>
      <c r="H79" s="5">
        <v>20</v>
      </c>
    </row>
    <row r="80" spans="1:8">
      <c r="A80" s="9">
        <v>10</v>
      </c>
      <c r="B80" s="9">
        <v>30</v>
      </c>
      <c r="C80" s="9">
        <v>30</v>
      </c>
      <c r="D80" s="9">
        <v>30</v>
      </c>
      <c r="E80" s="9">
        <v>25</v>
      </c>
      <c r="F80" s="9">
        <v>25</v>
      </c>
      <c r="G80" s="9">
        <v>25</v>
      </c>
      <c r="H80" s="9">
        <v>25</v>
      </c>
    </row>
    <row r="81" spans="1:8">
      <c r="A81" s="5">
        <v>40</v>
      </c>
      <c r="B81" s="5">
        <v>20</v>
      </c>
      <c r="C81" s="5">
        <v>20</v>
      </c>
      <c r="D81" s="5">
        <v>20</v>
      </c>
      <c r="E81" s="5">
        <v>40</v>
      </c>
      <c r="F81" s="5">
        <v>30</v>
      </c>
      <c r="G81" s="5">
        <v>20</v>
      </c>
      <c r="H81" s="5">
        <v>10</v>
      </c>
    </row>
    <row r="82" spans="1:8">
      <c r="A82" s="9">
        <v>30</v>
      </c>
      <c r="B82" s="9">
        <v>20</v>
      </c>
      <c r="C82" s="9">
        <v>20</v>
      </c>
      <c r="D82" s="9">
        <v>30</v>
      </c>
      <c r="E82" s="9">
        <v>20</v>
      </c>
      <c r="F82" s="9">
        <v>20</v>
      </c>
      <c r="G82" s="9">
        <v>30</v>
      </c>
      <c r="H82" s="9">
        <v>30</v>
      </c>
    </row>
    <row r="83" spans="1:8">
      <c r="A83" s="5">
        <v>40</v>
      </c>
      <c r="B83" s="5">
        <v>30</v>
      </c>
      <c r="C83" s="5">
        <v>10</v>
      </c>
      <c r="D83" s="5">
        <v>20</v>
      </c>
      <c r="E83" s="5">
        <v>20</v>
      </c>
      <c r="F83" s="5">
        <v>10</v>
      </c>
      <c r="G83" s="5">
        <v>35</v>
      </c>
      <c r="H83" s="5">
        <v>35</v>
      </c>
    </row>
    <row r="84" spans="1:8">
      <c r="A84" s="9">
        <v>35</v>
      </c>
      <c r="B84" s="9">
        <v>35</v>
      </c>
      <c r="C84" s="9">
        <v>15</v>
      </c>
      <c r="D84" s="9">
        <v>15</v>
      </c>
      <c r="E84" s="9">
        <v>10</v>
      </c>
      <c r="F84" s="9">
        <v>10</v>
      </c>
      <c r="G84" s="9">
        <v>70</v>
      </c>
      <c r="H84" s="9">
        <v>10</v>
      </c>
    </row>
    <row r="85" spans="1:8">
      <c r="A85" s="5">
        <v>40</v>
      </c>
      <c r="B85" s="5">
        <v>10</v>
      </c>
      <c r="C85" s="5">
        <v>20</v>
      </c>
      <c r="D85" s="5">
        <v>30</v>
      </c>
      <c r="E85" s="5">
        <v>40</v>
      </c>
      <c r="F85" s="5">
        <v>25</v>
      </c>
      <c r="G85" s="5">
        <v>25</v>
      </c>
      <c r="H85" s="5">
        <v>10</v>
      </c>
    </row>
    <row r="86" spans="1:8">
      <c r="A86" s="9">
        <v>35</v>
      </c>
      <c r="B86" s="9">
        <v>35</v>
      </c>
      <c r="C86" s="9">
        <v>15</v>
      </c>
      <c r="D86" s="9">
        <v>15</v>
      </c>
      <c r="E86" s="9">
        <v>25</v>
      </c>
      <c r="F86" s="9">
        <v>25</v>
      </c>
      <c r="G86" s="9">
        <v>25</v>
      </c>
      <c r="H86" s="9">
        <v>25</v>
      </c>
    </row>
    <row r="87" spans="1:8">
      <c r="A87" s="5">
        <v>30</v>
      </c>
      <c r="B87" s="5">
        <v>30</v>
      </c>
      <c r="C87" s="5">
        <v>10</v>
      </c>
      <c r="D87" s="5">
        <v>30</v>
      </c>
      <c r="E87" s="5">
        <v>30</v>
      </c>
      <c r="F87" s="5">
        <v>30</v>
      </c>
      <c r="G87" s="5">
        <v>20</v>
      </c>
      <c r="H87" s="5">
        <v>20</v>
      </c>
    </row>
    <row r="88" spans="1:8">
      <c r="A88" s="9">
        <v>30</v>
      </c>
      <c r="B88" s="9">
        <v>30</v>
      </c>
      <c r="C88" s="9">
        <v>20</v>
      </c>
      <c r="D88" s="9">
        <v>20</v>
      </c>
      <c r="E88" s="9">
        <v>30</v>
      </c>
      <c r="F88" s="9">
        <v>30</v>
      </c>
      <c r="G88" s="9">
        <v>20</v>
      </c>
      <c r="H88" s="9">
        <v>20</v>
      </c>
    </row>
    <row r="89" spans="1:8">
      <c r="A89" s="5">
        <v>40</v>
      </c>
      <c r="B89" s="5">
        <v>20</v>
      </c>
      <c r="C89" s="5">
        <v>20</v>
      </c>
      <c r="D89" s="5">
        <v>20</v>
      </c>
      <c r="E89" s="5">
        <v>40</v>
      </c>
      <c r="F89" s="5">
        <v>20</v>
      </c>
      <c r="G89" s="5">
        <v>20</v>
      </c>
      <c r="H89" s="5">
        <v>20</v>
      </c>
    </row>
    <row r="90" spans="1:8">
      <c r="A90" s="9">
        <v>40</v>
      </c>
      <c r="B90" s="9">
        <v>30</v>
      </c>
      <c r="C90" s="9">
        <v>15</v>
      </c>
      <c r="D90" s="9">
        <v>15</v>
      </c>
      <c r="E90" s="9">
        <v>25</v>
      </c>
      <c r="F90" s="9">
        <v>35</v>
      </c>
      <c r="G90" s="9">
        <v>15</v>
      </c>
      <c r="H90" s="9">
        <v>25</v>
      </c>
    </row>
    <row r="91" spans="1:8">
      <c r="A91" s="5">
        <v>30</v>
      </c>
      <c r="B91" s="5">
        <v>20</v>
      </c>
      <c r="C91" s="5">
        <v>20</v>
      </c>
      <c r="D91" s="5">
        <v>30</v>
      </c>
      <c r="E91" s="5">
        <v>30</v>
      </c>
      <c r="F91" s="5">
        <v>30</v>
      </c>
      <c r="G91" s="5">
        <v>20</v>
      </c>
      <c r="H91" s="5">
        <v>20</v>
      </c>
    </row>
    <row r="92" spans="1:8">
      <c r="A92" s="9">
        <v>30</v>
      </c>
      <c r="B92" s="9">
        <v>30</v>
      </c>
      <c r="C92" s="9">
        <v>20</v>
      </c>
      <c r="D92" s="9">
        <v>20</v>
      </c>
      <c r="E92" s="9">
        <v>30</v>
      </c>
      <c r="F92" s="9">
        <v>30</v>
      </c>
      <c r="G92" s="9">
        <v>20</v>
      </c>
      <c r="H92" s="9">
        <v>20</v>
      </c>
    </row>
    <row r="93" spans="1:8">
      <c r="A93" s="5">
        <v>70</v>
      </c>
      <c r="B93" s="5">
        <v>10</v>
      </c>
      <c r="C93" s="5">
        <v>10</v>
      </c>
      <c r="D93" s="5">
        <v>10</v>
      </c>
      <c r="E93" s="5">
        <v>25</v>
      </c>
      <c r="F93" s="5">
        <v>25</v>
      </c>
      <c r="G93" s="5">
        <v>25</v>
      </c>
      <c r="H93" s="5">
        <v>25</v>
      </c>
    </row>
    <row r="94" spans="1:8">
      <c r="A94" s="9">
        <v>30</v>
      </c>
      <c r="B94" s="9">
        <v>20</v>
      </c>
      <c r="C94" s="9">
        <v>20</v>
      </c>
      <c r="D94" s="9">
        <v>30</v>
      </c>
      <c r="E94" s="9">
        <v>30</v>
      </c>
      <c r="F94" s="9">
        <v>20</v>
      </c>
      <c r="G94" s="9">
        <v>20</v>
      </c>
      <c r="H94" s="9">
        <v>30</v>
      </c>
    </row>
    <row r="95" spans="1:8">
      <c r="A95" s="5">
        <v>30</v>
      </c>
      <c r="B95" s="5">
        <v>10</v>
      </c>
      <c r="C95" s="5">
        <v>30</v>
      </c>
      <c r="D95" s="5">
        <v>30</v>
      </c>
      <c r="E95" s="5">
        <v>30</v>
      </c>
      <c r="F95" s="5">
        <v>10</v>
      </c>
      <c r="G95" s="5">
        <v>30</v>
      </c>
      <c r="H95" s="5">
        <v>30</v>
      </c>
    </row>
    <row r="96" spans="1:8">
      <c r="A96" s="9">
        <v>30</v>
      </c>
      <c r="B96" s="9">
        <v>30</v>
      </c>
      <c r="C96" s="9">
        <v>20</v>
      </c>
      <c r="D96" s="9">
        <v>20</v>
      </c>
      <c r="E96" s="9">
        <v>30</v>
      </c>
      <c r="F96" s="9">
        <v>30</v>
      </c>
      <c r="G96" s="9">
        <v>20</v>
      </c>
      <c r="H96" s="9">
        <v>20</v>
      </c>
    </row>
    <row r="97" spans="1:8">
      <c r="A97" s="5">
        <v>10</v>
      </c>
      <c r="B97" s="5">
        <v>20</v>
      </c>
      <c r="C97" s="5">
        <v>30</v>
      </c>
      <c r="D97" s="5">
        <v>40</v>
      </c>
      <c r="E97" s="5">
        <v>10</v>
      </c>
      <c r="F97" s="5">
        <v>10</v>
      </c>
      <c r="G97" s="5">
        <v>30</v>
      </c>
      <c r="H97" s="5">
        <v>50</v>
      </c>
    </row>
    <row r="98" spans="1:8">
      <c r="A98" s="9">
        <v>20</v>
      </c>
      <c r="B98" s="9">
        <v>20</v>
      </c>
      <c r="C98" s="9">
        <v>20</v>
      </c>
      <c r="D98" s="9">
        <v>40</v>
      </c>
      <c r="E98" s="9">
        <v>30</v>
      </c>
      <c r="F98" s="9">
        <v>20</v>
      </c>
      <c r="G98" s="9">
        <v>20</v>
      </c>
      <c r="H98" s="9">
        <v>30</v>
      </c>
    </row>
    <row r="99" spans="1:8">
      <c r="A99" s="5">
        <v>25</v>
      </c>
      <c r="B99" s="5">
        <v>25</v>
      </c>
      <c r="C99" s="5">
        <v>25</v>
      </c>
      <c r="D99" s="5">
        <v>25</v>
      </c>
      <c r="E99" s="5">
        <v>25</v>
      </c>
      <c r="F99" s="5">
        <v>25</v>
      </c>
      <c r="G99" s="5">
        <v>25</v>
      </c>
      <c r="H99" s="5">
        <v>25</v>
      </c>
    </row>
    <row r="100" spans="1:8">
      <c r="A100" s="9">
        <v>70</v>
      </c>
      <c r="B100" s="9">
        <v>10</v>
      </c>
      <c r="C100" s="9">
        <v>10</v>
      </c>
      <c r="D100" s="9">
        <v>10</v>
      </c>
      <c r="E100" s="9">
        <v>70</v>
      </c>
      <c r="F100" s="9">
        <v>10</v>
      </c>
      <c r="G100" s="9">
        <v>10</v>
      </c>
      <c r="H100" s="9">
        <v>10</v>
      </c>
    </row>
    <row r="101" spans="1:8">
      <c r="A101" s="5">
        <v>20</v>
      </c>
      <c r="B101" s="5">
        <v>30</v>
      </c>
      <c r="C101" s="5">
        <v>30</v>
      </c>
      <c r="D101" s="5">
        <v>20</v>
      </c>
      <c r="E101" s="5">
        <v>30</v>
      </c>
      <c r="F101" s="5">
        <v>20</v>
      </c>
      <c r="G101" s="5">
        <v>20</v>
      </c>
      <c r="H101" s="5">
        <v>30</v>
      </c>
    </row>
    <row r="102" spans="1:8">
      <c r="A102" s="9">
        <v>25</v>
      </c>
      <c r="B102" s="9">
        <v>10</v>
      </c>
      <c r="C102" s="9">
        <v>25</v>
      </c>
      <c r="D102" s="9">
        <v>40</v>
      </c>
      <c r="E102" s="9">
        <v>30</v>
      </c>
      <c r="F102" s="9">
        <v>10</v>
      </c>
      <c r="G102" s="9">
        <v>20</v>
      </c>
      <c r="H102" s="9">
        <v>40</v>
      </c>
    </row>
    <row r="103" spans="1:8">
      <c r="A103" s="5">
        <v>25</v>
      </c>
      <c r="B103" s="5">
        <v>25</v>
      </c>
      <c r="C103" s="5">
        <v>25</v>
      </c>
      <c r="D103" s="5">
        <v>25</v>
      </c>
      <c r="E103" s="5">
        <v>25</v>
      </c>
      <c r="F103" s="5">
        <v>25</v>
      </c>
      <c r="G103" s="5">
        <v>25</v>
      </c>
      <c r="H103" s="5">
        <v>25</v>
      </c>
    </row>
    <row r="104" spans="1:8">
      <c r="A104" s="9">
        <v>25</v>
      </c>
      <c r="B104" s="9">
        <v>25</v>
      </c>
      <c r="C104" s="9">
        <v>25</v>
      </c>
      <c r="D104" s="9">
        <v>25</v>
      </c>
      <c r="E104" s="9">
        <v>25</v>
      </c>
      <c r="F104" s="9">
        <v>25</v>
      </c>
      <c r="G104" s="9">
        <v>25</v>
      </c>
      <c r="H104" s="9">
        <v>25</v>
      </c>
    </row>
    <row r="105" spans="1:8">
      <c r="A105" s="5">
        <v>30</v>
      </c>
      <c r="B105" s="5">
        <v>30</v>
      </c>
      <c r="C105" s="5">
        <v>20</v>
      </c>
      <c r="D105" s="5">
        <v>20</v>
      </c>
      <c r="E105" s="5">
        <v>40</v>
      </c>
      <c r="F105" s="5">
        <v>20</v>
      </c>
      <c r="G105" s="5">
        <v>20</v>
      </c>
      <c r="H105" s="5">
        <v>20</v>
      </c>
    </row>
    <row r="106" spans="1:8">
      <c r="A106" s="9">
        <v>30</v>
      </c>
      <c r="B106" s="9">
        <v>40</v>
      </c>
      <c r="C106" s="9">
        <v>20</v>
      </c>
      <c r="D106" s="9">
        <v>10</v>
      </c>
      <c r="E106" s="9">
        <v>30</v>
      </c>
      <c r="F106" s="9">
        <v>10</v>
      </c>
      <c r="G106" s="9">
        <v>30</v>
      </c>
      <c r="H106" s="9">
        <v>30</v>
      </c>
    </row>
    <row r="107" spans="1:8">
      <c r="A107" s="5">
        <v>40</v>
      </c>
      <c r="B107" s="5">
        <v>10</v>
      </c>
      <c r="C107" s="5">
        <v>30</v>
      </c>
      <c r="D107" s="5">
        <v>20</v>
      </c>
      <c r="E107" s="5">
        <v>20</v>
      </c>
      <c r="F107" s="5">
        <v>30</v>
      </c>
      <c r="G107" s="5">
        <v>30</v>
      </c>
      <c r="H107" s="5">
        <v>20</v>
      </c>
    </row>
    <row r="108" spans="1:8">
      <c r="A108" s="9">
        <v>40</v>
      </c>
      <c r="B108" s="9">
        <v>20</v>
      </c>
      <c r="C108" s="9">
        <v>20</v>
      </c>
      <c r="D108" s="9">
        <v>20</v>
      </c>
      <c r="E108" s="9">
        <v>70</v>
      </c>
      <c r="F108" s="9">
        <v>10</v>
      </c>
      <c r="G108" s="9">
        <v>10</v>
      </c>
      <c r="H108" s="9">
        <v>10</v>
      </c>
    </row>
    <row r="109" spans="1:8">
      <c r="A109" s="5">
        <v>30</v>
      </c>
      <c r="B109" s="5">
        <v>20</v>
      </c>
      <c r="C109" s="5">
        <v>30</v>
      </c>
      <c r="D109" s="5">
        <v>20</v>
      </c>
      <c r="E109" s="5">
        <v>30</v>
      </c>
      <c r="F109" s="5">
        <v>20</v>
      </c>
      <c r="G109" s="5">
        <v>30</v>
      </c>
      <c r="H109" s="5">
        <v>20</v>
      </c>
    </row>
    <row r="110" spans="1:8">
      <c r="A110" s="9">
        <v>20</v>
      </c>
      <c r="B110" s="9">
        <v>30</v>
      </c>
      <c r="C110" s="9">
        <v>20</v>
      </c>
      <c r="D110" s="9">
        <v>30</v>
      </c>
      <c r="E110" s="9">
        <v>10</v>
      </c>
      <c r="F110" s="9">
        <v>30</v>
      </c>
      <c r="G110" s="9">
        <v>30</v>
      </c>
      <c r="H110" s="9">
        <v>30</v>
      </c>
    </row>
    <row r="111" spans="1:8">
      <c r="A111" s="5">
        <v>40</v>
      </c>
      <c r="B111" s="5">
        <v>20</v>
      </c>
      <c r="C111" s="5">
        <v>20</v>
      </c>
      <c r="D111" s="5">
        <v>20</v>
      </c>
      <c r="E111" s="5">
        <v>30</v>
      </c>
      <c r="F111" s="5">
        <v>20</v>
      </c>
      <c r="G111" s="5">
        <v>30</v>
      </c>
      <c r="H111" s="5">
        <v>20</v>
      </c>
    </row>
    <row r="112" spans="1:8">
      <c r="A112" s="9">
        <v>30</v>
      </c>
      <c r="B112" s="9">
        <v>30</v>
      </c>
      <c r="C112" s="9">
        <v>20</v>
      </c>
      <c r="D112" s="9">
        <v>20</v>
      </c>
      <c r="E112" s="9">
        <v>20</v>
      </c>
      <c r="F112" s="9">
        <v>30</v>
      </c>
      <c r="G112" s="9">
        <v>20</v>
      </c>
      <c r="H112" s="9">
        <v>30</v>
      </c>
    </row>
    <row r="113" spans="1:8">
      <c r="A113" s="5">
        <v>30</v>
      </c>
      <c r="B113" s="5">
        <v>20</v>
      </c>
      <c r="C113" s="5">
        <v>20</v>
      </c>
      <c r="D113" s="5">
        <v>30</v>
      </c>
      <c r="E113" s="5">
        <v>30</v>
      </c>
      <c r="F113" s="5">
        <v>20</v>
      </c>
      <c r="G113" s="5">
        <v>20</v>
      </c>
      <c r="H113" s="5">
        <v>30</v>
      </c>
    </row>
    <row r="114" spans="1:8">
      <c r="A114" s="9">
        <v>30</v>
      </c>
      <c r="B114" s="9">
        <v>30</v>
      </c>
      <c r="C114" s="9">
        <v>30</v>
      </c>
      <c r="D114" s="9">
        <v>10</v>
      </c>
      <c r="E114" s="9">
        <v>25</v>
      </c>
      <c r="F114" s="9">
        <v>25</v>
      </c>
      <c r="G114" s="9">
        <v>25</v>
      </c>
      <c r="H114" s="9">
        <v>25</v>
      </c>
    </row>
    <row r="115" spans="1:8">
      <c r="A115" s="5">
        <v>35</v>
      </c>
      <c r="B115" s="5">
        <v>10</v>
      </c>
      <c r="C115" s="5">
        <v>35</v>
      </c>
      <c r="D115" s="5">
        <v>20</v>
      </c>
      <c r="E115" s="5">
        <v>20</v>
      </c>
      <c r="F115" s="5">
        <v>30</v>
      </c>
      <c r="G115" s="5">
        <v>30</v>
      </c>
      <c r="H115" s="5">
        <v>20</v>
      </c>
    </row>
    <row r="116" spans="1:8">
      <c r="A116" s="9">
        <v>25</v>
      </c>
      <c r="B116" s="9">
        <v>25</v>
      </c>
      <c r="C116" s="9">
        <v>25</v>
      </c>
      <c r="D116" s="9">
        <v>25</v>
      </c>
      <c r="E116" s="9">
        <v>30</v>
      </c>
      <c r="F116" s="9">
        <v>30</v>
      </c>
      <c r="G116" s="9">
        <v>30</v>
      </c>
      <c r="H116" s="9">
        <v>10</v>
      </c>
    </row>
    <row r="117" spans="1:8">
      <c r="A117" s="5">
        <v>10</v>
      </c>
      <c r="B117" s="5">
        <v>10</v>
      </c>
      <c r="C117" s="5">
        <v>40</v>
      </c>
      <c r="D117" s="5">
        <v>40</v>
      </c>
      <c r="E117" s="5">
        <v>20</v>
      </c>
      <c r="F117" s="5">
        <v>20</v>
      </c>
      <c r="G117" s="5">
        <v>30</v>
      </c>
      <c r="H117" s="5">
        <v>30</v>
      </c>
    </row>
    <row r="118" spans="1:8">
      <c r="A118" s="9">
        <v>30</v>
      </c>
      <c r="B118" s="9">
        <v>30</v>
      </c>
      <c r="C118" s="9">
        <v>20</v>
      </c>
      <c r="D118" s="9">
        <v>20</v>
      </c>
      <c r="E118" s="9">
        <v>30</v>
      </c>
      <c r="F118" s="9">
        <v>20</v>
      </c>
      <c r="G118" s="9">
        <v>30</v>
      </c>
      <c r="H118" s="9">
        <v>20</v>
      </c>
    </row>
    <row r="119" spans="1:8">
      <c r="A119" s="5">
        <v>60</v>
      </c>
      <c r="B119" s="5">
        <v>10</v>
      </c>
      <c r="C119" s="5">
        <v>20</v>
      </c>
      <c r="D119" s="5">
        <v>10</v>
      </c>
      <c r="E119" s="5">
        <v>60</v>
      </c>
      <c r="F119" s="5">
        <v>10</v>
      </c>
      <c r="G119" s="5">
        <v>20</v>
      </c>
      <c r="H119" s="5">
        <v>10</v>
      </c>
    </row>
    <row r="120" spans="1:8">
      <c r="A120" s="9">
        <v>70</v>
      </c>
      <c r="B120" s="9">
        <v>10</v>
      </c>
      <c r="C120" s="9">
        <v>10</v>
      </c>
      <c r="D120" s="9">
        <v>10</v>
      </c>
      <c r="E120" s="9">
        <v>70</v>
      </c>
      <c r="F120" s="9">
        <v>10</v>
      </c>
      <c r="G120" s="9">
        <v>10</v>
      </c>
      <c r="H120" s="9">
        <v>10</v>
      </c>
    </row>
    <row r="121" spans="1:8">
      <c r="A121" s="5">
        <v>50</v>
      </c>
      <c r="B121" s="5">
        <v>10</v>
      </c>
      <c r="C121" s="5">
        <v>10</v>
      </c>
      <c r="D121" s="5">
        <v>30</v>
      </c>
      <c r="E121" s="5">
        <v>10</v>
      </c>
      <c r="F121" s="5">
        <v>10</v>
      </c>
      <c r="G121" s="5">
        <v>40</v>
      </c>
      <c r="H121" s="5">
        <v>40</v>
      </c>
    </row>
    <row r="122" spans="1:8">
      <c r="A122" s="9">
        <v>50</v>
      </c>
      <c r="B122" s="9">
        <v>10</v>
      </c>
      <c r="C122" s="9">
        <v>10</v>
      </c>
      <c r="D122" s="9">
        <v>30</v>
      </c>
      <c r="E122" s="9">
        <v>10</v>
      </c>
      <c r="F122" s="9">
        <v>10</v>
      </c>
      <c r="G122" s="9">
        <v>40</v>
      </c>
      <c r="H122" s="9">
        <v>40</v>
      </c>
    </row>
    <row r="123" spans="1:8">
      <c r="A123" s="5">
        <v>50</v>
      </c>
      <c r="B123" s="5">
        <v>10</v>
      </c>
      <c r="C123" s="5">
        <v>10</v>
      </c>
      <c r="D123" s="5">
        <v>30</v>
      </c>
      <c r="E123" s="5">
        <v>10</v>
      </c>
      <c r="F123" s="5">
        <v>10</v>
      </c>
      <c r="G123" s="5">
        <v>40</v>
      </c>
      <c r="H123" s="5">
        <v>40</v>
      </c>
    </row>
    <row r="124" spans="1:8">
      <c r="A124" s="9">
        <v>40</v>
      </c>
      <c r="B124" s="9">
        <v>20</v>
      </c>
      <c r="C124" s="9">
        <v>20</v>
      </c>
      <c r="D124" s="9">
        <v>20</v>
      </c>
      <c r="E124" s="9">
        <v>30</v>
      </c>
      <c r="F124" s="9">
        <v>20</v>
      </c>
      <c r="G124" s="9">
        <v>30</v>
      </c>
      <c r="H124" s="9">
        <v>20</v>
      </c>
    </row>
    <row r="125" spans="1:8">
      <c r="A125" s="5">
        <v>40</v>
      </c>
      <c r="B125" s="5">
        <v>30</v>
      </c>
      <c r="C125" s="5">
        <v>10</v>
      </c>
      <c r="D125" s="5">
        <v>20</v>
      </c>
      <c r="E125" s="5">
        <v>50</v>
      </c>
      <c r="F125" s="5">
        <v>20</v>
      </c>
      <c r="G125" s="5">
        <v>10</v>
      </c>
      <c r="H125" s="5">
        <v>20</v>
      </c>
    </row>
    <row r="126" spans="1:8">
      <c r="A126" s="9">
        <v>50</v>
      </c>
      <c r="B126" s="9">
        <v>10</v>
      </c>
      <c r="C126" s="9">
        <v>10</v>
      </c>
      <c r="D126" s="9">
        <v>30</v>
      </c>
      <c r="E126" s="9">
        <v>10</v>
      </c>
      <c r="F126" s="9">
        <v>10</v>
      </c>
      <c r="G126" s="9">
        <v>40</v>
      </c>
      <c r="H126" s="9">
        <v>40</v>
      </c>
    </row>
    <row r="127" spans="1:8">
      <c r="A127" s="5">
        <v>60</v>
      </c>
      <c r="B127" s="5">
        <v>20</v>
      </c>
      <c r="C127" s="5">
        <v>10</v>
      </c>
      <c r="D127" s="5">
        <v>10</v>
      </c>
      <c r="E127" s="5">
        <v>40</v>
      </c>
      <c r="F127" s="5">
        <v>10</v>
      </c>
      <c r="G127" s="5">
        <v>40</v>
      </c>
      <c r="H127" s="5">
        <v>10</v>
      </c>
    </row>
    <row r="128" spans="1:8">
      <c r="A128" s="9">
        <v>25</v>
      </c>
      <c r="B128" s="9">
        <v>25</v>
      </c>
      <c r="C128" s="9">
        <v>25</v>
      </c>
      <c r="D128" s="9">
        <v>25</v>
      </c>
      <c r="E128" s="9">
        <v>30</v>
      </c>
      <c r="F128" s="9">
        <v>25</v>
      </c>
      <c r="G128" s="9">
        <v>30</v>
      </c>
      <c r="H128" s="9">
        <v>15</v>
      </c>
    </row>
    <row r="129" spans="1:8">
      <c r="A129" s="5">
        <v>40</v>
      </c>
      <c r="B129" s="5">
        <v>20</v>
      </c>
      <c r="C129" s="5">
        <v>10</v>
      </c>
      <c r="D129" s="5">
        <v>30</v>
      </c>
      <c r="E129" s="5">
        <v>20</v>
      </c>
      <c r="F129" s="5">
        <v>20</v>
      </c>
      <c r="G129" s="5">
        <v>20</v>
      </c>
      <c r="H129" s="5">
        <v>40</v>
      </c>
    </row>
    <row r="130" spans="1:8">
      <c r="A130" s="9">
        <v>70</v>
      </c>
      <c r="B130" s="9">
        <v>10</v>
      </c>
      <c r="C130" s="9">
        <v>10</v>
      </c>
      <c r="D130" s="9">
        <v>10</v>
      </c>
      <c r="E130" s="9">
        <v>60</v>
      </c>
      <c r="F130" s="9">
        <v>20</v>
      </c>
      <c r="G130" s="9">
        <v>10</v>
      </c>
      <c r="H130" s="9">
        <v>10</v>
      </c>
    </row>
    <row r="131" spans="1:8">
      <c r="A131" s="5">
        <v>70</v>
      </c>
      <c r="B131" s="5">
        <v>10</v>
      </c>
      <c r="C131" s="5">
        <v>10</v>
      </c>
      <c r="D131" s="5">
        <v>10</v>
      </c>
      <c r="E131" s="5">
        <v>10</v>
      </c>
      <c r="F131" s="5">
        <v>10</v>
      </c>
      <c r="G131" s="5">
        <v>10</v>
      </c>
      <c r="H131" s="5">
        <v>70</v>
      </c>
    </row>
    <row r="132" spans="1:8">
      <c r="A132" s="9">
        <v>50</v>
      </c>
      <c r="B132" s="9">
        <v>30</v>
      </c>
      <c r="C132" s="9">
        <v>10</v>
      </c>
      <c r="D132" s="9">
        <v>10</v>
      </c>
      <c r="E132" s="9">
        <v>50</v>
      </c>
      <c r="F132" s="9">
        <v>30</v>
      </c>
      <c r="G132" s="9">
        <v>10</v>
      </c>
      <c r="H132" s="9">
        <v>10</v>
      </c>
    </row>
    <row r="133" spans="1:8">
      <c r="A133" s="5">
        <v>10</v>
      </c>
      <c r="B133" s="5">
        <v>10</v>
      </c>
      <c r="C133" s="5">
        <v>40</v>
      </c>
      <c r="D133" s="5">
        <v>40</v>
      </c>
      <c r="E133" s="5">
        <v>20</v>
      </c>
      <c r="F133" s="5">
        <v>20</v>
      </c>
      <c r="G133" s="5">
        <v>40</v>
      </c>
      <c r="H133" s="5">
        <v>20</v>
      </c>
    </row>
    <row r="134" spans="1:8">
      <c r="A134" s="9"/>
      <c r="B134" s="9"/>
      <c r="C134" s="9"/>
      <c r="D134" s="9"/>
      <c r="E134" s="9"/>
      <c r="F134" s="9"/>
      <c r="G134" s="9"/>
      <c r="H134" s="9"/>
    </row>
    <row r="135" spans="1:8">
      <c r="A135" s="5"/>
      <c r="B135" s="5"/>
      <c r="C135" s="5"/>
      <c r="D135" s="5"/>
      <c r="E135" s="5"/>
      <c r="F135" s="5"/>
      <c r="G135" s="5"/>
      <c r="H135" s="5"/>
    </row>
    <row r="136" spans="1:8">
      <c r="A136" s="9"/>
      <c r="B136" s="9"/>
      <c r="C136" s="9"/>
      <c r="D136" s="9"/>
      <c r="E136" s="9"/>
      <c r="F136" s="9"/>
      <c r="G136" s="9"/>
      <c r="H136" s="9"/>
    </row>
    <row r="137" spans="1:8">
      <c r="A137" s="5"/>
      <c r="B137" s="5"/>
      <c r="C137" s="5"/>
      <c r="D137" s="5"/>
      <c r="E137" s="5"/>
      <c r="F137" s="5"/>
      <c r="G137" s="5"/>
      <c r="H137" s="5"/>
    </row>
    <row r="138" spans="1:8">
      <c r="A138" s="9"/>
      <c r="B138" s="9"/>
      <c r="C138" s="9"/>
      <c r="D138" s="9"/>
      <c r="E138" s="9"/>
      <c r="F138" s="9"/>
      <c r="G138" s="9"/>
      <c r="H138" s="9"/>
    </row>
    <row r="139" spans="1:8">
      <c r="A139" s="5"/>
      <c r="B139" s="5"/>
      <c r="C139" s="5"/>
      <c r="D139" s="5"/>
      <c r="E139" s="5"/>
      <c r="F139" s="5"/>
      <c r="G139" s="5"/>
      <c r="H139" s="5"/>
    </row>
    <row r="140" spans="1:8">
      <c r="A140" s="9"/>
      <c r="B140" s="9"/>
      <c r="C140" s="9"/>
      <c r="D140" s="9"/>
      <c r="E140" s="9"/>
      <c r="F140" s="9"/>
      <c r="G140" s="9"/>
      <c r="H140" s="9"/>
    </row>
    <row r="141" spans="1:8">
      <c r="A141" s="5"/>
      <c r="B141" s="5"/>
      <c r="C141" s="5"/>
      <c r="D141" s="5"/>
      <c r="E141" s="5"/>
      <c r="F141" s="5"/>
      <c r="G141" s="5"/>
      <c r="H141" s="5"/>
    </row>
    <row r="142" spans="1:8">
      <c r="A142" s="9"/>
      <c r="B142" s="9"/>
      <c r="C142" s="9"/>
      <c r="D142" s="9"/>
      <c r="E142" s="9"/>
      <c r="F142" s="9"/>
      <c r="G142" s="9"/>
      <c r="H142" s="9"/>
    </row>
    <row r="143" spans="1:8">
      <c r="A143" s="5"/>
      <c r="B143" s="5"/>
      <c r="C143" s="5"/>
      <c r="D143" s="5"/>
      <c r="E143" s="5"/>
      <c r="F143" s="5"/>
      <c r="G143" s="5"/>
      <c r="H143" s="5"/>
    </row>
    <row r="144" spans="1:8">
      <c r="A144" s="9"/>
      <c r="B144" s="9"/>
      <c r="C144" s="9"/>
      <c r="D144" s="9"/>
      <c r="E144" s="9"/>
      <c r="F144" s="9"/>
      <c r="G144" s="9"/>
      <c r="H144" s="9"/>
    </row>
    <row r="145" spans="1:8">
      <c r="A145" s="5"/>
      <c r="B145" s="5"/>
      <c r="C145" s="5"/>
      <c r="D145" s="5"/>
      <c r="E145" s="5"/>
      <c r="F145" s="5"/>
      <c r="G145" s="5"/>
      <c r="H145" s="5"/>
    </row>
    <row r="146" spans="1:8">
      <c r="A146" s="9"/>
      <c r="B146" s="9"/>
      <c r="C146" s="9"/>
      <c r="D146" s="9"/>
      <c r="E146" s="9"/>
      <c r="F146" s="9"/>
      <c r="G146" s="9"/>
      <c r="H146" s="9"/>
    </row>
    <row r="147" spans="1:8">
      <c r="A147" s="5"/>
      <c r="B147" s="5"/>
      <c r="C147" s="5"/>
      <c r="D147" s="5"/>
      <c r="E147" s="5"/>
      <c r="F147" s="5"/>
      <c r="G147" s="5"/>
      <c r="H147" s="5"/>
    </row>
    <row r="148" spans="1:8">
      <c r="A148" s="9"/>
      <c r="B148" s="9"/>
      <c r="C148" s="9"/>
      <c r="D148" s="9"/>
      <c r="E148" s="9"/>
      <c r="F148" s="9"/>
      <c r="G148" s="9"/>
      <c r="H148" s="9"/>
    </row>
    <row r="149" spans="1:8">
      <c r="A149" s="5"/>
      <c r="B149" s="5"/>
      <c r="C149" s="5"/>
      <c r="D149" s="5"/>
      <c r="E149" s="5"/>
      <c r="F149" s="5"/>
      <c r="G149" s="5"/>
      <c r="H149" s="5"/>
    </row>
    <row r="150" spans="1:8">
      <c r="A150" s="9"/>
      <c r="B150" s="9"/>
      <c r="C150" s="9"/>
      <c r="D150" s="9"/>
      <c r="E150" s="9"/>
      <c r="F150" s="9"/>
      <c r="G150" s="9"/>
      <c r="H150" s="9"/>
    </row>
    <row r="151" spans="1:8">
      <c r="A151" s="5"/>
      <c r="B151" s="5"/>
      <c r="C151" s="5"/>
      <c r="D151" s="5"/>
      <c r="E151" s="5"/>
      <c r="F151" s="5"/>
      <c r="G151" s="5"/>
      <c r="H151" s="5"/>
    </row>
    <row r="152" spans="1:8">
      <c r="A152" s="9"/>
      <c r="B152" s="9"/>
      <c r="C152" s="9"/>
      <c r="D152" s="9"/>
      <c r="E152" s="9"/>
      <c r="F152" s="9"/>
      <c r="G152" s="9"/>
      <c r="H152" s="9"/>
    </row>
    <row r="153" spans="1:8">
      <c r="A153" s="5"/>
      <c r="B153" s="5"/>
      <c r="C153" s="5"/>
      <c r="D153" s="5"/>
      <c r="E153" s="5"/>
      <c r="F153" s="5"/>
      <c r="G153" s="5"/>
      <c r="H153" s="5"/>
    </row>
    <row r="154" spans="1:8">
      <c r="A154" s="9"/>
      <c r="B154" s="9"/>
      <c r="C154" s="9"/>
      <c r="D154" s="9"/>
      <c r="E154" s="9"/>
      <c r="F154" s="9"/>
      <c r="G154" s="9"/>
      <c r="H154" s="9"/>
    </row>
    <row r="155" spans="1:8">
      <c r="A155" s="5"/>
      <c r="B155" s="5"/>
      <c r="C155" s="5"/>
      <c r="D155" s="5"/>
      <c r="E155" s="5"/>
      <c r="F155" s="5"/>
      <c r="G155" s="5"/>
      <c r="H155" s="5"/>
    </row>
    <row r="156" spans="1:8">
      <c r="A156" s="9"/>
      <c r="B156" s="9"/>
      <c r="C156" s="9"/>
      <c r="D156" s="9"/>
      <c r="E156" s="9"/>
      <c r="F156" s="9"/>
      <c r="G156" s="9"/>
      <c r="H156" s="9"/>
    </row>
    <row r="157" spans="1:8">
      <c r="A157" s="5"/>
      <c r="B157" s="5"/>
      <c r="C157" s="5"/>
      <c r="D157" s="5"/>
      <c r="E157" s="5"/>
      <c r="F157" s="5"/>
      <c r="G157" s="5"/>
      <c r="H157" s="5"/>
    </row>
    <row r="158" spans="1:8">
      <c r="A158" s="9"/>
      <c r="B158" s="9"/>
      <c r="C158" s="9"/>
      <c r="D158" s="9"/>
      <c r="E158" s="9"/>
      <c r="F158" s="9"/>
      <c r="G158" s="9"/>
      <c r="H158" s="9"/>
    </row>
    <row r="159" spans="1:8">
      <c r="A159" s="5"/>
      <c r="B159" s="5"/>
      <c r="C159" s="5"/>
      <c r="D159" s="5"/>
      <c r="E159" s="5"/>
      <c r="F159" s="5"/>
      <c r="G159" s="5"/>
      <c r="H159" s="5"/>
    </row>
    <row r="160" spans="1:8">
      <c r="A160" s="9"/>
      <c r="B160" s="9"/>
      <c r="C160" s="9"/>
      <c r="D160" s="9"/>
      <c r="E160" s="9"/>
      <c r="F160" s="9"/>
      <c r="G160" s="9"/>
      <c r="H160" s="9"/>
    </row>
    <row r="161" spans="1:8">
      <c r="A161" s="5"/>
      <c r="B161" s="5"/>
      <c r="C161" s="5"/>
      <c r="D161" s="5"/>
      <c r="E161" s="5"/>
      <c r="F161" s="5"/>
      <c r="G161" s="5"/>
      <c r="H161" s="5"/>
    </row>
    <row r="162" spans="1:8">
      <c r="A162" s="9"/>
      <c r="B162" s="9"/>
      <c r="C162" s="9"/>
      <c r="D162" s="9"/>
      <c r="E162" s="9"/>
      <c r="F162" s="9"/>
      <c r="G162" s="9"/>
      <c r="H162" s="9"/>
    </row>
    <row r="163" spans="1:8">
      <c r="A163" s="5"/>
      <c r="B163" s="5"/>
      <c r="C163" s="5"/>
      <c r="D163" s="5"/>
      <c r="E163" s="5"/>
      <c r="F163" s="5"/>
      <c r="G163" s="5"/>
      <c r="H163" s="5"/>
    </row>
    <row r="164" spans="1:8">
      <c r="A164" s="9"/>
      <c r="B164" s="9"/>
      <c r="C164" s="9"/>
      <c r="D164" s="9"/>
      <c r="E164" s="9"/>
      <c r="F164" s="9"/>
      <c r="G164" s="9"/>
      <c r="H164" s="9"/>
    </row>
    <row r="165" spans="1:8">
      <c r="A165" s="5"/>
      <c r="B165" s="5"/>
      <c r="C165" s="5"/>
      <c r="D165" s="5"/>
      <c r="E165" s="5"/>
      <c r="F165" s="5"/>
      <c r="G165" s="5"/>
      <c r="H165" s="5"/>
    </row>
    <row r="166" spans="1:8">
      <c r="A166" s="9"/>
      <c r="B166" s="9"/>
      <c r="C166" s="9"/>
      <c r="D166" s="9"/>
      <c r="E166" s="9"/>
      <c r="F166" s="9"/>
      <c r="G166" s="9"/>
      <c r="H166" s="9"/>
    </row>
    <row r="167" spans="1:8">
      <c r="A167" s="5"/>
      <c r="B167" s="5"/>
      <c r="C167" s="5"/>
      <c r="D167" s="5"/>
      <c r="E167" s="5"/>
      <c r="F167" s="5"/>
      <c r="G167" s="5"/>
      <c r="H167" s="5"/>
    </row>
    <row r="168" spans="1:8">
      <c r="A168" s="9"/>
      <c r="B168" s="9"/>
      <c r="C168" s="9"/>
      <c r="D168" s="9"/>
      <c r="E168" s="9"/>
      <c r="F168" s="9"/>
      <c r="G168" s="9"/>
      <c r="H168" s="9"/>
    </row>
    <row r="169" spans="1:8">
      <c r="A169" s="5"/>
      <c r="B169" s="5"/>
      <c r="C169" s="5"/>
      <c r="D169" s="5"/>
      <c r="E169" s="5"/>
      <c r="F169" s="5"/>
      <c r="G169" s="5"/>
      <c r="H169" s="5"/>
    </row>
    <row r="170" spans="1:8">
      <c r="A170" s="9"/>
      <c r="B170" s="9"/>
      <c r="C170" s="9"/>
      <c r="D170" s="9"/>
      <c r="E170" s="9"/>
      <c r="F170" s="9"/>
      <c r="G170" s="9"/>
      <c r="H170" s="9"/>
    </row>
    <row r="171" spans="1:8">
      <c r="A171" s="5"/>
      <c r="B171" s="5"/>
      <c r="C171" s="5"/>
      <c r="D171" s="5"/>
      <c r="E171" s="5"/>
      <c r="F171" s="5"/>
      <c r="G171" s="5"/>
      <c r="H171" s="5"/>
    </row>
    <row r="172" spans="1:8">
      <c r="A172" s="9"/>
      <c r="B172" s="9"/>
      <c r="C172" s="9"/>
      <c r="D172" s="9"/>
      <c r="E172" s="9"/>
      <c r="F172" s="9"/>
      <c r="G172" s="9"/>
      <c r="H172" s="9"/>
    </row>
    <row r="173" spans="1:8">
      <c r="A173" s="5"/>
      <c r="B173" s="5"/>
      <c r="C173" s="5"/>
      <c r="D173" s="5"/>
      <c r="E173" s="5"/>
      <c r="F173" s="5"/>
      <c r="G173" s="5"/>
      <c r="H173" s="5"/>
    </row>
    <row r="174" spans="1:8">
      <c r="A174" s="9"/>
      <c r="B174" s="9"/>
      <c r="C174" s="9"/>
      <c r="D174" s="9"/>
      <c r="E174" s="9"/>
      <c r="F174" s="9"/>
      <c r="G174" s="9"/>
      <c r="H174" s="9"/>
    </row>
    <row r="175" spans="1:8">
      <c r="A175" s="5"/>
      <c r="B175" s="5"/>
      <c r="C175" s="5"/>
      <c r="D175" s="5"/>
      <c r="E175" s="5"/>
      <c r="F175" s="5"/>
      <c r="G175" s="5"/>
      <c r="H175" s="5"/>
    </row>
    <row r="176" spans="1:8">
      <c r="A176" s="9"/>
      <c r="B176" s="9"/>
      <c r="C176" s="9"/>
      <c r="D176" s="9"/>
      <c r="E176" s="9"/>
      <c r="F176" s="9"/>
      <c r="G176" s="9"/>
      <c r="H176" s="9"/>
    </row>
    <row r="177" spans="1:8">
      <c r="A177" s="5"/>
      <c r="B177" s="5"/>
      <c r="C177" s="5"/>
      <c r="D177" s="5"/>
      <c r="E177" s="5"/>
      <c r="F177" s="5"/>
      <c r="G177" s="5"/>
      <c r="H177" s="5"/>
    </row>
    <row r="178" spans="1:8">
      <c r="A178" s="9"/>
      <c r="B178" s="9"/>
      <c r="C178" s="9"/>
      <c r="D178" s="9"/>
      <c r="E178" s="9"/>
      <c r="F178" s="9"/>
      <c r="G178" s="9"/>
      <c r="H178" s="9"/>
    </row>
    <row r="179" spans="1:8">
      <c r="A179" s="5"/>
      <c r="B179" s="5"/>
      <c r="C179" s="5"/>
      <c r="D179" s="5"/>
      <c r="E179" s="5"/>
      <c r="F179" s="5"/>
      <c r="G179" s="5"/>
      <c r="H179" s="5"/>
    </row>
    <row r="180" spans="1:8">
      <c r="A180" s="9"/>
      <c r="B180" s="9"/>
      <c r="C180" s="9"/>
      <c r="D180" s="9"/>
      <c r="E180" s="9"/>
      <c r="F180" s="9"/>
      <c r="G180" s="9"/>
      <c r="H180" s="9"/>
    </row>
    <row r="181" spans="1:8">
      <c r="A181" s="5"/>
      <c r="B181" s="5"/>
      <c r="C181" s="5"/>
      <c r="D181" s="5"/>
      <c r="E181" s="5"/>
      <c r="F181" s="5"/>
      <c r="G181" s="5"/>
      <c r="H181" s="5"/>
    </row>
    <row r="182" spans="1:8">
      <c r="A182" s="9"/>
      <c r="B182" s="9"/>
      <c r="C182" s="9"/>
      <c r="D182" s="9"/>
      <c r="E182" s="9"/>
      <c r="F182" s="9"/>
      <c r="G182" s="9"/>
      <c r="H182" s="9"/>
    </row>
    <row r="183" spans="1:8">
      <c r="A183" s="38"/>
      <c r="B183" s="38"/>
      <c r="C183" s="38"/>
      <c r="D183" s="38"/>
      <c r="E183" s="38"/>
      <c r="F183" s="38"/>
      <c r="G183" s="38"/>
      <c r="H183" s="38"/>
    </row>
    <row r="186" spans="1:8">
      <c r="A186" s="42"/>
      <c r="B186" s="42"/>
      <c r="C186" s="42"/>
      <c r="D186" s="42"/>
      <c r="E186" s="42"/>
      <c r="F186" s="42"/>
      <c r="G186" s="42"/>
      <c r="H186" s="42"/>
    </row>
  </sheetData>
  <mergeCells count="2">
    <mergeCell ref="A1:D1"/>
    <mergeCell ref="E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EA4D-2DFD-41BF-80E1-5520A84DB73C}">
  <dimension ref="A1:L186"/>
  <sheetViews>
    <sheetView topLeftCell="I1" workbookViewId="0">
      <selection activeCell="L9" sqref="L9"/>
    </sheetView>
  </sheetViews>
  <sheetFormatPr defaultRowHeight="14.5"/>
  <cols>
    <col min="1" max="1" width="9.453125" customWidth="1"/>
    <col min="3" max="3" width="9.81640625" customWidth="1"/>
    <col min="4" max="4" width="8" bestFit="1" customWidth="1"/>
    <col min="7" max="7" width="6.26953125" bestFit="1" customWidth="1"/>
    <col min="8" max="8" width="9.7265625" customWidth="1"/>
  </cols>
  <sheetData>
    <row r="1" spans="1:12">
      <c r="A1" s="46" t="s">
        <v>66</v>
      </c>
      <c r="B1" s="46"/>
      <c r="C1" s="46"/>
      <c r="D1" s="46"/>
      <c r="E1" s="46" t="s">
        <v>67</v>
      </c>
      <c r="F1" s="46"/>
      <c r="G1" s="46"/>
      <c r="H1" s="46"/>
      <c r="J1" s="44"/>
      <c r="K1" s="44" t="s">
        <v>80</v>
      </c>
      <c r="L1" s="44" t="s">
        <v>82</v>
      </c>
    </row>
    <row r="2" spans="1:12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77</v>
      </c>
      <c r="G2" s="2" t="s">
        <v>78</v>
      </c>
      <c r="H2" s="2" t="s">
        <v>79</v>
      </c>
      <c r="J2" s="45" t="s">
        <v>76</v>
      </c>
      <c r="K2" s="44">
        <f>AVERAGE(E3:E133)</f>
        <v>26.450381679389313</v>
      </c>
      <c r="L2" s="44">
        <f>AVERAGE(A3:A133)</f>
        <v>29.65648854961832</v>
      </c>
    </row>
    <row r="3" spans="1:12">
      <c r="A3" s="5">
        <v>30</v>
      </c>
      <c r="B3" s="5">
        <v>30</v>
      </c>
      <c r="C3" s="5">
        <v>20</v>
      </c>
      <c r="D3" s="5">
        <v>20</v>
      </c>
      <c r="E3" s="5">
        <v>30</v>
      </c>
      <c r="F3" s="5">
        <v>30</v>
      </c>
      <c r="G3" s="5">
        <v>20</v>
      </c>
      <c r="H3" s="5">
        <v>20</v>
      </c>
      <c r="J3" s="45" t="s">
        <v>77</v>
      </c>
      <c r="K3" s="44">
        <f>AVERAGE(F3:F133)</f>
        <v>22.824427480916029</v>
      </c>
      <c r="L3" s="44">
        <f>AVERAGE(B3:B133)</f>
        <v>23.931297709923665</v>
      </c>
    </row>
    <row r="4" spans="1:12">
      <c r="A4" s="9">
        <v>30</v>
      </c>
      <c r="B4" s="9">
        <v>30</v>
      </c>
      <c r="C4" s="9">
        <v>20</v>
      </c>
      <c r="D4" s="9">
        <v>20</v>
      </c>
      <c r="E4" s="9">
        <v>30</v>
      </c>
      <c r="F4" s="9">
        <v>30</v>
      </c>
      <c r="G4" s="9">
        <v>20</v>
      </c>
      <c r="H4" s="9">
        <v>20</v>
      </c>
      <c r="J4" s="45" t="s">
        <v>78</v>
      </c>
      <c r="K4" s="44">
        <f>AVERAGE(G3:G133)</f>
        <v>24.083969465648856</v>
      </c>
      <c r="L4" s="44">
        <f>AVERAGE(C3:C133)</f>
        <v>21.145038167938932</v>
      </c>
    </row>
    <row r="5" spans="1:12">
      <c r="A5" s="5">
        <v>25</v>
      </c>
      <c r="B5" s="5">
        <v>25</v>
      </c>
      <c r="C5" s="5">
        <v>25</v>
      </c>
      <c r="D5" s="5">
        <v>25</v>
      </c>
      <c r="E5" s="5">
        <v>25</v>
      </c>
      <c r="F5" s="5">
        <v>25</v>
      </c>
      <c r="G5" s="5">
        <v>25</v>
      </c>
      <c r="H5" s="5">
        <v>25</v>
      </c>
      <c r="J5" s="45" t="s">
        <v>79</v>
      </c>
      <c r="K5" s="44">
        <f>AVERAGE(H3:H133)</f>
        <v>26.641221374045802</v>
      </c>
      <c r="L5" s="44">
        <f>AVERAGE(D3:D133)</f>
        <v>25.267175572519083</v>
      </c>
    </row>
    <row r="6" spans="1:12">
      <c r="A6" s="9">
        <v>10</v>
      </c>
      <c r="B6" s="9">
        <v>40</v>
      </c>
      <c r="C6" s="9">
        <v>25</v>
      </c>
      <c r="D6" s="9">
        <v>25</v>
      </c>
      <c r="E6" s="9">
        <v>20</v>
      </c>
      <c r="F6" s="9">
        <v>30</v>
      </c>
      <c r="G6" s="9">
        <v>20</v>
      </c>
      <c r="H6" s="9">
        <v>30</v>
      </c>
    </row>
    <row r="7" spans="1:12">
      <c r="A7" s="5">
        <v>40</v>
      </c>
      <c r="B7" s="5">
        <v>20</v>
      </c>
      <c r="C7" s="5">
        <v>20</v>
      </c>
      <c r="D7" s="5">
        <v>20</v>
      </c>
      <c r="E7" s="5">
        <v>30</v>
      </c>
      <c r="F7" s="5">
        <v>30</v>
      </c>
      <c r="G7" s="5">
        <v>20</v>
      </c>
      <c r="H7" s="5">
        <v>20</v>
      </c>
    </row>
    <row r="8" spans="1:12">
      <c r="A8" s="9">
        <v>30</v>
      </c>
      <c r="B8" s="9">
        <v>30</v>
      </c>
      <c r="C8" s="9">
        <v>20</v>
      </c>
      <c r="D8" s="9">
        <v>20</v>
      </c>
      <c r="E8" s="9">
        <v>20</v>
      </c>
      <c r="F8" s="9">
        <v>30</v>
      </c>
      <c r="G8" s="9">
        <v>20</v>
      </c>
      <c r="H8" s="9">
        <v>30</v>
      </c>
    </row>
    <row r="9" spans="1:12">
      <c r="A9" s="5">
        <v>25</v>
      </c>
      <c r="B9" s="5">
        <v>25</v>
      </c>
      <c r="C9" s="5">
        <v>25</v>
      </c>
      <c r="D9" s="5">
        <v>25</v>
      </c>
      <c r="E9" s="5">
        <v>25</v>
      </c>
      <c r="F9" s="5">
        <v>25</v>
      </c>
      <c r="G9" s="5">
        <v>25</v>
      </c>
      <c r="H9" s="5">
        <v>25</v>
      </c>
    </row>
    <row r="10" spans="1:12">
      <c r="A10" s="9">
        <v>25</v>
      </c>
      <c r="B10" s="9">
        <v>25</v>
      </c>
      <c r="C10" s="9">
        <v>25</v>
      </c>
      <c r="D10" s="9">
        <v>25</v>
      </c>
      <c r="E10" s="9">
        <v>25</v>
      </c>
      <c r="F10" s="9">
        <v>25</v>
      </c>
      <c r="G10" s="9">
        <v>25</v>
      </c>
      <c r="H10" s="9">
        <v>25</v>
      </c>
    </row>
    <row r="11" spans="1:12">
      <c r="A11" s="5">
        <v>25</v>
      </c>
      <c r="B11" s="5">
        <v>25</v>
      </c>
      <c r="C11" s="5">
        <v>25</v>
      </c>
      <c r="D11" s="5">
        <v>25</v>
      </c>
      <c r="E11" s="5">
        <v>25</v>
      </c>
      <c r="F11" s="5">
        <v>25</v>
      </c>
      <c r="G11" s="5">
        <v>25</v>
      </c>
      <c r="H11" s="5">
        <v>25</v>
      </c>
    </row>
    <row r="12" spans="1:12">
      <c r="A12" s="9">
        <v>20</v>
      </c>
      <c r="B12" s="9">
        <v>20</v>
      </c>
      <c r="C12" s="9">
        <v>30</v>
      </c>
      <c r="D12" s="9">
        <v>30</v>
      </c>
      <c r="E12" s="9">
        <v>20</v>
      </c>
      <c r="F12" s="9">
        <v>20</v>
      </c>
      <c r="G12" s="9">
        <v>30</v>
      </c>
      <c r="H12" s="9">
        <v>30</v>
      </c>
    </row>
    <row r="13" spans="1:12">
      <c r="A13" s="5">
        <v>30</v>
      </c>
      <c r="B13" s="5">
        <v>30</v>
      </c>
      <c r="C13" s="5">
        <v>20</v>
      </c>
      <c r="D13" s="5">
        <v>20</v>
      </c>
      <c r="E13" s="5">
        <v>20</v>
      </c>
      <c r="F13" s="5">
        <v>20</v>
      </c>
      <c r="G13" s="5">
        <v>30</v>
      </c>
      <c r="H13" s="5">
        <v>30</v>
      </c>
    </row>
    <row r="14" spans="1:12">
      <c r="A14" s="9">
        <v>25</v>
      </c>
      <c r="B14" s="9">
        <v>25</v>
      </c>
      <c r="C14" s="9">
        <v>25</v>
      </c>
      <c r="D14" s="9">
        <v>25</v>
      </c>
      <c r="E14" s="9">
        <v>25</v>
      </c>
      <c r="F14" s="9">
        <v>25</v>
      </c>
      <c r="G14" s="9">
        <v>25</v>
      </c>
      <c r="H14" s="9">
        <v>25</v>
      </c>
    </row>
    <row r="15" spans="1:12">
      <c r="A15" s="5">
        <v>25</v>
      </c>
      <c r="B15" s="5">
        <v>25</v>
      </c>
      <c r="C15" s="5">
        <v>25</v>
      </c>
      <c r="D15" s="5">
        <v>25</v>
      </c>
      <c r="E15" s="5">
        <v>25</v>
      </c>
      <c r="F15" s="5">
        <v>25</v>
      </c>
      <c r="G15" s="5">
        <v>25</v>
      </c>
      <c r="H15" s="5">
        <v>25</v>
      </c>
    </row>
    <row r="16" spans="1:12">
      <c r="A16" s="9">
        <v>30</v>
      </c>
      <c r="B16" s="9">
        <v>20</v>
      </c>
      <c r="C16" s="9">
        <v>20</v>
      </c>
      <c r="D16" s="9">
        <v>30</v>
      </c>
      <c r="E16" s="9">
        <v>30</v>
      </c>
      <c r="F16" s="9">
        <v>20</v>
      </c>
      <c r="G16" s="9">
        <v>20</v>
      </c>
      <c r="H16" s="9">
        <v>30</v>
      </c>
    </row>
    <row r="17" spans="1:8">
      <c r="A17" s="5">
        <v>20</v>
      </c>
      <c r="B17" s="5">
        <v>30</v>
      </c>
      <c r="C17" s="5">
        <v>20</v>
      </c>
      <c r="D17" s="5">
        <v>30</v>
      </c>
      <c r="E17" s="5">
        <v>20</v>
      </c>
      <c r="F17" s="5">
        <v>30</v>
      </c>
      <c r="G17" s="5">
        <v>20</v>
      </c>
      <c r="H17" s="5">
        <v>30</v>
      </c>
    </row>
    <row r="18" spans="1:8">
      <c r="A18" s="9">
        <v>25</v>
      </c>
      <c r="B18" s="9">
        <v>25</v>
      </c>
      <c r="C18" s="9">
        <v>25</v>
      </c>
      <c r="D18" s="9">
        <v>25</v>
      </c>
      <c r="E18" s="9">
        <v>25</v>
      </c>
      <c r="F18" s="9">
        <v>25</v>
      </c>
      <c r="G18" s="9">
        <v>25</v>
      </c>
      <c r="H18" s="9">
        <v>25</v>
      </c>
    </row>
    <row r="19" spans="1:8">
      <c r="A19" s="5">
        <v>55</v>
      </c>
      <c r="B19" s="5">
        <v>15</v>
      </c>
      <c r="C19" s="5">
        <v>15</v>
      </c>
      <c r="D19" s="5">
        <v>15</v>
      </c>
      <c r="E19" s="5">
        <v>20</v>
      </c>
      <c r="F19" s="5">
        <v>10</v>
      </c>
      <c r="G19" s="5">
        <v>10</v>
      </c>
      <c r="H19" s="5">
        <v>60</v>
      </c>
    </row>
    <row r="20" spans="1:8">
      <c r="A20" s="9">
        <v>20</v>
      </c>
      <c r="B20" s="9">
        <v>30</v>
      </c>
      <c r="C20" s="9">
        <v>20</v>
      </c>
      <c r="D20" s="9">
        <v>30</v>
      </c>
      <c r="E20" s="9">
        <v>20</v>
      </c>
      <c r="F20" s="9">
        <v>30</v>
      </c>
      <c r="G20" s="9">
        <v>20</v>
      </c>
      <c r="H20" s="9">
        <v>30</v>
      </c>
    </row>
    <row r="21" spans="1:8">
      <c r="A21" s="5">
        <v>20</v>
      </c>
      <c r="B21" s="5">
        <v>30</v>
      </c>
      <c r="C21" s="5">
        <v>30</v>
      </c>
      <c r="D21" s="5">
        <v>20</v>
      </c>
      <c r="E21" s="5">
        <v>50</v>
      </c>
      <c r="F21" s="5">
        <v>20</v>
      </c>
      <c r="G21" s="5">
        <v>10</v>
      </c>
      <c r="H21" s="5">
        <v>20</v>
      </c>
    </row>
    <row r="22" spans="1:8">
      <c r="A22" s="9">
        <v>25</v>
      </c>
      <c r="B22" s="9">
        <v>25</v>
      </c>
      <c r="C22" s="9">
        <v>25</v>
      </c>
      <c r="D22" s="9">
        <v>25</v>
      </c>
      <c r="E22" s="9">
        <v>25</v>
      </c>
      <c r="F22" s="9">
        <v>25</v>
      </c>
      <c r="G22" s="9">
        <v>25</v>
      </c>
      <c r="H22" s="9">
        <v>25</v>
      </c>
    </row>
    <row r="23" spans="1:8">
      <c r="A23" s="5">
        <v>10</v>
      </c>
      <c r="B23" s="5">
        <v>10</v>
      </c>
      <c r="C23" s="5">
        <v>10</v>
      </c>
      <c r="D23" s="5">
        <v>70</v>
      </c>
      <c r="E23" s="5">
        <v>20</v>
      </c>
      <c r="F23" s="5">
        <v>10</v>
      </c>
      <c r="G23" s="5">
        <v>10</v>
      </c>
      <c r="H23" s="5">
        <v>60</v>
      </c>
    </row>
    <row r="24" spans="1:8">
      <c r="A24" s="9">
        <v>20</v>
      </c>
      <c r="B24" s="9">
        <v>20</v>
      </c>
      <c r="C24" s="9">
        <v>30</v>
      </c>
      <c r="D24" s="9">
        <v>30</v>
      </c>
      <c r="E24" s="9">
        <v>10</v>
      </c>
      <c r="F24" s="9">
        <v>10</v>
      </c>
      <c r="G24" s="9">
        <v>60</v>
      </c>
      <c r="H24" s="9">
        <v>20</v>
      </c>
    </row>
    <row r="25" spans="1:8">
      <c r="A25" s="5">
        <v>25</v>
      </c>
      <c r="B25" s="5">
        <v>25</v>
      </c>
      <c r="C25" s="5">
        <v>25</v>
      </c>
      <c r="D25" s="5">
        <v>25</v>
      </c>
      <c r="E25" s="5">
        <v>25</v>
      </c>
      <c r="F25" s="5">
        <v>25</v>
      </c>
      <c r="G25" s="5">
        <v>25</v>
      </c>
      <c r="H25" s="5">
        <v>25</v>
      </c>
    </row>
    <row r="26" spans="1:8">
      <c r="A26" s="9">
        <v>10</v>
      </c>
      <c r="B26" s="9">
        <v>10</v>
      </c>
      <c r="C26" s="9">
        <v>10</v>
      </c>
      <c r="D26" s="9">
        <v>70</v>
      </c>
      <c r="E26" s="9">
        <v>20</v>
      </c>
      <c r="F26" s="9">
        <v>20</v>
      </c>
      <c r="G26" s="9">
        <v>40</v>
      </c>
      <c r="H26" s="9">
        <v>20</v>
      </c>
    </row>
    <row r="27" spans="1:8">
      <c r="A27" s="5">
        <v>10</v>
      </c>
      <c r="B27" s="5">
        <v>10</v>
      </c>
      <c r="C27" s="5">
        <v>10</v>
      </c>
      <c r="D27" s="5">
        <v>70</v>
      </c>
      <c r="E27" s="5">
        <v>10</v>
      </c>
      <c r="F27" s="5">
        <v>10</v>
      </c>
      <c r="G27" s="5">
        <v>10</v>
      </c>
      <c r="H27" s="5">
        <v>70</v>
      </c>
    </row>
    <row r="28" spans="1:8">
      <c r="A28" s="9">
        <v>30</v>
      </c>
      <c r="B28" s="9">
        <v>20</v>
      </c>
      <c r="C28" s="9">
        <v>20</v>
      </c>
      <c r="D28" s="9">
        <v>30</v>
      </c>
      <c r="E28" s="9">
        <v>20</v>
      </c>
      <c r="F28" s="9">
        <v>20</v>
      </c>
      <c r="G28" s="9">
        <v>30</v>
      </c>
      <c r="H28" s="9">
        <v>30</v>
      </c>
    </row>
    <row r="29" spans="1:8">
      <c r="A29" s="5">
        <v>40</v>
      </c>
      <c r="B29" s="5">
        <v>15</v>
      </c>
      <c r="C29" s="5">
        <v>30</v>
      </c>
      <c r="D29" s="5">
        <v>15</v>
      </c>
      <c r="E29" s="5">
        <v>20</v>
      </c>
      <c r="F29" s="5">
        <v>20</v>
      </c>
      <c r="G29" s="5">
        <v>30</v>
      </c>
      <c r="H29" s="5">
        <v>30</v>
      </c>
    </row>
    <row r="30" spans="1:8">
      <c r="A30" s="9">
        <v>25</v>
      </c>
      <c r="B30" s="9">
        <v>25</v>
      </c>
      <c r="C30" s="9">
        <v>25</v>
      </c>
      <c r="D30" s="9">
        <v>25</v>
      </c>
      <c r="E30" s="9">
        <v>25</v>
      </c>
      <c r="F30" s="9">
        <v>25</v>
      </c>
      <c r="G30" s="9">
        <v>25</v>
      </c>
      <c r="H30" s="9">
        <v>25</v>
      </c>
    </row>
    <row r="31" spans="1:8">
      <c r="A31" s="5">
        <v>25</v>
      </c>
      <c r="B31" s="5">
        <v>25</v>
      </c>
      <c r="C31" s="5">
        <v>25</v>
      </c>
      <c r="D31" s="5">
        <v>25</v>
      </c>
      <c r="E31" s="5">
        <v>30</v>
      </c>
      <c r="F31" s="5">
        <v>30</v>
      </c>
      <c r="G31" s="5">
        <v>30</v>
      </c>
      <c r="H31" s="5">
        <v>10</v>
      </c>
    </row>
    <row r="32" spans="1:8">
      <c r="A32" s="9">
        <v>20</v>
      </c>
      <c r="B32" s="9">
        <v>30</v>
      </c>
      <c r="C32" s="9">
        <v>20</v>
      </c>
      <c r="D32" s="9">
        <v>30</v>
      </c>
      <c r="E32" s="9">
        <v>20</v>
      </c>
      <c r="F32" s="9">
        <v>20</v>
      </c>
      <c r="G32" s="9">
        <v>30</v>
      </c>
      <c r="H32" s="9">
        <v>30</v>
      </c>
    </row>
    <row r="33" spans="1:8">
      <c r="A33" s="5">
        <v>25</v>
      </c>
      <c r="B33" s="5">
        <v>25</v>
      </c>
      <c r="C33" s="5">
        <v>25</v>
      </c>
      <c r="D33" s="5">
        <v>25</v>
      </c>
      <c r="E33" s="5">
        <v>25</v>
      </c>
      <c r="F33" s="5">
        <v>25</v>
      </c>
      <c r="G33" s="5">
        <v>25</v>
      </c>
      <c r="H33" s="5">
        <v>25</v>
      </c>
    </row>
    <row r="34" spans="1:8">
      <c r="A34" s="9">
        <v>30</v>
      </c>
      <c r="B34" s="9">
        <v>30</v>
      </c>
      <c r="C34" s="9">
        <v>20</v>
      </c>
      <c r="D34" s="9">
        <v>20</v>
      </c>
      <c r="E34" s="9">
        <v>30</v>
      </c>
      <c r="F34" s="9">
        <v>30</v>
      </c>
      <c r="G34" s="9">
        <v>20</v>
      </c>
      <c r="H34" s="9">
        <v>20</v>
      </c>
    </row>
    <row r="35" spans="1:8">
      <c r="A35" s="5">
        <v>40</v>
      </c>
      <c r="B35" s="5">
        <v>20</v>
      </c>
      <c r="C35" s="5">
        <v>20</v>
      </c>
      <c r="D35" s="5">
        <v>20</v>
      </c>
      <c r="E35" s="5">
        <v>30</v>
      </c>
      <c r="F35" s="5">
        <v>20</v>
      </c>
      <c r="G35" s="5">
        <v>20</v>
      </c>
      <c r="H35" s="5">
        <v>30</v>
      </c>
    </row>
    <row r="36" spans="1:8">
      <c r="A36" s="9">
        <v>30</v>
      </c>
      <c r="B36" s="9">
        <v>10</v>
      </c>
      <c r="C36" s="9">
        <v>30</v>
      </c>
      <c r="D36" s="9">
        <v>30</v>
      </c>
      <c r="E36" s="9">
        <v>10</v>
      </c>
      <c r="F36" s="9">
        <v>30</v>
      </c>
      <c r="G36" s="9">
        <v>30</v>
      </c>
      <c r="H36" s="9">
        <v>30</v>
      </c>
    </row>
    <row r="37" spans="1:8">
      <c r="A37" s="5">
        <v>20</v>
      </c>
      <c r="B37" s="5">
        <v>10</v>
      </c>
      <c r="C37" s="5">
        <v>30</v>
      </c>
      <c r="D37" s="5">
        <v>40</v>
      </c>
      <c r="E37" s="5">
        <v>20</v>
      </c>
      <c r="F37" s="5">
        <v>10</v>
      </c>
      <c r="G37" s="5">
        <v>30</v>
      </c>
      <c r="H37" s="5">
        <v>40</v>
      </c>
    </row>
    <row r="38" spans="1:8">
      <c r="A38" s="9">
        <v>30</v>
      </c>
      <c r="B38" s="9">
        <v>20</v>
      </c>
      <c r="C38" s="9">
        <v>20</v>
      </c>
      <c r="D38" s="9">
        <v>30</v>
      </c>
      <c r="E38" s="9">
        <v>20</v>
      </c>
      <c r="F38" s="9">
        <v>20</v>
      </c>
      <c r="G38" s="9">
        <v>20</v>
      </c>
      <c r="H38" s="9">
        <v>40</v>
      </c>
    </row>
    <row r="39" spans="1:8">
      <c r="A39" s="5">
        <v>20</v>
      </c>
      <c r="B39" s="5">
        <v>30</v>
      </c>
      <c r="C39" s="5">
        <v>20</v>
      </c>
      <c r="D39" s="5">
        <v>30</v>
      </c>
      <c r="E39" s="5">
        <v>20</v>
      </c>
      <c r="F39" s="5">
        <v>30</v>
      </c>
      <c r="G39" s="5">
        <v>20</v>
      </c>
      <c r="H39" s="5">
        <v>30</v>
      </c>
    </row>
    <row r="40" spans="1:8">
      <c r="A40" s="9">
        <v>25</v>
      </c>
      <c r="B40" s="9">
        <v>25</v>
      </c>
      <c r="C40" s="9">
        <v>25</v>
      </c>
      <c r="D40" s="9">
        <v>25</v>
      </c>
      <c r="E40" s="9">
        <v>25</v>
      </c>
      <c r="F40" s="9">
        <v>25</v>
      </c>
      <c r="G40" s="9">
        <v>25</v>
      </c>
      <c r="H40" s="9">
        <v>25</v>
      </c>
    </row>
    <row r="41" spans="1:8">
      <c r="A41" s="5">
        <v>25</v>
      </c>
      <c r="B41" s="5">
        <v>25</v>
      </c>
      <c r="C41" s="5">
        <v>25</v>
      </c>
      <c r="D41" s="5">
        <v>25</v>
      </c>
      <c r="E41" s="5">
        <v>25</v>
      </c>
      <c r="F41" s="5">
        <v>25</v>
      </c>
      <c r="G41" s="5">
        <v>25</v>
      </c>
      <c r="H41" s="5">
        <v>25</v>
      </c>
    </row>
    <row r="42" spans="1:8">
      <c r="A42" s="9">
        <v>40</v>
      </c>
      <c r="B42" s="9">
        <v>30</v>
      </c>
      <c r="C42" s="9">
        <v>20</v>
      </c>
      <c r="D42" s="9">
        <v>10</v>
      </c>
      <c r="E42" s="9">
        <v>40</v>
      </c>
      <c r="F42" s="9">
        <v>30</v>
      </c>
      <c r="G42" s="9">
        <v>20</v>
      </c>
      <c r="H42" s="9">
        <v>10</v>
      </c>
    </row>
    <row r="43" spans="1:8">
      <c r="A43" s="5">
        <v>20</v>
      </c>
      <c r="B43" s="5">
        <v>20</v>
      </c>
      <c r="C43" s="5">
        <v>30</v>
      </c>
      <c r="D43" s="5">
        <v>30</v>
      </c>
      <c r="E43" s="5">
        <v>20</v>
      </c>
      <c r="F43" s="5">
        <v>20</v>
      </c>
      <c r="G43" s="5">
        <v>20</v>
      </c>
      <c r="H43" s="5">
        <v>40</v>
      </c>
    </row>
    <row r="44" spans="1:8">
      <c r="A44" s="9">
        <v>50</v>
      </c>
      <c r="B44" s="9">
        <v>30</v>
      </c>
      <c r="C44" s="9">
        <v>10</v>
      </c>
      <c r="D44" s="9">
        <v>10</v>
      </c>
      <c r="E44" s="9">
        <v>40</v>
      </c>
      <c r="F44" s="9">
        <v>20</v>
      </c>
      <c r="G44" s="9">
        <v>20</v>
      </c>
      <c r="H44" s="9">
        <v>20</v>
      </c>
    </row>
    <row r="45" spans="1:8">
      <c r="A45" s="5">
        <v>15</v>
      </c>
      <c r="B45" s="5">
        <v>40</v>
      </c>
      <c r="C45" s="5">
        <v>30</v>
      </c>
      <c r="D45" s="5">
        <v>15</v>
      </c>
      <c r="E45" s="5">
        <v>20</v>
      </c>
      <c r="F45" s="5">
        <v>10</v>
      </c>
      <c r="G45" s="5">
        <v>30</v>
      </c>
      <c r="H45" s="5">
        <v>40</v>
      </c>
    </row>
    <row r="46" spans="1:8">
      <c r="A46" s="9">
        <v>20</v>
      </c>
      <c r="B46" s="9">
        <v>30</v>
      </c>
      <c r="C46" s="9">
        <v>10</v>
      </c>
      <c r="D46" s="9">
        <v>40</v>
      </c>
      <c r="E46" s="9">
        <v>10</v>
      </c>
      <c r="F46" s="9">
        <v>20</v>
      </c>
      <c r="G46" s="9">
        <v>40</v>
      </c>
      <c r="H46" s="9">
        <v>30</v>
      </c>
    </row>
    <row r="47" spans="1:8">
      <c r="A47" s="5">
        <v>20</v>
      </c>
      <c r="B47" s="5">
        <v>20</v>
      </c>
      <c r="C47" s="5">
        <v>20</v>
      </c>
      <c r="D47" s="5">
        <v>40</v>
      </c>
      <c r="E47" s="5">
        <v>25</v>
      </c>
      <c r="F47" s="5">
        <v>25</v>
      </c>
      <c r="G47" s="5">
        <v>25</v>
      </c>
      <c r="H47" s="5">
        <v>25</v>
      </c>
    </row>
    <row r="48" spans="1:8">
      <c r="A48" s="9">
        <v>25</v>
      </c>
      <c r="B48" s="9">
        <v>25</v>
      </c>
      <c r="C48" s="9">
        <v>25</v>
      </c>
      <c r="D48" s="9">
        <v>25</v>
      </c>
      <c r="E48" s="9">
        <v>30</v>
      </c>
      <c r="F48" s="9">
        <v>30</v>
      </c>
      <c r="G48" s="9">
        <v>30</v>
      </c>
      <c r="H48" s="9">
        <v>10</v>
      </c>
    </row>
    <row r="49" spans="1:8">
      <c r="A49" s="5">
        <v>20</v>
      </c>
      <c r="B49" s="5">
        <v>30</v>
      </c>
      <c r="C49" s="5">
        <v>30</v>
      </c>
      <c r="D49" s="5">
        <v>20</v>
      </c>
      <c r="E49" s="5">
        <v>10</v>
      </c>
      <c r="F49" s="5">
        <v>30</v>
      </c>
      <c r="G49" s="5">
        <v>30</v>
      </c>
      <c r="H49" s="5">
        <v>30</v>
      </c>
    </row>
    <row r="50" spans="1:8">
      <c r="A50" s="9">
        <v>25</v>
      </c>
      <c r="B50" s="9">
        <v>25</v>
      </c>
      <c r="C50" s="9">
        <v>25</v>
      </c>
      <c r="D50" s="9">
        <v>25</v>
      </c>
      <c r="E50" s="9">
        <v>30</v>
      </c>
      <c r="F50" s="9">
        <v>30</v>
      </c>
      <c r="G50" s="9">
        <v>10</v>
      </c>
      <c r="H50" s="9">
        <v>30</v>
      </c>
    </row>
    <row r="51" spans="1:8">
      <c r="A51" s="5">
        <v>30</v>
      </c>
      <c r="B51" s="5">
        <v>30</v>
      </c>
      <c r="C51" s="5">
        <v>20</v>
      </c>
      <c r="D51" s="5">
        <v>20</v>
      </c>
      <c r="E51" s="5">
        <v>30</v>
      </c>
      <c r="F51" s="5">
        <v>30</v>
      </c>
      <c r="G51" s="5">
        <v>20</v>
      </c>
      <c r="H51" s="5">
        <v>20</v>
      </c>
    </row>
    <row r="52" spans="1:8">
      <c r="A52" s="9">
        <v>10</v>
      </c>
      <c r="B52" s="9">
        <v>10</v>
      </c>
      <c r="C52" s="9">
        <v>10</v>
      </c>
      <c r="D52" s="9">
        <v>70</v>
      </c>
      <c r="E52" s="9">
        <v>70</v>
      </c>
      <c r="F52" s="9">
        <v>10</v>
      </c>
      <c r="G52" s="9">
        <v>10</v>
      </c>
      <c r="H52" s="9">
        <v>10</v>
      </c>
    </row>
    <row r="53" spans="1:8">
      <c r="A53" s="5">
        <v>40</v>
      </c>
      <c r="B53" s="5">
        <v>20</v>
      </c>
      <c r="C53" s="5">
        <v>10</v>
      </c>
      <c r="D53" s="5">
        <v>30</v>
      </c>
      <c r="E53" s="5">
        <v>20</v>
      </c>
      <c r="F53" s="5">
        <v>20</v>
      </c>
      <c r="G53" s="5">
        <v>20</v>
      </c>
      <c r="H53" s="5">
        <v>40</v>
      </c>
    </row>
    <row r="54" spans="1:8">
      <c r="A54" s="9">
        <v>20</v>
      </c>
      <c r="B54" s="9">
        <v>30</v>
      </c>
      <c r="C54" s="9">
        <v>20</v>
      </c>
      <c r="D54" s="9">
        <v>30</v>
      </c>
      <c r="E54" s="9">
        <v>20</v>
      </c>
      <c r="F54" s="9">
        <v>30</v>
      </c>
      <c r="G54" s="9">
        <v>20</v>
      </c>
      <c r="H54" s="9">
        <v>30</v>
      </c>
    </row>
    <row r="55" spans="1:8">
      <c r="A55" s="5">
        <v>25</v>
      </c>
      <c r="B55" s="5">
        <v>25</v>
      </c>
      <c r="C55" s="5">
        <v>25</v>
      </c>
      <c r="D55" s="5">
        <v>25</v>
      </c>
      <c r="E55" s="5">
        <v>25</v>
      </c>
      <c r="F55" s="5">
        <v>25</v>
      </c>
      <c r="G55" s="5">
        <v>25</v>
      </c>
      <c r="H55" s="5">
        <v>25</v>
      </c>
    </row>
    <row r="56" spans="1:8">
      <c r="A56" s="9">
        <v>25</v>
      </c>
      <c r="B56" s="9">
        <v>25</v>
      </c>
      <c r="C56" s="9">
        <v>25</v>
      </c>
      <c r="D56" s="9">
        <v>25</v>
      </c>
      <c r="E56" s="9">
        <v>25</v>
      </c>
      <c r="F56" s="9">
        <v>25</v>
      </c>
      <c r="G56" s="9">
        <v>25</v>
      </c>
      <c r="H56" s="9">
        <v>25</v>
      </c>
    </row>
    <row r="57" spans="1:8">
      <c r="A57" s="5">
        <v>30</v>
      </c>
      <c r="B57" s="5">
        <v>30</v>
      </c>
      <c r="C57" s="5">
        <v>10</v>
      </c>
      <c r="D57" s="5">
        <v>30</v>
      </c>
      <c r="E57" s="5">
        <v>20</v>
      </c>
      <c r="F57" s="5">
        <v>40</v>
      </c>
      <c r="G57" s="5">
        <v>20</v>
      </c>
      <c r="H57" s="5">
        <v>20</v>
      </c>
    </row>
    <row r="58" spans="1:8">
      <c r="A58" s="9">
        <v>30</v>
      </c>
      <c r="B58" s="9">
        <v>30</v>
      </c>
      <c r="C58" s="9">
        <v>10</v>
      </c>
      <c r="D58" s="9">
        <v>30</v>
      </c>
      <c r="E58" s="9">
        <v>30</v>
      </c>
      <c r="F58" s="9">
        <v>30</v>
      </c>
      <c r="G58" s="9">
        <v>10</v>
      </c>
      <c r="H58" s="9">
        <v>30</v>
      </c>
    </row>
    <row r="59" spans="1:8">
      <c r="A59" s="5">
        <v>25</v>
      </c>
      <c r="B59" s="5">
        <v>25</v>
      </c>
      <c r="C59" s="5">
        <v>25</v>
      </c>
      <c r="D59" s="5">
        <v>25</v>
      </c>
      <c r="E59" s="5">
        <v>25</v>
      </c>
      <c r="F59" s="5">
        <v>25</v>
      </c>
      <c r="G59" s="5">
        <v>25</v>
      </c>
      <c r="H59" s="5">
        <v>25</v>
      </c>
    </row>
    <row r="60" spans="1:8">
      <c r="A60" s="9">
        <v>25</v>
      </c>
      <c r="B60" s="9">
        <v>25</v>
      </c>
      <c r="C60" s="9">
        <v>25</v>
      </c>
      <c r="D60" s="9">
        <v>25</v>
      </c>
      <c r="E60" s="9">
        <v>25</v>
      </c>
      <c r="F60" s="9">
        <v>25</v>
      </c>
      <c r="G60" s="9">
        <v>25</v>
      </c>
      <c r="H60" s="9">
        <v>25</v>
      </c>
    </row>
    <row r="61" spans="1:8">
      <c r="A61" s="5">
        <v>40</v>
      </c>
      <c r="B61" s="5">
        <v>40</v>
      </c>
      <c r="C61" s="5">
        <v>10</v>
      </c>
      <c r="D61" s="5">
        <v>10</v>
      </c>
      <c r="E61" s="5">
        <v>40</v>
      </c>
      <c r="F61" s="5">
        <v>10</v>
      </c>
      <c r="G61" s="5">
        <v>10</v>
      </c>
      <c r="H61" s="5">
        <v>40</v>
      </c>
    </row>
    <row r="62" spans="1:8">
      <c r="A62" s="9">
        <v>60</v>
      </c>
      <c r="B62" s="9">
        <v>10</v>
      </c>
      <c r="C62" s="9">
        <v>10</v>
      </c>
      <c r="D62" s="9">
        <v>20</v>
      </c>
      <c r="E62" s="9">
        <v>50</v>
      </c>
      <c r="F62" s="9">
        <v>10</v>
      </c>
      <c r="G62" s="9">
        <v>30</v>
      </c>
      <c r="H62" s="9">
        <v>10</v>
      </c>
    </row>
    <row r="63" spans="1:8">
      <c r="A63" s="5">
        <v>30</v>
      </c>
      <c r="B63" s="5">
        <v>30</v>
      </c>
      <c r="C63" s="5">
        <v>30</v>
      </c>
      <c r="D63" s="5">
        <v>10</v>
      </c>
      <c r="E63" s="5">
        <v>20</v>
      </c>
      <c r="F63" s="5">
        <v>10</v>
      </c>
      <c r="G63" s="5">
        <v>50</v>
      </c>
      <c r="H63" s="5">
        <v>20</v>
      </c>
    </row>
    <row r="64" spans="1:8">
      <c r="A64" s="9">
        <v>20</v>
      </c>
      <c r="B64" s="9">
        <v>30</v>
      </c>
      <c r="C64" s="9">
        <v>30</v>
      </c>
      <c r="D64" s="9">
        <v>20</v>
      </c>
      <c r="E64" s="9">
        <v>30</v>
      </c>
      <c r="F64" s="9">
        <v>30</v>
      </c>
      <c r="G64" s="9">
        <v>20</v>
      </c>
      <c r="H64" s="9">
        <v>20</v>
      </c>
    </row>
    <row r="65" spans="1:8">
      <c r="A65" s="5">
        <v>30</v>
      </c>
      <c r="B65" s="5">
        <v>30</v>
      </c>
      <c r="C65" s="5">
        <v>20</v>
      </c>
      <c r="D65" s="5">
        <v>20</v>
      </c>
      <c r="E65" s="5">
        <v>20</v>
      </c>
      <c r="F65" s="5">
        <v>30</v>
      </c>
      <c r="G65" s="5">
        <v>20</v>
      </c>
      <c r="H65" s="5">
        <v>30</v>
      </c>
    </row>
    <row r="66" spans="1:8">
      <c r="A66" s="9">
        <v>30</v>
      </c>
      <c r="B66" s="9">
        <v>20</v>
      </c>
      <c r="C66" s="9">
        <v>20</v>
      </c>
      <c r="D66" s="9">
        <v>30</v>
      </c>
      <c r="E66" s="9">
        <v>20</v>
      </c>
      <c r="F66" s="9">
        <v>20</v>
      </c>
      <c r="G66" s="9">
        <v>20</v>
      </c>
      <c r="H66" s="9">
        <v>40</v>
      </c>
    </row>
    <row r="67" spans="1:8">
      <c r="A67" s="5">
        <v>20</v>
      </c>
      <c r="B67" s="5">
        <v>30</v>
      </c>
      <c r="C67" s="5">
        <v>20</v>
      </c>
      <c r="D67" s="5">
        <v>30</v>
      </c>
      <c r="E67" s="5">
        <v>25</v>
      </c>
      <c r="F67" s="5">
        <v>25</v>
      </c>
      <c r="G67" s="5">
        <v>25</v>
      </c>
      <c r="H67" s="5">
        <v>25</v>
      </c>
    </row>
    <row r="68" spans="1:8">
      <c r="A68" s="9">
        <v>30</v>
      </c>
      <c r="B68" s="9">
        <v>30</v>
      </c>
      <c r="C68" s="9">
        <v>10</v>
      </c>
      <c r="D68" s="9">
        <v>30</v>
      </c>
      <c r="E68" s="9">
        <v>20</v>
      </c>
      <c r="F68" s="9">
        <v>20</v>
      </c>
      <c r="G68" s="9">
        <v>20</v>
      </c>
      <c r="H68" s="9">
        <v>40</v>
      </c>
    </row>
    <row r="69" spans="1:8">
      <c r="A69" s="5">
        <v>30</v>
      </c>
      <c r="B69" s="5">
        <v>20</v>
      </c>
      <c r="C69" s="5">
        <v>20</v>
      </c>
      <c r="D69" s="5">
        <v>30</v>
      </c>
      <c r="E69" s="5">
        <v>30</v>
      </c>
      <c r="F69" s="5">
        <v>20</v>
      </c>
      <c r="G69" s="5">
        <v>20</v>
      </c>
      <c r="H69" s="5">
        <v>30</v>
      </c>
    </row>
    <row r="70" spans="1:8">
      <c r="A70" s="9">
        <v>30</v>
      </c>
      <c r="B70" s="9">
        <v>30</v>
      </c>
      <c r="C70" s="9">
        <v>15</v>
      </c>
      <c r="D70" s="9">
        <v>25</v>
      </c>
      <c r="E70" s="9">
        <v>30</v>
      </c>
      <c r="F70" s="9">
        <v>30</v>
      </c>
      <c r="G70" s="9">
        <v>20</v>
      </c>
      <c r="H70" s="9">
        <v>20</v>
      </c>
    </row>
    <row r="71" spans="1:8">
      <c r="A71" s="5">
        <v>70</v>
      </c>
      <c r="B71" s="5">
        <v>10</v>
      </c>
      <c r="C71" s="5">
        <v>10</v>
      </c>
      <c r="D71" s="5">
        <v>10</v>
      </c>
      <c r="E71" s="5">
        <v>70</v>
      </c>
      <c r="F71" s="5">
        <v>10</v>
      </c>
      <c r="G71" s="5">
        <v>10</v>
      </c>
      <c r="H71" s="5">
        <v>10</v>
      </c>
    </row>
    <row r="72" spans="1:8">
      <c r="A72" s="9">
        <v>20</v>
      </c>
      <c r="B72" s="9">
        <v>30</v>
      </c>
      <c r="C72" s="9">
        <v>20</v>
      </c>
      <c r="D72" s="9">
        <v>30</v>
      </c>
      <c r="E72" s="9">
        <v>20</v>
      </c>
      <c r="F72" s="9">
        <v>30</v>
      </c>
      <c r="G72" s="9">
        <v>30</v>
      </c>
      <c r="H72" s="9">
        <v>20</v>
      </c>
    </row>
    <row r="73" spans="1:8">
      <c r="A73" s="5">
        <v>20</v>
      </c>
      <c r="B73" s="5">
        <v>20</v>
      </c>
      <c r="C73" s="5">
        <v>20</v>
      </c>
      <c r="D73" s="5">
        <v>40</v>
      </c>
      <c r="E73" s="5">
        <v>20</v>
      </c>
      <c r="F73" s="5">
        <v>20</v>
      </c>
      <c r="G73" s="5">
        <v>20</v>
      </c>
      <c r="H73" s="5">
        <v>40</v>
      </c>
    </row>
    <row r="74" spans="1:8">
      <c r="A74" s="9">
        <v>70</v>
      </c>
      <c r="B74" s="9">
        <v>10</v>
      </c>
      <c r="C74" s="9">
        <v>10</v>
      </c>
      <c r="D74" s="9">
        <v>10</v>
      </c>
      <c r="E74" s="9">
        <v>10</v>
      </c>
      <c r="F74" s="9">
        <v>20</v>
      </c>
      <c r="G74" s="9">
        <v>60</v>
      </c>
      <c r="H74" s="9">
        <v>10</v>
      </c>
    </row>
    <row r="75" spans="1:8">
      <c r="A75" s="5">
        <v>30</v>
      </c>
      <c r="B75" s="5">
        <v>30</v>
      </c>
      <c r="C75" s="5">
        <v>20</v>
      </c>
      <c r="D75" s="5">
        <v>20</v>
      </c>
      <c r="E75" s="5">
        <v>30</v>
      </c>
      <c r="F75" s="5">
        <v>30</v>
      </c>
      <c r="G75" s="5">
        <v>20</v>
      </c>
      <c r="H75" s="5">
        <v>20</v>
      </c>
    </row>
    <row r="76" spans="1:8">
      <c r="A76" s="9">
        <v>25</v>
      </c>
      <c r="B76" s="9">
        <v>25</v>
      </c>
      <c r="C76" s="9">
        <v>25</v>
      </c>
      <c r="D76" s="9">
        <v>25</v>
      </c>
      <c r="E76" s="9">
        <v>20</v>
      </c>
      <c r="F76" s="9">
        <v>20</v>
      </c>
      <c r="G76" s="9">
        <v>30</v>
      </c>
      <c r="H76" s="9">
        <v>30</v>
      </c>
    </row>
    <row r="77" spans="1:8">
      <c r="A77" s="5">
        <v>40</v>
      </c>
      <c r="B77" s="5">
        <v>20</v>
      </c>
      <c r="C77" s="5">
        <v>20</v>
      </c>
      <c r="D77" s="5">
        <v>20</v>
      </c>
      <c r="E77" s="5">
        <v>25</v>
      </c>
      <c r="F77" s="5">
        <v>25</v>
      </c>
      <c r="G77" s="5">
        <v>25</v>
      </c>
      <c r="H77" s="5">
        <v>25</v>
      </c>
    </row>
    <row r="78" spans="1:8">
      <c r="A78" s="9">
        <v>35</v>
      </c>
      <c r="B78" s="9">
        <v>15</v>
      </c>
      <c r="C78" s="9">
        <v>15</v>
      </c>
      <c r="D78" s="9">
        <v>35</v>
      </c>
      <c r="E78" s="9">
        <v>30</v>
      </c>
      <c r="F78" s="9">
        <v>20</v>
      </c>
      <c r="G78" s="9">
        <v>20</v>
      </c>
      <c r="H78" s="9">
        <v>30</v>
      </c>
    </row>
    <row r="79" spans="1:8">
      <c r="A79" s="5">
        <v>30</v>
      </c>
      <c r="B79" s="5">
        <v>20</v>
      </c>
      <c r="C79" s="5">
        <v>30</v>
      </c>
      <c r="D79" s="5">
        <v>20</v>
      </c>
      <c r="E79" s="5">
        <v>30</v>
      </c>
      <c r="F79" s="5">
        <v>30</v>
      </c>
      <c r="G79" s="5">
        <v>20</v>
      </c>
      <c r="H79" s="5">
        <v>20</v>
      </c>
    </row>
    <row r="80" spans="1:8">
      <c r="A80" s="9">
        <v>25</v>
      </c>
      <c r="B80" s="9">
        <v>25</v>
      </c>
      <c r="C80" s="9">
        <v>25</v>
      </c>
      <c r="D80" s="9">
        <v>25</v>
      </c>
      <c r="E80" s="9">
        <v>25</v>
      </c>
      <c r="F80" s="9">
        <v>25</v>
      </c>
      <c r="G80" s="9">
        <v>25</v>
      </c>
      <c r="H80" s="9">
        <v>25</v>
      </c>
    </row>
    <row r="81" spans="1:8">
      <c r="A81" s="5">
        <v>40</v>
      </c>
      <c r="B81" s="5">
        <v>20</v>
      </c>
      <c r="C81" s="5">
        <v>20</v>
      </c>
      <c r="D81" s="5">
        <v>20</v>
      </c>
      <c r="E81" s="5">
        <v>30</v>
      </c>
      <c r="F81" s="5">
        <v>30</v>
      </c>
      <c r="G81" s="5">
        <v>20</v>
      </c>
      <c r="H81" s="5">
        <v>20</v>
      </c>
    </row>
    <row r="82" spans="1:8">
      <c r="A82" s="9">
        <v>30</v>
      </c>
      <c r="B82" s="9">
        <v>30</v>
      </c>
      <c r="C82" s="9">
        <v>10</v>
      </c>
      <c r="D82" s="9">
        <v>30</v>
      </c>
      <c r="E82" s="9">
        <v>20</v>
      </c>
      <c r="F82" s="9">
        <v>20</v>
      </c>
      <c r="G82" s="9">
        <v>40</v>
      </c>
      <c r="H82" s="9">
        <v>20</v>
      </c>
    </row>
    <row r="83" spans="1:8">
      <c r="A83" s="5">
        <v>40</v>
      </c>
      <c r="B83" s="5">
        <v>15</v>
      </c>
      <c r="C83" s="5">
        <v>15</v>
      </c>
      <c r="D83" s="5">
        <v>30</v>
      </c>
      <c r="E83" s="5">
        <v>35</v>
      </c>
      <c r="F83" s="5">
        <v>20</v>
      </c>
      <c r="G83" s="5">
        <v>35</v>
      </c>
      <c r="H83" s="5">
        <v>10</v>
      </c>
    </row>
    <row r="84" spans="1:8">
      <c r="A84" s="9">
        <v>25</v>
      </c>
      <c r="B84" s="9">
        <v>25</v>
      </c>
      <c r="C84" s="9">
        <v>25</v>
      </c>
      <c r="D84" s="9">
        <v>25</v>
      </c>
      <c r="E84" s="9">
        <v>40</v>
      </c>
      <c r="F84" s="9">
        <v>20</v>
      </c>
      <c r="G84" s="9">
        <v>20</v>
      </c>
      <c r="H84" s="9">
        <v>20</v>
      </c>
    </row>
    <row r="85" spans="1:8">
      <c r="A85" s="5">
        <v>50</v>
      </c>
      <c r="B85" s="5">
        <v>20</v>
      </c>
      <c r="C85" s="5">
        <v>20</v>
      </c>
      <c r="D85" s="5">
        <v>10</v>
      </c>
      <c r="E85" s="5">
        <v>40</v>
      </c>
      <c r="F85" s="5">
        <v>40</v>
      </c>
      <c r="G85" s="5">
        <v>10</v>
      </c>
      <c r="H85" s="5">
        <v>10</v>
      </c>
    </row>
    <row r="86" spans="1:8">
      <c r="A86" s="9">
        <v>25</v>
      </c>
      <c r="B86" s="9">
        <v>25</v>
      </c>
      <c r="C86" s="9">
        <v>25</v>
      </c>
      <c r="D86" s="9">
        <v>25</v>
      </c>
      <c r="E86" s="9">
        <v>25</v>
      </c>
      <c r="F86" s="9">
        <v>25</v>
      </c>
      <c r="G86" s="9">
        <v>25</v>
      </c>
      <c r="H86" s="9">
        <v>25</v>
      </c>
    </row>
    <row r="87" spans="1:8">
      <c r="A87" s="5">
        <v>40</v>
      </c>
      <c r="B87" s="5">
        <v>40</v>
      </c>
      <c r="C87" s="5">
        <v>10</v>
      </c>
      <c r="D87" s="5">
        <v>10</v>
      </c>
      <c r="E87" s="5">
        <v>30</v>
      </c>
      <c r="F87" s="5">
        <v>30</v>
      </c>
      <c r="G87" s="5">
        <v>20</v>
      </c>
      <c r="H87" s="5">
        <v>20</v>
      </c>
    </row>
    <row r="88" spans="1:8">
      <c r="A88" s="9">
        <v>30</v>
      </c>
      <c r="B88" s="9">
        <v>30</v>
      </c>
      <c r="C88" s="9">
        <v>20</v>
      </c>
      <c r="D88" s="9">
        <v>20</v>
      </c>
      <c r="E88" s="9">
        <v>20</v>
      </c>
      <c r="F88" s="9">
        <v>20</v>
      </c>
      <c r="G88" s="9">
        <v>30</v>
      </c>
      <c r="H88" s="9">
        <v>30</v>
      </c>
    </row>
    <row r="89" spans="1:8">
      <c r="A89" s="5">
        <v>30</v>
      </c>
      <c r="B89" s="5">
        <v>30</v>
      </c>
      <c r="C89" s="5">
        <v>20</v>
      </c>
      <c r="D89" s="5">
        <v>20</v>
      </c>
      <c r="E89" s="5">
        <v>20</v>
      </c>
      <c r="F89" s="5">
        <v>20</v>
      </c>
      <c r="G89" s="5">
        <v>20</v>
      </c>
      <c r="H89" s="5">
        <v>40</v>
      </c>
    </row>
    <row r="90" spans="1:8">
      <c r="A90" s="9">
        <v>30</v>
      </c>
      <c r="B90" s="9">
        <v>30</v>
      </c>
      <c r="C90" s="9">
        <v>30</v>
      </c>
      <c r="D90" s="9">
        <v>10</v>
      </c>
      <c r="E90" s="9">
        <v>20</v>
      </c>
      <c r="F90" s="9">
        <v>30</v>
      </c>
      <c r="G90" s="9">
        <v>20</v>
      </c>
      <c r="H90" s="9">
        <v>30</v>
      </c>
    </row>
    <row r="91" spans="1:8">
      <c r="A91" s="5">
        <v>50</v>
      </c>
      <c r="B91" s="5">
        <v>30</v>
      </c>
      <c r="C91" s="5">
        <v>10</v>
      </c>
      <c r="D91" s="5">
        <v>10</v>
      </c>
      <c r="E91" s="5">
        <v>50</v>
      </c>
      <c r="F91" s="5">
        <v>30</v>
      </c>
      <c r="G91" s="5">
        <v>10</v>
      </c>
      <c r="H91" s="5">
        <v>10</v>
      </c>
    </row>
    <row r="92" spans="1:8">
      <c r="A92" s="9">
        <v>30</v>
      </c>
      <c r="B92" s="9">
        <v>30</v>
      </c>
      <c r="C92" s="9">
        <v>20</v>
      </c>
      <c r="D92" s="9">
        <v>20</v>
      </c>
      <c r="E92" s="9">
        <v>30</v>
      </c>
      <c r="F92" s="9">
        <v>30</v>
      </c>
      <c r="G92" s="9">
        <v>20</v>
      </c>
      <c r="H92" s="9">
        <v>20</v>
      </c>
    </row>
    <row r="93" spans="1:8">
      <c r="A93" s="5">
        <v>25</v>
      </c>
      <c r="B93" s="5">
        <v>25</v>
      </c>
      <c r="C93" s="5">
        <v>25</v>
      </c>
      <c r="D93" s="5">
        <v>25</v>
      </c>
      <c r="E93" s="5">
        <v>25</v>
      </c>
      <c r="F93" s="5">
        <v>25</v>
      </c>
      <c r="G93" s="5">
        <v>25</v>
      </c>
      <c r="H93" s="5">
        <v>25</v>
      </c>
    </row>
    <row r="94" spans="1:8">
      <c r="A94" s="9">
        <v>30</v>
      </c>
      <c r="B94" s="9">
        <v>30</v>
      </c>
      <c r="C94" s="9">
        <v>20</v>
      </c>
      <c r="D94" s="9">
        <v>20</v>
      </c>
      <c r="E94" s="9">
        <v>30</v>
      </c>
      <c r="F94" s="9">
        <v>30</v>
      </c>
      <c r="G94" s="9">
        <v>20</v>
      </c>
      <c r="H94" s="9">
        <v>20</v>
      </c>
    </row>
    <row r="95" spans="1:8">
      <c r="A95" s="5">
        <v>20</v>
      </c>
      <c r="B95" s="5">
        <v>30</v>
      </c>
      <c r="C95" s="5">
        <v>30</v>
      </c>
      <c r="D95" s="5">
        <v>20</v>
      </c>
      <c r="E95" s="5">
        <v>20</v>
      </c>
      <c r="F95" s="5">
        <v>20</v>
      </c>
      <c r="G95" s="5">
        <v>30</v>
      </c>
      <c r="H95" s="5">
        <v>30</v>
      </c>
    </row>
    <row r="96" spans="1:8">
      <c r="A96" s="9">
        <v>20</v>
      </c>
      <c r="B96" s="9">
        <v>20</v>
      </c>
      <c r="C96" s="9">
        <v>30</v>
      </c>
      <c r="D96" s="9">
        <v>30</v>
      </c>
      <c r="E96" s="9">
        <v>20</v>
      </c>
      <c r="F96" s="9">
        <v>20</v>
      </c>
      <c r="G96" s="9">
        <v>30</v>
      </c>
      <c r="H96" s="9">
        <v>30</v>
      </c>
    </row>
    <row r="97" spans="1:8">
      <c r="A97" s="5">
        <v>10</v>
      </c>
      <c r="B97" s="5">
        <v>20</v>
      </c>
      <c r="C97" s="5">
        <v>35</v>
      </c>
      <c r="D97" s="5">
        <v>35</v>
      </c>
      <c r="E97" s="5">
        <v>30</v>
      </c>
      <c r="F97" s="5">
        <v>30</v>
      </c>
      <c r="G97" s="5">
        <v>20</v>
      </c>
      <c r="H97" s="5">
        <v>20</v>
      </c>
    </row>
    <row r="98" spans="1:8">
      <c r="A98" s="9">
        <v>30</v>
      </c>
      <c r="B98" s="9">
        <v>30</v>
      </c>
      <c r="C98" s="9">
        <v>20</v>
      </c>
      <c r="D98" s="9">
        <v>20</v>
      </c>
      <c r="E98" s="9">
        <v>30</v>
      </c>
      <c r="F98" s="9">
        <v>30</v>
      </c>
      <c r="G98" s="9">
        <v>10</v>
      </c>
      <c r="H98" s="9">
        <v>30</v>
      </c>
    </row>
    <row r="99" spans="1:8">
      <c r="A99" s="5">
        <v>25</v>
      </c>
      <c r="B99" s="5">
        <v>25</v>
      </c>
      <c r="C99" s="5">
        <v>25</v>
      </c>
      <c r="D99" s="5">
        <v>25</v>
      </c>
      <c r="E99" s="5">
        <v>25</v>
      </c>
      <c r="F99" s="5">
        <v>25</v>
      </c>
      <c r="G99" s="5">
        <v>25</v>
      </c>
      <c r="H99" s="5">
        <v>25</v>
      </c>
    </row>
    <row r="100" spans="1:8">
      <c r="A100" s="9">
        <v>10</v>
      </c>
      <c r="B100" s="9">
        <v>10</v>
      </c>
      <c r="C100" s="9">
        <v>10</v>
      </c>
      <c r="D100" s="9">
        <v>70</v>
      </c>
      <c r="E100" s="9">
        <v>10</v>
      </c>
      <c r="F100" s="9">
        <v>20</v>
      </c>
      <c r="G100" s="9">
        <v>50</v>
      </c>
      <c r="H100" s="9">
        <v>20</v>
      </c>
    </row>
    <row r="101" spans="1:8">
      <c r="A101" s="5">
        <v>30</v>
      </c>
      <c r="B101" s="5">
        <v>20</v>
      </c>
      <c r="C101" s="5">
        <v>20</v>
      </c>
      <c r="D101" s="5">
        <v>30</v>
      </c>
      <c r="E101" s="5">
        <v>30</v>
      </c>
      <c r="F101" s="5">
        <v>20</v>
      </c>
      <c r="G101" s="5">
        <v>30</v>
      </c>
      <c r="H101" s="5">
        <v>20</v>
      </c>
    </row>
    <row r="102" spans="1:8">
      <c r="A102" s="9">
        <v>35</v>
      </c>
      <c r="B102" s="9">
        <v>10</v>
      </c>
      <c r="C102" s="9">
        <v>35</v>
      </c>
      <c r="D102" s="9">
        <v>20</v>
      </c>
      <c r="E102" s="9">
        <v>30</v>
      </c>
      <c r="F102" s="9">
        <v>20</v>
      </c>
      <c r="G102" s="9">
        <v>20</v>
      </c>
      <c r="H102" s="9">
        <v>30</v>
      </c>
    </row>
    <row r="103" spans="1:8">
      <c r="A103" s="5">
        <v>25</v>
      </c>
      <c r="B103" s="5">
        <v>25</v>
      </c>
      <c r="C103" s="5">
        <v>25</v>
      </c>
      <c r="D103" s="5">
        <v>25</v>
      </c>
      <c r="E103" s="5">
        <v>25</v>
      </c>
      <c r="F103" s="5">
        <v>25</v>
      </c>
      <c r="G103" s="5">
        <v>25</v>
      </c>
      <c r="H103" s="5">
        <v>25</v>
      </c>
    </row>
    <row r="104" spans="1:8">
      <c r="A104" s="9">
        <v>25</v>
      </c>
      <c r="B104" s="9">
        <v>25</v>
      </c>
      <c r="C104" s="9">
        <v>25</v>
      </c>
      <c r="D104" s="9">
        <v>25</v>
      </c>
      <c r="E104" s="9">
        <v>25</v>
      </c>
      <c r="F104" s="9">
        <v>25</v>
      </c>
      <c r="G104" s="9">
        <v>25</v>
      </c>
      <c r="H104" s="9">
        <v>25</v>
      </c>
    </row>
    <row r="105" spans="1:8">
      <c r="A105" s="5">
        <v>40</v>
      </c>
      <c r="B105" s="5">
        <v>20</v>
      </c>
      <c r="C105" s="5">
        <v>20</v>
      </c>
      <c r="D105" s="5">
        <v>20</v>
      </c>
      <c r="E105" s="5">
        <v>30</v>
      </c>
      <c r="F105" s="5">
        <v>30</v>
      </c>
      <c r="G105" s="5">
        <v>20</v>
      </c>
      <c r="H105" s="5">
        <v>20</v>
      </c>
    </row>
    <row r="106" spans="1:8">
      <c r="A106" s="9">
        <v>30</v>
      </c>
      <c r="B106" s="9">
        <v>30</v>
      </c>
      <c r="C106" s="9">
        <v>20</v>
      </c>
      <c r="D106" s="9">
        <v>20</v>
      </c>
      <c r="E106" s="9">
        <v>20</v>
      </c>
      <c r="F106" s="9">
        <v>20</v>
      </c>
      <c r="G106" s="9">
        <v>20</v>
      </c>
      <c r="H106" s="9">
        <v>40</v>
      </c>
    </row>
    <row r="107" spans="1:8">
      <c r="A107" s="5">
        <v>10</v>
      </c>
      <c r="B107" s="5">
        <v>10</v>
      </c>
      <c r="C107" s="5">
        <v>40</v>
      </c>
      <c r="D107" s="5">
        <v>40</v>
      </c>
      <c r="E107" s="5">
        <v>10</v>
      </c>
      <c r="F107" s="5">
        <v>10</v>
      </c>
      <c r="G107" s="5">
        <v>60</v>
      </c>
      <c r="H107" s="5">
        <v>20</v>
      </c>
    </row>
    <row r="108" spans="1:8">
      <c r="A108" s="9">
        <v>30</v>
      </c>
      <c r="B108" s="9">
        <v>30</v>
      </c>
      <c r="C108" s="9">
        <v>20</v>
      </c>
      <c r="D108" s="9">
        <v>20</v>
      </c>
      <c r="E108" s="9">
        <v>30</v>
      </c>
      <c r="F108" s="9">
        <v>20</v>
      </c>
      <c r="G108" s="9">
        <v>30</v>
      </c>
      <c r="H108" s="9">
        <v>20</v>
      </c>
    </row>
    <row r="109" spans="1:8">
      <c r="A109" s="5">
        <v>25</v>
      </c>
      <c r="B109" s="5">
        <v>25</v>
      </c>
      <c r="C109" s="5">
        <v>25</v>
      </c>
      <c r="D109" s="5">
        <v>25</v>
      </c>
      <c r="E109" s="5">
        <v>20</v>
      </c>
      <c r="F109" s="5">
        <v>30</v>
      </c>
      <c r="G109" s="5">
        <v>20</v>
      </c>
      <c r="H109" s="5">
        <v>30</v>
      </c>
    </row>
    <row r="110" spans="1:8">
      <c r="A110" s="9">
        <v>20</v>
      </c>
      <c r="B110" s="9">
        <v>10</v>
      </c>
      <c r="C110" s="9">
        <v>30</v>
      </c>
      <c r="D110" s="9">
        <v>40</v>
      </c>
      <c r="E110" s="9">
        <v>10</v>
      </c>
      <c r="F110" s="9">
        <v>20</v>
      </c>
      <c r="G110" s="9">
        <v>20</v>
      </c>
      <c r="H110" s="9">
        <v>50</v>
      </c>
    </row>
    <row r="111" spans="1:8">
      <c r="A111" s="5">
        <v>20</v>
      </c>
      <c r="B111" s="5">
        <v>30</v>
      </c>
      <c r="C111" s="5">
        <v>30</v>
      </c>
      <c r="D111" s="5">
        <v>20</v>
      </c>
      <c r="E111" s="5">
        <v>30</v>
      </c>
      <c r="F111" s="5">
        <v>20</v>
      </c>
      <c r="G111" s="5">
        <v>30</v>
      </c>
      <c r="H111" s="5">
        <v>20</v>
      </c>
    </row>
    <row r="112" spans="1:8">
      <c r="A112" s="9">
        <v>10</v>
      </c>
      <c r="B112" s="9">
        <v>30</v>
      </c>
      <c r="C112" s="9">
        <v>30</v>
      </c>
      <c r="D112" s="9">
        <v>30</v>
      </c>
      <c r="E112" s="9">
        <v>10</v>
      </c>
      <c r="F112" s="9">
        <v>30</v>
      </c>
      <c r="G112" s="9">
        <v>30</v>
      </c>
      <c r="H112" s="9">
        <v>30</v>
      </c>
    </row>
    <row r="113" spans="1:8">
      <c r="A113" s="5">
        <v>20</v>
      </c>
      <c r="B113" s="5">
        <v>30</v>
      </c>
      <c r="C113" s="5">
        <v>20</v>
      </c>
      <c r="D113" s="5">
        <v>30</v>
      </c>
      <c r="E113" s="5">
        <v>20</v>
      </c>
      <c r="F113" s="5">
        <v>20</v>
      </c>
      <c r="G113" s="5">
        <v>30</v>
      </c>
      <c r="H113" s="5">
        <v>30</v>
      </c>
    </row>
    <row r="114" spans="1:8">
      <c r="A114" s="9">
        <v>25</v>
      </c>
      <c r="B114" s="9">
        <v>25</v>
      </c>
      <c r="C114" s="9">
        <v>25</v>
      </c>
      <c r="D114" s="9">
        <v>25</v>
      </c>
      <c r="E114" s="9">
        <v>30</v>
      </c>
      <c r="F114" s="9">
        <v>30</v>
      </c>
      <c r="G114" s="9">
        <v>10</v>
      </c>
      <c r="H114" s="9">
        <v>30</v>
      </c>
    </row>
    <row r="115" spans="1:8">
      <c r="A115" s="5">
        <v>20</v>
      </c>
      <c r="B115" s="5">
        <v>20</v>
      </c>
      <c r="C115" s="5">
        <v>20</v>
      </c>
      <c r="D115" s="5">
        <v>40</v>
      </c>
      <c r="E115" s="5">
        <v>20</v>
      </c>
      <c r="F115" s="5">
        <v>20</v>
      </c>
      <c r="G115" s="5">
        <v>30</v>
      </c>
      <c r="H115" s="5">
        <v>30</v>
      </c>
    </row>
    <row r="116" spans="1:8">
      <c r="A116" s="9">
        <v>30</v>
      </c>
      <c r="B116" s="9">
        <v>30</v>
      </c>
      <c r="C116" s="9">
        <v>30</v>
      </c>
      <c r="D116" s="9">
        <v>10</v>
      </c>
      <c r="E116" s="9">
        <v>30</v>
      </c>
      <c r="F116" s="9">
        <v>10</v>
      </c>
      <c r="G116" s="9">
        <v>30</v>
      </c>
      <c r="H116" s="9">
        <v>30</v>
      </c>
    </row>
    <row r="117" spans="1:8">
      <c r="A117" s="5">
        <v>20</v>
      </c>
      <c r="B117" s="5">
        <v>20</v>
      </c>
      <c r="C117" s="5">
        <v>30</v>
      </c>
      <c r="D117" s="5">
        <v>30</v>
      </c>
      <c r="E117" s="5">
        <v>50</v>
      </c>
      <c r="F117" s="5">
        <v>10</v>
      </c>
      <c r="G117" s="5">
        <v>10</v>
      </c>
      <c r="H117" s="5">
        <v>30</v>
      </c>
    </row>
    <row r="118" spans="1:8">
      <c r="A118" s="9">
        <v>30</v>
      </c>
      <c r="B118" s="9">
        <v>20</v>
      </c>
      <c r="C118" s="9">
        <v>30</v>
      </c>
      <c r="D118" s="9">
        <v>20</v>
      </c>
      <c r="E118" s="9">
        <v>20</v>
      </c>
      <c r="F118" s="9">
        <v>20</v>
      </c>
      <c r="G118" s="9">
        <v>30</v>
      </c>
      <c r="H118" s="9">
        <v>30</v>
      </c>
    </row>
    <row r="119" spans="1:8">
      <c r="A119" s="5">
        <v>70</v>
      </c>
      <c r="B119" s="5">
        <v>10</v>
      </c>
      <c r="C119" s="5">
        <v>10</v>
      </c>
      <c r="D119" s="5">
        <v>10</v>
      </c>
      <c r="E119" s="5">
        <v>70</v>
      </c>
      <c r="F119" s="5">
        <v>10</v>
      </c>
      <c r="G119" s="5">
        <v>10</v>
      </c>
      <c r="H119" s="5">
        <v>10</v>
      </c>
    </row>
    <row r="120" spans="1:8">
      <c r="A120" s="9">
        <v>70</v>
      </c>
      <c r="B120" s="9">
        <v>10</v>
      </c>
      <c r="C120" s="9">
        <v>10</v>
      </c>
      <c r="D120" s="9">
        <v>10</v>
      </c>
      <c r="E120" s="9">
        <v>70</v>
      </c>
      <c r="F120" s="9">
        <v>10</v>
      </c>
      <c r="G120" s="9">
        <v>10</v>
      </c>
      <c r="H120" s="9">
        <v>10</v>
      </c>
    </row>
    <row r="121" spans="1:8">
      <c r="A121" s="5">
        <v>30</v>
      </c>
      <c r="B121" s="5">
        <v>30</v>
      </c>
      <c r="C121" s="5">
        <v>20</v>
      </c>
      <c r="D121" s="5">
        <v>20</v>
      </c>
      <c r="E121" s="5">
        <v>20</v>
      </c>
      <c r="F121" s="5">
        <v>20</v>
      </c>
      <c r="G121" s="5">
        <v>30</v>
      </c>
      <c r="H121" s="5">
        <v>30</v>
      </c>
    </row>
    <row r="122" spans="1:8">
      <c r="A122" s="9">
        <v>30</v>
      </c>
      <c r="B122" s="9">
        <v>30</v>
      </c>
      <c r="C122" s="9">
        <v>20</v>
      </c>
      <c r="D122" s="9">
        <v>20</v>
      </c>
      <c r="E122" s="9">
        <v>20</v>
      </c>
      <c r="F122" s="9">
        <v>20</v>
      </c>
      <c r="G122" s="9">
        <v>30</v>
      </c>
      <c r="H122" s="9">
        <v>30</v>
      </c>
    </row>
    <row r="123" spans="1:8">
      <c r="A123" s="5">
        <v>30</v>
      </c>
      <c r="B123" s="5">
        <v>30</v>
      </c>
      <c r="C123" s="5">
        <v>20</v>
      </c>
      <c r="D123" s="5">
        <v>20</v>
      </c>
      <c r="E123" s="5">
        <v>20</v>
      </c>
      <c r="F123" s="5">
        <v>20</v>
      </c>
      <c r="G123" s="5">
        <v>30</v>
      </c>
      <c r="H123" s="5">
        <v>30</v>
      </c>
    </row>
    <row r="124" spans="1:8">
      <c r="A124" s="9">
        <v>10</v>
      </c>
      <c r="B124" s="9">
        <v>50</v>
      </c>
      <c r="C124" s="9">
        <v>20</v>
      </c>
      <c r="D124" s="9">
        <v>20</v>
      </c>
      <c r="E124" s="9">
        <v>30</v>
      </c>
      <c r="F124" s="9">
        <v>40</v>
      </c>
      <c r="G124" s="9">
        <v>10</v>
      </c>
      <c r="H124" s="9">
        <v>20</v>
      </c>
    </row>
    <row r="125" spans="1:8">
      <c r="A125" s="5">
        <v>20</v>
      </c>
      <c r="B125" s="5">
        <v>20</v>
      </c>
      <c r="C125" s="5">
        <v>10</v>
      </c>
      <c r="D125" s="5">
        <v>50</v>
      </c>
      <c r="E125" s="5">
        <v>10</v>
      </c>
      <c r="F125" s="5">
        <v>10</v>
      </c>
      <c r="G125" s="5">
        <v>30</v>
      </c>
      <c r="H125" s="5">
        <v>50</v>
      </c>
    </row>
    <row r="126" spans="1:8">
      <c r="A126" s="9">
        <v>30</v>
      </c>
      <c r="B126" s="9">
        <v>30</v>
      </c>
      <c r="C126" s="9">
        <v>20</v>
      </c>
      <c r="D126" s="9">
        <v>20</v>
      </c>
      <c r="E126" s="9">
        <v>20</v>
      </c>
      <c r="F126" s="9">
        <v>20</v>
      </c>
      <c r="G126" s="9">
        <v>30</v>
      </c>
      <c r="H126" s="9">
        <v>30</v>
      </c>
    </row>
    <row r="127" spans="1:8">
      <c r="A127" s="5">
        <v>70</v>
      </c>
      <c r="B127" s="5">
        <v>10</v>
      </c>
      <c r="C127" s="5">
        <v>10</v>
      </c>
      <c r="D127" s="5">
        <v>10</v>
      </c>
      <c r="E127" s="5">
        <v>20</v>
      </c>
      <c r="F127" s="5">
        <v>10</v>
      </c>
      <c r="G127" s="5">
        <v>60</v>
      </c>
      <c r="H127" s="5">
        <v>10</v>
      </c>
    </row>
    <row r="128" spans="1:8">
      <c r="A128" s="9">
        <v>25</v>
      </c>
      <c r="B128" s="9">
        <v>25</v>
      </c>
      <c r="C128" s="9">
        <v>25</v>
      </c>
      <c r="D128" s="9">
        <v>25</v>
      </c>
      <c r="E128" s="9">
        <v>30</v>
      </c>
      <c r="F128" s="9">
        <v>20</v>
      </c>
      <c r="G128" s="9">
        <v>30</v>
      </c>
      <c r="H128" s="9">
        <v>20</v>
      </c>
    </row>
    <row r="129" spans="1:8">
      <c r="A129" s="5">
        <v>40</v>
      </c>
      <c r="B129" s="5">
        <v>30</v>
      </c>
      <c r="C129" s="5">
        <v>20</v>
      </c>
      <c r="D129" s="5">
        <v>10</v>
      </c>
      <c r="E129" s="5">
        <v>30</v>
      </c>
      <c r="F129" s="5">
        <v>20</v>
      </c>
      <c r="G129" s="5">
        <v>10</v>
      </c>
      <c r="H129" s="5">
        <v>40</v>
      </c>
    </row>
    <row r="130" spans="1:8">
      <c r="A130" s="9">
        <v>70</v>
      </c>
      <c r="B130" s="9">
        <v>10</v>
      </c>
      <c r="C130" s="9">
        <v>10</v>
      </c>
      <c r="D130" s="9">
        <v>10</v>
      </c>
      <c r="E130" s="9">
        <v>60</v>
      </c>
      <c r="F130" s="9">
        <v>20</v>
      </c>
      <c r="G130" s="9">
        <v>10</v>
      </c>
      <c r="H130" s="9">
        <v>10</v>
      </c>
    </row>
    <row r="131" spans="1:8">
      <c r="A131" s="5">
        <v>70</v>
      </c>
      <c r="B131" s="5">
        <v>10</v>
      </c>
      <c r="C131" s="5">
        <v>10</v>
      </c>
      <c r="D131" s="5">
        <v>10</v>
      </c>
      <c r="E131" s="5">
        <v>10</v>
      </c>
      <c r="F131" s="5">
        <v>10</v>
      </c>
      <c r="G131" s="5">
        <v>10</v>
      </c>
      <c r="H131" s="5">
        <v>70</v>
      </c>
    </row>
    <row r="132" spans="1:8">
      <c r="A132" s="9">
        <v>70</v>
      </c>
      <c r="B132" s="9">
        <v>10</v>
      </c>
      <c r="C132" s="9">
        <v>10</v>
      </c>
      <c r="D132" s="9">
        <v>10</v>
      </c>
      <c r="E132" s="9">
        <v>50</v>
      </c>
      <c r="F132" s="9">
        <v>30</v>
      </c>
      <c r="G132" s="9">
        <v>10</v>
      </c>
      <c r="H132" s="9">
        <v>10</v>
      </c>
    </row>
    <row r="133" spans="1:8">
      <c r="A133" s="5">
        <v>40</v>
      </c>
      <c r="B133" s="5">
        <v>20</v>
      </c>
      <c r="C133" s="5">
        <v>20</v>
      </c>
      <c r="D133" s="5">
        <v>20</v>
      </c>
      <c r="E133" s="5">
        <v>20</v>
      </c>
      <c r="F133" s="5">
        <v>20</v>
      </c>
      <c r="G133" s="5">
        <v>30</v>
      </c>
      <c r="H133" s="5">
        <v>30</v>
      </c>
    </row>
    <row r="134" spans="1:8">
      <c r="A134" s="9"/>
      <c r="B134" s="9"/>
      <c r="C134" s="9"/>
      <c r="D134" s="9"/>
      <c r="E134" s="9"/>
      <c r="F134" s="9"/>
      <c r="G134" s="9"/>
      <c r="H134" s="9"/>
    </row>
    <row r="135" spans="1:8">
      <c r="A135" s="5"/>
      <c r="B135" s="5"/>
      <c r="C135" s="5"/>
      <c r="D135" s="5"/>
      <c r="E135" s="5"/>
      <c r="F135" s="5"/>
      <c r="G135" s="5"/>
      <c r="H135" s="5"/>
    </row>
    <row r="136" spans="1:8">
      <c r="A136" s="9"/>
      <c r="B136" s="9"/>
      <c r="C136" s="9"/>
      <c r="D136" s="9"/>
      <c r="E136" s="9"/>
      <c r="F136" s="9"/>
      <c r="G136" s="9"/>
      <c r="H136" s="9"/>
    </row>
    <row r="137" spans="1:8">
      <c r="A137" s="5"/>
      <c r="B137" s="5"/>
      <c r="C137" s="5"/>
      <c r="D137" s="5"/>
      <c r="E137" s="5"/>
      <c r="F137" s="5"/>
      <c r="G137" s="5"/>
      <c r="H137" s="5"/>
    </row>
    <row r="138" spans="1:8">
      <c r="A138" s="9"/>
      <c r="B138" s="9"/>
      <c r="C138" s="9"/>
      <c r="D138" s="9"/>
      <c r="E138" s="9"/>
      <c r="F138" s="9"/>
      <c r="G138" s="9"/>
      <c r="H138" s="9"/>
    </row>
    <row r="139" spans="1:8">
      <c r="A139" s="5"/>
      <c r="B139" s="5"/>
      <c r="C139" s="5"/>
      <c r="D139" s="5"/>
      <c r="E139" s="5"/>
      <c r="F139" s="5"/>
      <c r="G139" s="5"/>
      <c r="H139" s="5"/>
    </row>
    <row r="140" spans="1:8">
      <c r="A140" s="9"/>
      <c r="B140" s="9"/>
      <c r="C140" s="9"/>
      <c r="D140" s="9"/>
      <c r="E140" s="9"/>
      <c r="F140" s="9"/>
      <c r="G140" s="9"/>
      <c r="H140" s="9"/>
    </row>
    <row r="141" spans="1:8">
      <c r="A141" s="5"/>
      <c r="B141" s="5"/>
      <c r="C141" s="5"/>
      <c r="D141" s="5"/>
      <c r="E141" s="5"/>
      <c r="F141" s="5"/>
      <c r="G141" s="5"/>
      <c r="H141" s="5"/>
    </row>
    <row r="142" spans="1:8">
      <c r="A142" s="9"/>
      <c r="B142" s="9"/>
      <c r="C142" s="9"/>
      <c r="D142" s="9"/>
      <c r="E142" s="9"/>
      <c r="F142" s="9"/>
      <c r="G142" s="9"/>
      <c r="H142" s="9"/>
    </row>
    <row r="143" spans="1:8">
      <c r="A143" s="5"/>
      <c r="B143" s="5"/>
      <c r="C143" s="5"/>
      <c r="D143" s="5"/>
      <c r="E143" s="5"/>
      <c r="F143" s="5"/>
      <c r="G143" s="5"/>
      <c r="H143" s="5"/>
    </row>
    <row r="144" spans="1:8">
      <c r="A144" s="9"/>
      <c r="B144" s="9"/>
      <c r="C144" s="9"/>
      <c r="D144" s="9"/>
      <c r="E144" s="9"/>
      <c r="F144" s="9"/>
      <c r="G144" s="9"/>
      <c r="H144" s="9"/>
    </row>
    <row r="145" spans="1:8">
      <c r="A145" s="5"/>
      <c r="B145" s="5"/>
      <c r="C145" s="5"/>
      <c r="D145" s="5"/>
      <c r="E145" s="5"/>
      <c r="F145" s="5"/>
      <c r="G145" s="5"/>
      <c r="H145" s="5"/>
    </row>
    <row r="146" spans="1:8">
      <c r="A146" s="9"/>
      <c r="B146" s="9"/>
      <c r="C146" s="9"/>
      <c r="D146" s="9"/>
      <c r="E146" s="9"/>
      <c r="F146" s="9"/>
      <c r="G146" s="9"/>
      <c r="H146" s="9"/>
    </row>
    <row r="147" spans="1:8">
      <c r="A147" s="5"/>
      <c r="B147" s="5"/>
      <c r="C147" s="5"/>
      <c r="D147" s="5"/>
      <c r="E147" s="5"/>
      <c r="F147" s="5"/>
      <c r="G147" s="5"/>
      <c r="H147" s="5"/>
    </row>
    <row r="148" spans="1:8">
      <c r="A148" s="9"/>
      <c r="B148" s="9"/>
      <c r="C148" s="9"/>
      <c r="D148" s="9"/>
      <c r="E148" s="9"/>
      <c r="F148" s="9"/>
      <c r="G148" s="9"/>
      <c r="H148" s="9"/>
    </row>
    <row r="149" spans="1:8">
      <c r="A149" s="5"/>
      <c r="B149" s="5"/>
      <c r="C149" s="5"/>
      <c r="D149" s="5"/>
      <c r="E149" s="5"/>
      <c r="F149" s="5"/>
      <c r="G149" s="5"/>
      <c r="H149" s="5"/>
    </row>
    <row r="150" spans="1:8">
      <c r="A150" s="9"/>
      <c r="B150" s="9"/>
      <c r="C150" s="9"/>
      <c r="D150" s="9"/>
      <c r="E150" s="9"/>
      <c r="F150" s="9"/>
      <c r="G150" s="9"/>
      <c r="H150" s="9"/>
    </row>
    <row r="151" spans="1:8">
      <c r="A151" s="5"/>
      <c r="B151" s="5"/>
      <c r="C151" s="5"/>
      <c r="D151" s="5"/>
      <c r="E151" s="5"/>
      <c r="F151" s="5"/>
      <c r="G151" s="5"/>
      <c r="H151" s="5"/>
    </row>
    <row r="152" spans="1:8">
      <c r="A152" s="9"/>
      <c r="B152" s="9"/>
      <c r="C152" s="9"/>
      <c r="D152" s="9"/>
      <c r="E152" s="9"/>
      <c r="F152" s="9"/>
      <c r="G152" s="9"/>
      <c r="H152" s="9"/>
    </row>
    <row r="153" spans="1:8">
      <c r="A153" s="5"/>
      <c r="B153" s="5"/>
      <c r="C153" s="5"/>
      <c r="D153" s="5"/>
      <c r="E153" s="5"/>
      <c r="F153" s="5"/>
      <c r="G153" s="5"/>
      <c r="H153" s="5"/>
    </row>
    <row r="154" spans="1:8">
      <c r="A154" s="9"/>
      <c r="B154" s="9"/>
      <c r="C154" s="9"/>
      <c r="D154" s="9"/>
      <c r="E154" s="9"/>
      <c r="F154" s="9"/>
      <c r="G154" s="9"/>
      <c r="H154" s="9"/>
    </row>
    <row r="155" spans="1:8">
      <c r="A155" s="5"/>
      <c r="B155" s="5"/>
      <c r="C155" s="5"/>
      <c r="D155" s="5"/>
      <c r="E155" s="5"/>
      <c r="F155" s="5"/>
      <c r="G155" s="5"/>
      <c r="H155" s="5"/>
    </row>
    <row r="156" spans="1:8">
      <c r="A156" s="9"/>
      <c r="B156" s="9"/>
      <c r="C156" s="9"/>
      <c r="D156" s="9"/>
      <c r="E156" s="9"/>
      <c r="F156" s="9"/>
      <c r="G156" s="9"/>
      <c r="H156" s="9"/>
    </row>
    <row r="157" spans="1:8">
      <c r="A157" s="5"/>
      <c r="B157" s="5"/>
      <c r="C157" s="5"/>
      <c r="D157" s="5"/>
      <c r="E157" s="5"/>
      <c r="F157" s="5"/>
      <c r="G157" s="5"/>
      <c r="H157" s="5"/>
    </row>
    <row r="158" spans="1:8">
      <c r="A158" s="9"/>
      <c r="B158" s="9"/>
      <c r="C158" s="9"/>
      <c r="D158" s="9"/>
      <c r="E158" s="9"/>
      <c r="F158" s="9"/>
      <c r="G158" s="9"/>
      <c r="H158" s="9"/>
    </row>
    <row r="159" spans="1:8">
      <c r="A159" s="5"/>
      <c r="B159" s="5"/>
      <c r="C159" s="5"/>
      <c r="D159" s="5"/>
      <c r="E159" s="5"/>
      <c r="F159" s="5"/>
      <c r="G159" s="5"/>
      <c r="H159" s="5"/>
    </row>
    <row r="160" spans="1:8">
      <c r="A160" s="9"/>
      <c r="B160" s="9"/>
      <c r="C160" s="9"/>
      <c r="D160" s="9"/>
      <c r="E160" s="9"/>
      <c r="F160" s="9"/>
      <c r="G160" s="9"/>
      <c r="H160" s="9"/>
    </row>
    <row r="161" spans="1:8">
      <c r="A161" s="5"/>
      <c r="B161" s="5"/>
      <c r="C161" s="5"/>
      <c r="D161" s="5"/>
      <c r="E161" s="5"/>
      <c r="F161" s="5"/>
      <c r="G161" s="5"/>
      <c r="H161" s="5"/>
    </row>
    <row r="162" spans="1:8">
      <c r="A162" s="9"/>
      <c r="B162" s="9"/>
      <c r="C162" s="9"/>
      <c r="D162" s="9"/>
      <c r="E162" s="9"/>
      <c r="F162" s="9"/>
      <c r="G162" s="9"/>
      <c r="H162" s="9"/>
    </row>
    <row r="163" spans="1:8">
      <c r="A163" s="5"/>
      <c r="B163" s="5"/>
      <c r="C163" s="5"/>
      <c r="D163" s="5"/>
      <c r="E163" s="5"/>
      <c r="F163" s="5"/>
      <c r="G163" s="5"/>
      <c r="H163" s="5"/>
    </row>
    <row r="164" spans="1:8">
      <c r="A164" s="9"/>
      <c r="B164" s="9"/>
      <c r="C164" s="9"/>
      <c r="D164" s="9"/>
      <c r="E164" s="9"/>
      <c r="F164" s="9"/>
      <c r="G164" s="9"/>
      <c r="H164" s="9"/>
    </row>
    <row r="165" spans="1:8">
      <c r="A165" s="5"/>
      <c r="B165" s="5"/>
      <c r="C165" s="5"/>
      <c r="D165" s="5"/>
      <c r="E165" s="5"/>
      <c r="F165" s="5"/>
      <c r="G165" s="5"/>
      <c r="H165" s="5"/>
    </row>
    <row r="166" spans="1:8">
      <c r="A166" s="9"/>
      <c r="B166" s="9"/>
      <c r="C166" s="9"/>
      <c r="D166" s="9"/>
      <c r="E166" s="9"/>
      <c r="F166" s="9"/>
      <c r="G166" s="9"/>
      <c r="H166" s="9"/>
    </row>
    <row r="167" spans="1:8">
      <c r="A167" s="5"/>
      <c r="B167" s="5"/>
      <c r="C167" s="5"/>
      <c r="D167" s="5"/>
      <c r="E167" s="5"/>
      <c r="F167" s="5"/>
      <c r="G167" s="5"/>
      <c r="H167" s="5"/>
    </row>
    <row r="168" spans="1:8">
      <c r="A168" s="9"/>
      <c r="B168" s="9"/>
      <c r="C168" s="9"/>
      <c r="D168" s="9"/>
      <c r="E168" s="9"/>
      <c r="F168" s="9"/>
      <c r="G168" s="9"/>
      <c r="H168" s="9"/>
    </row>
    <row r="169" spans="1:8">
      <c r="A169" s="5"/>
      <c r="B169" s="5"/>
      <c r="C169" s="5"/>
      <c r="D169" s="5"/>
      <c r="E169" s="5"/>
      <c r="F169" s="5"/>
      <c r="G169" s="5"/>
      <c r="H169" s="5"/>
    </row>
    <row r="170" spans="1:8">
      <c r="A170" s="9"/>
      <c r="B170" s="9"/>
      <c r="C170" s="9"/>
      <c r="D170" s="9"/>
      <c r="E170" s="9"/>
      <c r="F170" s="9"/>
      <c r="G170" s="9"/>
      <c r="H170" s="9"/>
    </row>
    <row r="171" spans="1:8">
      <c r="A171" s="5"/>
      <c r="B171" s="5"/>
      <c r="C171" s="5"/>
      <c r="D171" s="5"/>
      <c r="E171" s="5"/>
      <c r="F171" s="5"/>
      <c r="G171" s="5"/>
      <c r="H171" s="5"/>
    </row>
    <row r="172" spans="1:8">
      <c r="A172" s="9"/>
      <c r="B172" s="9"/>
      <c r="C172" s="9"/>
      <c r="D172" s="9"/>
      <c r="E172" s="9"/>
      <c r="F172" s="9"/>
      <c r="G172" s="9"/>
      <c r="H172" s="9"/>
    </row>
    <row r="173" spans="1:8">
      <c r="A173" s="5"/>
      <c r="B173" s="5"/>
      <c r="C173" s="5"/>
      <c r="D173" s="5"/>
      <c r="E173" s="5"/>
      <c r="F173" s="5"/>
      <c r="G173" s="5"/>
      <c r="H173" s="5"/>
    </row>
    <row r="174" spans="1:8">
      <c r="A174" s="9"/>
      <c r="B174" s="9"/>
      <c r="C174" s="9"/>
      <c r="D174" s="9"/>
      <c r="E174" s="9"/>
      <c r="F174" s="9"/>
      <c r="G174" s="9"/>
      <c r="H174" s="9"/>
    </row>
    <row r="175" spans="1:8">
      <c r="A175" s="5"/>
      <c r="B175" s="5"/>
      <c r="C175" s="5"/>
      <c r="D175" s="5"/>
      <c r="E175" s="5"/>
      <c r="F175" s="5"/>
      <c r="G175" s="5"/>
      <c r="H175" s="5"/>
    </row>
    <row r="176" spans="1:8">
      <c r="A176" s="9"/>
      <c r="B176" s="9"/>
      <c r="C176" s="9"/>
      <c r="D176" s="9"/>
      <c r="E176" s="9"/>
      <c r="F176" s="9"/>
      <c r="G176" s="9"/>
      <c r="H176" s="9"/>
    </row>
    <row r="177" spans="1:8">
      <c r="A177" s="5"/>
      <c r="B177" s="5"/>
      <c r="C177" s="5"/>
      <c r="D177" s="5"/>
      <c r="E177" s="5"/>
      <c r="F177" s="5"/>
      <c r="G177" s="5"/>
      <c r="H177" s="5"/>
    </row>
    <row r="178" spans="1:8">
      <c r="A178" s="9"/>
      <c r="B178" s="9"/>
      <c r="C178" s="9"/>
      <c r="D178" s="9"/>
      <c r="E178" s="9"/>
      <c r="F178" s="9"/>
      <c r="G178" s="9"/>
      <c r="H178" s="9"/>
    </row>
    <row r="179" spans="1:8">
      <c r="A179" s="5"/>
      <c r="B179" s="5"/>
      <c r="C179" s="5"/>
      <c r="D179" s="5"/>
      <c r="E179" s="5"/>
      <c r="F179" s="5"/>
      <c r="G179" s="5"/>
      <c r="H179" s="5"/>
    </row>
    <row r="180" spans="1:8">
      <c r="A180" s="9"/>
      <c r="B180" s="9"/>
      <c r="C180" s="9"/>
      <c r="D180" s="9"/>
      <c r="E180" s="9"/>
      <c r="F180" s="9"/>
      <c r="G180" s="9"/>
      <c r="H180" s="9"/>
    </row>
    <row r="181" spans="1:8">
      <c r="A181" s="5"/>
      <c r="B181" s="5"/>
      <c r="C181" s="5"/>
      <c r="D181" s="5"/>
      <c r="E181" s="5"/>
      <c r="F181" s="5"/>
      <c r="G181" s="5"/>
      <c r="H181" s="5"/>
    </row>
    <row r="182" spans="1:8">
      <c r="A182" s="9"/>
      <c r="B182" s="9"/>
      <c r="C182" s="9"/>
      <c r="D182" s="9"/>
      <c r="E182" s="9"/>
      <c r="F182" s="9"/>
      <c r="G182" s="9"/>
      <c r="H182" s="9"/>
    </row>
    <row r="183" spans="1:8">
      <c r="A183" s="38"/>
      <c r="B183" s="38"/>
      <c r="C183" s="38"/>
      <c r="D183" s="38"/>
      <c r="E183" s="38"/>
      <c r="F183" s="38"/>
      <c r="G183" s="38"/>
      <c r="H183" s="38"/>
    </row>
    <row r="186" spans="1:8">
      <c r="A186" s="42"/>
      <c r="B186" s="42"/>
      <c r="C186" s="42"/>
      <c r="D186" s="42"/>
      <c r="E186" s="42"/>
      <c r="F186" s="42"/>
      <c r="G186" s="42"/>
      <c r="H186" s="42"/>
    </row>
  </sheetData>
  <mergeCells count="2">
    <mergeCell ref="A1:D1"/>
    <mergeCell ref="E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56FA1-6B45-411A-84BF-2E2C661FA022}">
  <dimension ref="A1:L186"/>
  <sheetViews>
    <sheetView topLeftCell="F1" workbookViewId="0">
      <selection activeCell="J1" sqref="J1:L5"/>
    </sheetView>
  </sheetViews>
  <sheetFormatPr defaultRowHeight="14.5"/>
  <cols>
    <col min="1" max="1" width="7.90625" customWidth="1"/>
    <col min="3" max="3" width="6.26953125" bestFit="1" customWidth="1"/>
    <col min="4" max="4" width="8" bestFit="1" customWidth="1"/>
    <col min="5" max="5" width="4.1796875" bestFit="1" customWidth="1"/>
    <col min="7" max="7" width="6.26953125" bestFit="1" customWidth="1"/>
    <col min="8" max="8" width="8" bestFit="1" customWidth="1"/>
  </cols>
  <sheetData>
    <row r="1" spans="1:12">
      <c r="A1" s="46" t="s">
        <v>68</v>
      </c>
      <c r="B1" s="46"/>
      <c r="C1" s="46"/>
      <c r="D1" s="46"/>
      <c r="E1" s="46" t="s">
        <v>69</v>
      </c>
      <c r="F1" s="46"/>
      <c r="G1" s="46"/>
      <c r="H1" s="46"/>
      <c r="J1" s="44"/>
      <c r="K1" s="44" t="s">
        <v>80</v>
      </c>
      <c r="L1" s="44" t="s">
        <v>82</v>
      </c>
    </row>
    <row r="2" spans="1:12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77</v>
      </c>
      <c r="G2" s="2" t="s">
        <v>78</v>
      </c>
      <c r="H2" s="2" t="s">
        <v>79</v>
      </c>
      <c r="J2" s="45" t="s">
        <v>76</v>
      </c>
      <c r="K2" s="44">
        <f>AVERAGE(E3:E133)</f>
        <v>26.374045801526716</v>
      </c>
      <c r="L2" s="44">
        <f>AVERAGE(A3:A133)</f>
        <v>24.236641221374047</v>
      </c>
    </row>
    <row r="3" spans="1:12">
      <c r="A3" s="5">
        <v>20</v>
      </c>
      <c r="B3" s="5">
        <v>20</v>
      </c>
      <c r="C3" s="5">
        <v>30</v>
      </c>
      <c r="D3" s="5">
        <v>30</v>
      </c>
      <c r="E3" s="5">
        <v>20</v>
      </c>
      <c r="F3" s="5">
        <v>20</v>
      </c>
      <c r="G3" s="5">
        <v>30</v>
      </c>
      <c r="H3" s="5">
        <v>30</v>
      </c>
      <c r="J3" s="45" t="s">
        <v>77</v>
      </c>
      <c r="K3" s="44">
        <f>AVERAGE(F3:F133)</f>
        <v>23.129770992366414</v>
      </c>
      <c r="L3" s="44">
        <f>AVERAGE(B3:B133)</f>
        <v>23.167938931297709</v>
      </c>
    </row>
    <row r="4" spans="1:12">
      <c r="A4" s="9">
        <v>20</v>
      </c>
      <c r="B4" s="9">
        <v>20</v>
      </c>
      <c r="C4" s="9">
        <v>30</v>
      </c>
      <c r="D4" s="9">
        <v>30</v>
      </c>
      <c r="E4" s="9">
        <v>20</v>
      </c>
      <c r="F4" s="9">
        <v>20</v>
      </c>
      <c r="G4" s="9">
        <v>30</v>
      </c>
      <c r="H4" s="9">
        <v>30</v>
      </c>
      <c r="J4" s="45" t="s">
        <v>78</v>
      </c>
      <c r="K4" s="44">
        <f>AVERAGE(G3:G133)</f>
        <v>23.664122137404579</v>
      </c>
      <c r="L4" s="44">
        <f>AVERAGE(C3:C133)</f>
        <v>24.045801526717558</v>
      </c>
    </row>
    <row r="5" spans="1:12">
      <c r="A5" s="5">
        <v>25</v>
      </c>
      <c r="B5" s="5">
        <v>25</v>
      </c>
      <c r="C5" s="5">
        <v>25</v>
      </c>
      <c r="D5" s="5">
        <v>25</v>
      </c>
      <c r="E5" s="5">
        <v>25</v>
      </c>
      <c r="F5" s="5">
        <v>25</v>
      </c>
      <c r="G5" s="5">
        <v>25</v>
      </c>
      <c r="H5" s="5">
        <v>25</v>
      </c>
      <c r="J5" s="45" t="s">
        <v>79</v>
      </c>
      <c r="K5" s="44">
        <f>AVERAGE(H3:H133)</f>
        <v>26.832061068702291</v>
      </c>
      <c r="L5" s="44">
        <f>AVERAGE(D3:D133)</f>
        <v>28.549618320610687</v>
      </c>
    </row>
    <row r="6" spans="1:12">
      <c r="A6" s="9">
        <v>20</v>
      </c>
      <c r="B6" s="9">
        <v>30</v>
      </c>
      <c r="C6" s="9">
        <v>30</v>
      </c>
      <c r="D6" s="9">
        <v>20</v>
      </c>
      <c r="E6" s="9">
        <v>20</v>
      </c>
      <c r="F6" s="9">
        <v>30</v>
      </c>
      <c r="G6" s="9">
        <v>30</v>
      </c>
      <c r="H6" s="9">
        <v>20</v>
      </c>
    </row>
    <row r="7" spans="1:12">
      <c r="A7" s="5">
        <v>15</v>
      </c>
      <c r="B7" s="5">
        <v>15</v>
      </c>
      <c r="C7" s="5">
        <v>25</v>
      </c>
      <c r="D7" s="5">
        <v>45</v>
      </c>
      <c r="E7" s="5">
        <v>20</v>
      </c>
      <c r="F7" s="5">
        <v>20</v>
      </c>
      <c r="G7" s="5">
        <v>20</v>
      </c>
      <c r="H7" s="5">
        <v>40</v>
      </c>
    </row>
    <row r="8" spans="1:12">
      <c r="A8" s="9">
        <v>30</v>
      </c>
      <c r="B8" s="9">
        <v>30</v>
      </c>
      <c r="C8" s="9">
        <v>20</v>
      </c>
      <c r="D8" s="9">
        <v>20</v>
      </c>
      <c r="E8" s="9">
        <v>30</v>
      </c>
      <c r="F8" s="9">
        <v>20</v>
      </c>
      <c r="G8" s="9">
        <v>30</v>
      </c>
      <c r="H8" s="9">
        <v>20</v>
      </c>
    </row>
    <row r="9" spans="1:12">
      <c r="A9" s="5">
        <v>25</v>
      </c>
      <c r="B9" s="5">
        <v>25</v>
      </c>
      <c r="C9" s="5">
        <v>25</v>
      </c>
      <c r="D9" s="5">
        <v>25</v>
      </c>
      <c r="E9" s="5">
        <v>25</v>
      </c>
      <c r="F9" s="5">
        <v>25</v>
      </c>
      <c r="G9" s="5">
        <v>25</v>
      </c>
      <c r="H9" s="5">
        <v>25</v>
      </c>
    </row>
    <row r="10" spans="1:12">
      <c r="A10" s="9">
        <v>25</v>
      </c>
      <c r="B10" s="9">
        <v>25</v>
      </c>
      <c r="C10" s="9">
        <v>25</v>
      </c>
      <c r="D10" s="9">
        <v>25</v>
      </c>
      <c r="E10" s="9">
        <v>25</v>
      </c>
      <c r="F10" s="9">
        <v>25</v>
      </c>
      <c r="G10" s="9">
        <v>25</v>
      </c>
      <c r="H10" s="9">
        <v>25</v>
      </c>
    </row>
    <row r="11" spans="1:12">
      <c r="A11" s="5">
        <v>25</v>
      </c>
      <c r="B11" s="5">
        <v>25</v>
      </c>
      <c r="C11" s="5">
        <v>25</v>
      </c>
      <c r="D11" s="5">
        <v>25</v>
      </c>
      <c r="E11" s="5">
        <v>25</v>
      </c>
      <c r="F11" s="5">
        <v>25</v>
      </c>
      <c r="G11" s="5">
        <v>25</v>
      </c>
      <c r="H11" s="5">
        <v>25</v>
      </c>
    </row>
    <row r="12" spans="1:12">
      <c r="A12" s="9">
        <v>20</v>
      </c>
      <c r="B12" s="9">
        <v>40</v>
      </c>
      <c r="C12" s="9">
        <v>10</v>
      </c>
      <c r="D12" s="9">
        <v>30</v>
      </c>
      <c r="E12" s="9">
        <v>20</v>
      </c>
      <c r="F12" s="9">
        <v>40</v>
      </c>
      <c r="G12" s="9">
        <v>10</v>
      </c>
      <c r="H12" s="9">
        <v>30</v>
      </c>
    </row>
    <row r="13" spans="1:12">
      <c r="A13" s="5">
        <v>10</v>
      </c>
      <c r="B13" s="5">
        <v>20</v>
      </c>
      <c r="C13" s="5">
        <v>30</v>
      </c>
      <c r="D13" s="5">
        <v>40</v>
      </c>
      <c r="E13" s="5">
        <v>20</v>
      </c>
      <c r="F13" s="5">
        <v>20</v>
      </c>
      <c r="G13" s="5">
        <v>40</v>
      </c>
      <c r="H13" s="5">
        <v>20</v>
      </c>
    </row>
    <row r="14" spans="1:12">
      <c r="A14" s="9">
        <v>25</v>
      </c>
      <c r="B14" s="9">
        <v>25</v>
      </c>
      <c r="C14" s="9">
        <v>25</v>
      </c>
      <c r="D14" s="9">
        <v>25</v>
      </c>
      <c r="E14" s="9">
        <v>25</v>
      </c>
      <c r="F14" s="9">
        <v>25</v>
      </c>
      <c r="G14" s="9">
        <v>25</v>
      </c>
      <c r="H14" s="9">
        <v>25</v>
      </c>
    </row>
    <row r="15" spans="1:12">
      <c r="A15" s="5">
        <v>25</v>
      </c>
      <c r="B15" s="5">
        <v>25</v>
      </c>
      <c r="C15" s="5">
        <v>25</v>
      </c>
      <c r="D15" s="5">
        <v>25</v>
      </c>
      <c r="E15" s="5">
        <v>25</v>
      </c>
      <c r="F15" s="5">
        <v>25</v>
      </c>
      <c r="G15" s="5">
        <v>25</v>
      </c>
      <c r="H15" s="5">
        <v>25</v>
      </c>
    </row>
    <row r="16" spans="1:12">
      <c r="A16" s="9">
        <v>20</v>
      </c>
      <c r="B16" s="9">
        <v>30</v>
      </c>
      <c r="C16" s="9">
        <v>20</v>
      </c>
      <c r="D16" s="9">
        <v>30</v>
      </c>
      <c r="E16" s="9">
        <v>20</v>
      </c>
      <c r="F16" s="9">
        <v>30</v>
      </c>
      <c r="G16" s="9">
        <v>20</v>
      </c>
      <c r="H16" s="9">
        <v>30</v>
      </c>
    </row>
    <row r="17" spans="1:8">
      <c r="A17" s="5">
        <v>30</v>
      </c>
      <c r="B17" s="5">
        <v>30</v>
      </c>
      <c r="C17" s="5">
        <v>20</v>
      </c>
      <c r="D17" s="5">
        <v>20</v>
      </c>
      <c r="E17" s="5">
        <v>20</v>
      </c>
      <c r="F17" s="5">
        <v>30</v>
      </c>
      <c r="G17" s="5">
        <v>20</v>
      </c>
      <c r="H17" s="5">
        <v>30</v>
      </c>
    </row>
    <row r="18" spans="1:8">
      <c r="A18" s="9">
        <v>25</v>
      </c>
      <c r="B18" s="9">
        <v>25</v>
      </c>
      <c r="C18" s="9">
        <v>25</v>
      </c>
      <c r="D18" s="9">
        <v>25</v>
      </c>
      <c r="E18" s="9">
        <v>25</v>
      </c>
      <c r="F18" s="9">
        <v>25</v>
      </c>
      <c r="G18" s="9">
        <v>25</v>
      </c>
      <c r="H18" s="9">
        <v>25</v>
      </c>
    </row>
    <row r="19" spans="1:8">
      <c r="A19" s="5">
        <v>10</v>
      </c>
      <c r="B19" s="5">
        <v>10</v>
      </c>
      <c r="C19" s="5">
        <v>10</v>
      </c>
      <c r="D19" s="5">
        <v>70</v>
      </c>
      <c r="E19" s="5">
        <v>20</v>
      </c>
      <c r="F19" s="5">
        <v>20</v>
      </c>
      <c r="G19" s="5">
        <v>30</v>
      </c>
      <c r="H19" s="5">
        <v>30</v>
      </c>
    </row>
    <row r="20" spans="1:8">
      <c r="A20" s="9">
        <v>20</v>
      </c>
      <c r="B20" s="9">
        <v>30</v>
      </c>
      <c r="C20" s="9">
        <v>20</v>
      </c>
      <c r="D20" s="9">
        <v>30</v>
      </c>
      <c r="E20" s="9">
        <v>20</v>
      </c>
      <c r="F20" s="9">
        <v>30</v>
      </c>
      <c r="G20" s="9">
        <v>20</v>
      </c>
      <c r="H20" s="9">
        <v>30</v>
      </c>
    </row>
    <row r="21" spans="1:8">
      <c r="A21" s="5">
        <v>20</v>
      </c>
      <c r="B21" s="5">
        <v>40</v>
      </c>
      <c r="C21" s="5">
        <v>20</v>
      </c>
      <c r="D21" s="5">
        <v>20</v>
      </c>
      <c r="E21" s="5">
        <v>20</v>
      </c>
      <c r="F21" s="5">
        <v>20</v>
      </c>
      <c r="G21" s="5">
        <v>30</v>
      </c>
      <c r="H21" s="5">
        <v>30</v>
      </c>
    </row>
    <row r="22" spans="1:8">
      <c r="A22" s="9">
        <v>25</v>
      </c>
      <c r="B22" s="9">
        <v>25</v>
      </c>
      <c r="C22" s="9">
        <v>25</v>
      </c>
      <c r="D22" s="9">
        <v>25</v>
      </c>
      <c r="E22" s="9">
        <v>25</v>
      </c>
      <c r="F22" s="9">
        <v>25</v>
      </c>
      <c r="G22" s="9">
        <v>25</v>
      </c>
      <c r="H22" s="9">
        <v>25</v>
      </c>
    </row>
    <row r="23" spans="1:8">
      <c r="A23" s="5">
        <v>10</v>
      </c>
      <c r="B23" s="5">
        <v>10</v>
      </c>
      <c r="C23" s="5">
        <v>60</v>
      </c>
      <c r="D23" s="5">
        <v>20</v>
      </c>
      <c r="E23" s="5">
        <v>10</v>
      </c>
      <c r="F23" s="5">
        <v>10</v>
      </c>
      <c r="G23" s="5">
        <v>60</v>
      </c>
      <c r="H23" s="5">
        <v>20</v>
      </c>
    </row>
    <row r="24" spans="1:8">
      <c r="A24" s="9">
        <v>10</v>
      </c>
      <c r="B24" s="9">
        <v>10</v>
      </c>
      <c r="C24" s="9">
        <v>10</v>
      </c>
      <c r="D24" s="9">
        <v>70</v>
      </c>
      <c r="E24" s="9">
        <v>20</v>
      </c>
      <c r="F24" s="9">
        <v>20</v>
      </c>
      <c r="G24" s="9">
        <v>20</v>
      </c>
      <c r="H24" s="9">
        <v>40</v>
      </c>
    </row>
    <row r="25" spans="1:8">
      <c r="A25" s="5">
        <v>25</v>
      </c>
      <c r="B25" s="5">
        <v>25</v>
      </c>
      <c r="C25" s="5">
        <v>25</v>
      </c>
      <c r="D25" s="5">
        <v>25</v>
      </c>
      <c r="E25" s="5">
        <v>25</v>
      </c>
      <c r="F25" s="5">
        <v>25</v>
      </c>
      <c r="G25" s="5">
        <v>25</v>
      </c>
      <c r="H25" s="5">
        <v>25</v>
      </c>
    </row>
    <row r="26" spans="1:8">
      <c r="A26" s="9">
        <v>10</v>
      </c>
      <c r="B26" s="9">
        <v>20</v>
      </c>
      <c r="C26" s="9">
        <v>20</v>
      </c>
      <c r="D26" s="9">
        <v>50</v>
      </c>
      <c r="E26" s="9">
        <v>40</v>
      </c>
      <c r="F26" s="9">
        <v>20</v>
      </c>
      <c r="G26" s="9">
        <v>20</v>
      </c>
      <c r="H26" s="9">
        <v>20</v>
      </c>
    </row>
    <row r="27" spans="1:8">
      <c r="A27" s="5">
        <v>10</v>
      </c>
      <c r="B27" s="5">
        <v>10</v>
      </c>
      <c r="C27" s="5">
        <v>70</v>
      </c>
      <c r="D27" s="5">
        <v>10</v>
      </c>
      <c r="E27" s="5">
        <v>10</v>
      </c>
      <c r="F27" s="5">
        <v>10</v>
      </c>
      <c r="G27" s="5">
        <v>10</v>
      </c>
      <c r="H27" s="5">
        <v>70</v>
      </c>
    </row>
    <row r="28" spans="1:8">
      <c r="A28" s="9">
        <v>30</v>
      </c>
      <c r="B28" s="9">
        <v>30</v>
      </c>
      <c r="C28" s="9">
        <v>30</v>
      </c>
      <c r="D28" s="9">
        <v>10</v>
      </c>
      <c r="E28" s="9">
        <v>20</v>
      </c>
      <c r="F28" s="9">
        <v>20</v>
      </c>
      <c r="G28" s="9">
        <v>30</v>
      </c>
      <c r="H28" s="9">
        <v>30</v>
      </c>
    </row>
    <row r="29" spans="1:8">
      <c r="A29" s="5">
        <v>30</v>
      </c>
      <c r="B29" s="5">
        <v>20</v>
      </c>
      <c r="C29" s="5">
        <v>30</v>
      </c>
      <c r="D29" s="5">
        <v>20</v>
      </c>
      <c r="E29" s="5">
        <v>30</v>
      </c>
      <c r="F29" s="5">
        <v>10</v>
      </c>
      <c r="G29" s="5">
        <v>30</v>
      </c>
      <c r="H29" s="5">
        <v>30</v>
      </c>
    </row>
    <row r="30" spans="1:8">
      <c r="A30" s="9">
        <v>10</v>
      </c>
      <c r="B30" s="9">
        <v>20</v>
      </c>
      <c r="C30" s="9">
        <v>35</v>
      </c>
      <c r="D30" s="9">
        <v>35</v>
      </c>
      <c r="E30" s="9">
        <v>10</v>
      </c>
      <c r="F30" s="9">
        <v>30</v>
      </c>
      <c r="G30" s="9">
        <v>30</v>
      </c>
      <c r="H30" s="9">
        <v>30</v>
      </c>
    </row>
    <row r="31" spans="1:8">
      <c r="A31" s="5">
        <v>10</v>
      </c>
      <c r="B31" s="5">
        <v>30</v>
      </c>
      <c r="C31" s="5">
        <v>30</v>
      </c>
      <c r="D31" s="5">
        <v>30</v>
      </c>
      <c r="E31" s="5">
        <v>10</v>
      </c>
      <c r="F31" s="5">
        <v>30</v>
      </c>
      <c r="G31" s="5">
        <v>30</v>
      </c>
      <c r="H31" s="5">
        <v>30</v>
      </c>
    </row>
    <row r="32" spans="1:8">
      <c r="A32" s="9">
        <v>30</v>
      </c>
      <c r="B32" s="9">
        <v>30</v>
      </c>
      <c r="C32" s="9">
        <v>20</v>
      </c>
      <c r="D32" s="9">
        <v>20</v>
      </c>
      <c r="E32" s="9">
        <v>30</v>
      </c>
      <c r="F32" s="9">
        <v>30</v>
      </c>
      <c r="G32" s="9">
        <v>20</v>
      </c>
      <c r="H32" s="9">
        <v>20</v>
      </c>
    </row>
    <row r="33" spans="1:8">
      <c r="A33" s="5">
        <v>25</v>
      </c>
      <c r="B33" s="5">
        <v>25</v>
      </c>
      <c r="C33" s="5">
        <v>25</v>
      </c>
      <c r="D33" s="5">
        <v>25</v>
      </c>
      <c r="E33" s="5">
        <v>25</v>
      </c>
      <c r="F33" s="5">
        <v>25</v>
      </c>
      <c r="G33" s="5">
        <v>25</v>
      </c>
      <c r="H33" s="5">
        <v>25</v>
      </c>
    </row>
    <row r="34" spans="1:8">
      <c r="A34" s="9">
        <v>30</v>
      </c>
      <c r="B34" s="9">
        <v>30</v>
      </c>
      <c r="C34" s="9">
        <v>20</v>
      </c>
      <c r="D34" s="9">
        <v>20</v>
      </c>
      <c r="E34" s="9">
        <v>30</v>
      </c>
      <c r="F34" s="9">
        <v>30</v>
      </c>
      <c r="G34" s="9">
        <v>20</v>
      </c>
      <c r="H34" s="9">
        <v>20</v>
      </c>
    </row>
    <row r="35" spans="1:8">
      <c r="A35" s="5">
        <v>20</v>
      </c>
      <c r="B35" s="5">
        <v>20</v>
      </c>
      <c r="C35" s="5">
        <v>10</v>
      </c>
      <c r="D35" s="5">
        <v>50</v>
      </c>
      <c r="E35" s="5">
        <v>20</v>
      </c>
      <c r="F35" s="5">
        <v>20</v>
      </c>
      <c r="G35" s="5">
        <v>30</v>
      </c>
      <c r="H35" s="5">
        <v>30</v>
      </c>
    </row>
    <row r="36" spans="1:8">
      <c r="A36" s="9">
        <v>10</v>
      </c>
      <c r="B36" s="9">
        <v>30</v>
      </c>
      <c r="C36" s="9">
        <v>30</v>
      </c>
      <c r="D36" s="9">
        <v>30</v>
      </c>
      <c r="E36" s="9">
        <v>15</v>
      </c>
      <c r="F36" s="9">
        <v>25</v>
      </c>
      <c r="G36" s="9">
        <v>25</v>
      </c>
      <c r="H36" s="9">
        <v>35</v>
      </c>
    </row>
    <row r="37" spans="1:8">
      <c r="A37" s="5">
        <v>10</v>
      </c>
      <c r="B37" s="5">
        <v>30</v>
      </c>
      <c r="C37" s="5">
        <v>20</v>
      </c>
      <c r="D37" s="5">
        <v>40</v>
      </c>
      <c r="E37" s="5">
        <v>10</v>
      </c>
      <c r="F37" s="5">
        <v>20</v>
      </c>
      <c r="G37" s="5">
        <v>30</v>
      </c>
      <c r="H37" s="5">
        <v>40</v>
      </c>
    </row>
    <row r="38" spans="1:8">
      <c r="A38" s="9">
        <v>30</v>
      </c>
      <c r="B38" s="9">
        <v>30</v>
      </c>
      <c r="C38" s="9">
        <v>20</v>
      </c>
      <c r="D38" s="9">
        <v>20</v>
      </c>
      <c r="E38" s="9">
        <v>30</v>
      </c>
      <c r="F38" s="9">
        <v>30</v>
      </c>
      <c r="G38" s="9">
        <v>20</v>
      </c>
      <c r="H38" s="9">
        <v>20</v>
      </c>
    </row>
    <row r="39" spans="1:8">
      <c r="A39" s="5">
        <v>30</v>
      </c>
      <c r="B39" s="5">
        <v>20</v>
      </c>
      <c r="C39" s="5">
        <v>30</v>
      </c>
      <c r="D39" s="5">
        <v>20</v>
      </c>
      <c r="E39" s="5">
        <v>20</v>
      </c>
      <c r="F39" s="5">
        <v>30</v>
      </c>
      <c r="G39" s="5">
        <v>20</v>
      </c>
      <c r="H39" s="5">
        <v>30</v>
      </c>
    </row>
    <row r="40" spans="1:8">
      <c r="A40" s="9">
        <v>25</v>
      </c>
      <c r="B40" s="9">
        <v>25</v>
      </c>
      <c r="C40" s="9">
        <v>25</v>
      </c>
      <c r="D40" s="9">
        <v>25</v>
      </c>
      <c r="E40" s="9">
        <v>25</v>
      </c>
      <c r="F40" s="9">
        <v>25</v>
      </c>
      <c r="G40" s="9">
        <v>25</v>
      </c>
      <c r="H40" s="9">
        <v>25</v>
      </c>
    </row>
    <row r="41" spans="1:8">
      <c r="A41" s="5">
        <v>25</v>
      </c>
      <c r="B41" s="5">
        <v>25</v>
      </c>
      <c r="C41" s="5">
        <v>25</v>
      </c>
      <c r="D41" s="5">
        <v>25</v>
      </c>
      <c r="E41" s="5">
        <v>25</v>
      </c>
      <c r="F41" s="5">
        <v>25</v>
      </c>
      <c r="G41" s="5">
        <v>25</v>
      </c>
      <c r="H41" s="5">
        <v>25</v>
      </c>
    </row>
    <row r="42" spans="1:8">
      <c r="A42" s="9">
        <v>40</v>
      </c>
      <c r="B42" s="9">
        <v>30</v>
      </c>
      <c r="C42" s="9">
        <v>20</v>
      </c>
      <c r="D42" s="9">
        <v>10</v>
      </c>
      <c r="E42" s="9">
        <v>40</v>
      </c>
      <c r="F42" s="9">
        <v>30</v>
      </c>
      <c r="G42" s="9">
        <v>20</v>
      </c>
      <c r="H42" s="9">
        <v>10</v>
      </c>
    </row>
    <row r="43" spans="1:8">
      <c r="A43" s="5">
        <v>20</v>
      </c>
      <c r="B43" s="5">
        <v>20</v>
      </c>
      <c r="C43" s="5">
        <v>30</v>
      </c>
      <c r="D43" s="5">
        <v>30</v>
      </c>
      <c r="E43" s="5">
        <v>30</v>
      </c>
      <c r="F43" s="5">
        <v>30</v>
      </c>
      <c r="G43" s="5">
        <v>20</v>
      </c>
      <c r="H43" s="5">
        <v>20</v>
      </c>
    </row>
    <row r="44" spans="1:8">
      <c r="A44" s="9">
        <v>50</v>
      </c>
      <c r="B44" s="9">
        <v>30</v>
      </c>
      <c r="C44" s="9">
        <v>10</v>
      </c>
      <c r="D44" s="9">
        <v>10</v>
      </c>
      <c r="E44" s="9">
        <v>40</v>
      </c>
      <c r="F44" s="9">
        <v>20</v>
      </c>
      <c r="G44" s="9">
        <v>20</v>
      </c>
      <c r="H44" s="9">
        <v>20</v>
      </c>
    </row>
    <row r="45" spans="1:8">
      <c r="A45" s="5">
        <v>10</v>
      </c>
      <c r="B45" s="5">
        <v>20</v>
      </c>
      <c r="C45" s="5">
        <v>30</v>
      </c>
      <c r="D45" s="5">
        <v>40</v>
      </c>
      <c r="E45" s="5">
        <v>10</v>
      </c>
      <c r="F45" s="5">
        <v>20</v>
      </c>
      <c r="G45" s="5">
        <v>30</v>
      </c>
      <c r="H45" s="5">
        <v>40</v>
      </c>
    </row>
    <row r="46" spans="1:8">
      <c r="A46" s="9">
        <v>30</v>
      </c>
      <c r="B46" s="9">
        <v>20</v>
      </c>
      <c r="C46" s="9">
        <v>10</v>
      </c>
      <c r="D46" s="9">
        <v>40</v>
      </c>
      <c r="E46" s="9">
        <v>20</v>
      </c>
      <c r="F46" s="9">
        <v>30</v>
      </c>
      <c r="G46" s="9">
        <v>10</v>
      </c>
      <c r="H46" s="9">
        <v>40</v>
      </c>
    </row>
    <row r="47" spans="1:8">
      <c r="A47" s="5">
        <v>25</v>
      </c>
      <c r="B47" s="5">
        <v>25</v>
      </c>
      <c r="C47" s="5">
        <v>25</v>
      </c>
      <c r="D47" s="5">
        <v>25</v>
      </c>
      <c r="E47" s="5">
        <v>25</v>
      </c>
      <c r="F47" s="5">
        <v>25</v>
      </c>
      <c r="G47" s="5">
        <v>25</v>
      </c>
      <c r="H47" s="5">
        <v>25</v>
      </c>
    </row>
    <row r="48" spans="1:8">
      <c r="A48" s="9">
        <v>30</v>
      </c>
      <c r="B48" s="9">
        <v>30</v>
      </c>
      <c r="C48" s="9">
        <v>30</v>
      </c>
      <c r="D48" s="9">
        <v>10</v>
      </c>
      <c r="E48" s="9">
        <v>30</v>
      </c>
      <c r="F48" s="9">
        <v>30</v>
      </c>
      <c r="G48" s="9">
        <v>30</v>
      </c>
      <c r="H48" s="9">
        <v>10</v>
      </c>
    </row>
    <row r="49" spans="1:8">
      <c r="A49" s="5">
        <v>25</v>
      </c>
      <c r="B49" s="5">
        <v>25</v>
      </c>
      <c r="C49" s="5">
        <v>25</v>
      </c>
      <c r="D49" s="5">
        <v>25</v>
      </c>
      <c r="E49" s="5">
        <v>25</v>
      </c>
      <c r="F49" s="5">
        <v>25</v>
      </c>
      <c r="G49" s="5">
        <v>25</v>
      </c>
      <c r="H49" s="5">
        <v>25</v>
      </c>
    </row>
    <row r="50" spans="1:8">
      <c r="A50" s="9">
        <v>25</v>
      </c>
      <c r="B50" s="9">
        <v>25</v>
      </c>
      <c r="C50" s="9">
        <v>25</v>
      </c>
      <c r="D50" s="9">
        <v>25</v>
      </c>
      <c r="E50" s="9">
        <v>10</v>
      </c>
      <c r="F50" s="9">
        <v>40</v>
      </c>
      <c r="G50" s="9">
        <v>25</v>
      </c>
      <c r="H50" s="9">
        <v>25</v>
      </c>
    </row>
    <row r="51" spans="1:8">
      <c r="A51" s="5">
        <v>40</v>
      </c>
      <c r="B51" s="5">
        <v>20</v>
      </c>
      <c r="C51" s="5">
        <v>20</v>
      </c>
      <c r="D51" s="5">
        <v>20</v>
      </c>
      <c r="E51" s="5">
        <v>40</v>
      </c>
      <c r="F51" s="5">
        <v>20</v>
      </c>
      <c r="G51" s="5">
        <v>20</v>
      </c>
      <c r="H51" s="5">
        <v>20</v>
      </c>
    </row>
    <row r="52" spans="1:8">
      <c r="A52" s="9">
        <v>10</v>
      </c>
      <c r="B52" s="9">
        <v>10</v>
      </c>
      <c r="C52" s="9">
        <v>70</v>
      </c>
      <c r="D52" s="9">
        <v>10</v>
      </c>
      <c r="E52" s="9">
        <v>10</v>
      </c>
      <c r="F52" s="9">
        <v>30</v>
      </c>
      <c r="G52" s="9">
        <v>30</v>
      </c>
      <c r="H52" s="9">
        <v>30</v>
      </c>
    </row>
    <row r="53" spans="1:8">
      <c r="A53" s="5">
        <v>20</v>
      </c>
      <c r="B53" s="5">
        <v>20</v>
      </c>
      <c r="C53" s="5">
        <v>20</v>
      </c>
      <c r="D53" s="5">
        <v>40</v>
      </c>
      <c r="E53" s="5">
        <v>30</v>
      </c>
      <c r="F53" s="5">
        <v>30</v>
      </c>
      <c r="G53" s="5">
        <v>20</v>
      </c>
      <c r="H53" s="5">
        <v>20</v>
      </c>
    </row>
    <row r="54" spans="1:8">
      <c r="A54" s="9">
        <v>20</v>
      </c>
      <c r="B54" s="9">
        <v>30</v>
      </c>
      <c r="C54" s="9">
        <v>20</v>
      </c>
      <c r="D54" s="9">
        <v>30</v>
      </c>
      <c r="E54" s="9">
        <v>20</v>
      </c>
      <c r="F54" s="9">
        <v>30</v>
      </c>
      <c r="G54" s="9">
        <v>20</v>
      </c>
      <c r="H54" s="9">
        <v>30</v>
      </c>
    </row>
    <row r="55" spans="1:8">
      <c r="A55" s="5">
        <v>25</v>
      </c>
      <c r="B55" s="5">
        <v>25</v>
      </c>
      <c r="C55" s="5">
        <v>25</v>
      </c>
      <c r="D55" s="5">
        <v>25</v>
      </c>
      <c r="E55" s="5">
        <v>25</v>
      </c>
      <c r="F55" s="5">
        <v>25</v>
      </c>
      <c r="G55" s="5">
        <v>25</v>
      </c>
      <c r="H55" s="5">
        <v>25</v>
      </c>
    </row>
    <row r="56" spans="1:8">
      <c r="A56" s="9">
        <v>25</v>
      </c>
      <c r="B56" s="9">
        <v>25</v>
      </c>
      <c r="C56" s="9">
        <v>25</v>
      </c>
      <c r="D56" s="9">
        <v>25</v>
      </c>
      <c r="E56" s="9">
        <v>25</v>
      </c>
      <c r="F56" s="9">
        <v>25</v>
      </c>
      <c r="G56" s="9">
        <v>25</v>
      </c>
      <c r="H56" s="9">
        <v>25</v>
      </c>
    </row>
    <row r="57" spans="1:8">
      <c r="A57" s="5">
        <v>25</v>
      </c>
      <c r="B57" s="5">
        <v>25</v>
      </c>
      <c r="C57" s="5">
        <v>25</v>
      </c>
      <c r="D57" s="5">
        <v>25</v>
      </c>
      <c r="E57" s="5">
        <v>20</v>
      </c>
      <c r="F57" s="5">
        <v>40</v>
      </c>
      <c r="G57" s="5">
        <v>20</v>
      </c>
      <c r="H57" s="5">
        <v>20</v>
      </c>
    </row>
    <row r="58" spans="1:8">
      <c r="A58" s="9">
        <v>30</v>
      </c>
      <c r="B58" s="9">
        <v>30</v>
      </c>
      <c r="C58" s="9">
        <v>10</v>
      </c>
      <c r="D58" s="9">
        <v>30</v>
      </c>
      <c r="E58" s="9">
        <v>30</v>
      </c>
      <c r="F58" s="9">
        <v>30</v>
      </c>
      <c r="G58" s="9">
        <v>10</v>
      </c>
      <c r="H58" s="9">
        <v>30</v>
      </c>
    </row>
    <row r="59" spans="1:8">
      <c r="A59" s="5">
        <v>25</v>
      </c>
      <c r="B59" s="5">
        <v>25</v>
      </c>
      <c r="C59" s="5">
        <v>25</v>
      </c>
      <c r="D59" s="5">
        <v>25</v>
      </c>
      <c r="E59" s="5">
        <v>25</v>
      </c>
      <c r="F59" s="5">
        <v>25</v>
      </c>
      <c r="G59" s="5">
        <v>25</v>
      </c>
      <c r="H59" s="5">
        <v>25</v>
      </c>
    </row>
    <row r="60" spans="1:8">
      <c r="A60" s="9">
        <v>25</v>
      </c>
      <c r="B60" s="9">
        <v>25</v>
      </c>
      <c r="C60" s="9">
        <v>25</v>
      </c>
      <c r="D60" s="9">
        <v>25</v>
      </c>
      <c r="E60" s="9">
        <v>25</v>
      </c>
      <c r="F60" s="9">
        <v>25</v>
      </c>
      <c r="G60" s="9">
        <v>25</v>
      </c>
      <c r="H60" s="9">
        <v>25</v>
      </c>
    </row>
    <row r="61" spans="1:8">
      <c r="A61" s="5">
        <v>20</v>
      </c>
      <c r="B61" s="5">
        <v>10</v>
      </c>
      <c r="C61" s="5">
        <v>10</v>
      </c>
      <c r="D61" s="5">
        <v>60</v>
      </c>
      <c r="E61" s="5">
        <v>20</v>
      </c>
      <c r="F61" s="5">
        <v>20</v>
      </c>
      <c r="G61" s="5">
        <v>30</v>
      </c>
      <c r="H61" s="5">
        <v>30</v>
      </c>
    </row>
    <row r="62" spans="1:8">
      <c r="A62" s="9">
        <v>10</v>
      </c>
      <c r="B62" s="9">
        <v>10</v>
      </c>
      <c r="C62" s="9">
        <v>10</v>
      </c>
      <c r="D62" s="9">
        <v>70</v>
      </c>
      <c r="E62" s="9">
        <v>10</v>
      </c>
      <c r="F62" s="9">
        <v>10</v>
      </c>
      <c r="G62" s="9">
        <v>40</v>
      </c>
      <c r="H62" s="9">
        <v>40</v>
      </c>
    </row>
    <row r="63" spans="1:8">
      <c r="A63" s="5">
        <v>10</v>
      </c>
      <c r="B63" s="5">
        <v>30</v>
      </c>
      <c r="C63" s="5">
        <v>30</v>
      </c>
      <c r="D63" s="5">
        <v>30</v>
      </c>
      <c r="E63" s="5">
        <v>25</v>
      </c>
      <c r="F63" s="5">
        <v>15</v>
      </c>
      <c r="G63" s="5">
        <v>35</v>
      </c>
      <c r="H63" s="5">
        <v>25</v>
      </c>
    </row>
    <row r="64" spans="1:8">
      <c r="A64" s="9">
        <v>30</v>
      </c>
      <c r="B64" s="9">
        <v>30</v>
      </c>
      <c r="C64" s="9">
        <v>20</v>
      </c>
      <c r="D64" s="9">
        <v>20</v>
      </c>
      <c r="E64" s="9">
        <v>30</v>
      </c>
      <c r="F64" s="9">
        <v>20</v>
      </c>
      <c r="G64" s="9">
        <v>20</v>
      </c>
      <c r="H64" s="9">
        <v>30</v>
      </c>
    </row>
    <row r="65" spans="1:8">
      <c r="A65" s="5">
        <v>10</v>
      </c>
      <c r="B65" s="5">
        <v>20</v>
      </c>
      <c r="C65" s="5">
        <v>40</v>
      </c>
      <c r="D65" s="5">
        <v>30</v>
      </c>
      <c r="E65" s="5">
        <v>20</v>
      </c>
      <c r="F65" s="5">
        <v>30</v>
      </c>
      <c r="G65" s="5">
        <v>30</v>
      </c>
      <c r="H65" s="5">
        <v>20</v>
      </c>
    </row>
    <row r="66" spans="1:8">
      <c r="A66" s="9">
        <v>20</v>
      </c>
      <c r="B66" s="9">
        <v>20</v>
      </c>
      <c r="C66" s="9">
        <v>20</v>
      </c>
      <c r="D66" s="9">
        <v>40</v>
      </c>
      <c r="E66" s="9">
        <v>30</v>
      </c>
      <c r="F66" s="9">
        <v>30</v>
      </c>
      <c r="G66" s="9">
        <v>10</v>
      </c>
      <c r="H66" s="9">
        <v>30</v>
      </c>
    </row>
    <row r="67" spans="1:8">
      <c r="A67" s="5">
        <v>10</v>
      </c>
      <c r="B67" s="5">
        <v>20</v>
      </c>
      <c r="C67" s="5">
        <v>20</v>
      </c>
      <c r="D67" s="5">
        <v>50</v>
      </c>
      <c r="E67" s="5">
        <v>15</v>
      </c>
      <c r="F67" s="5">
        <v>25</v>
      </c>
      <c r="G67" s="5">
        <v>15</v>
      </c>
      <c r="H67" s="5">
        <v>45</v>
      </c>
    </row>
    <row r="68" spans="1:8">
      <c r="A68" s="9">
        <v>10</v>
      </c>
      <c r="B68" s="9">
        <v>30</v>
      </c>
      <c r="C68" s="9">
        <v>30</v>
      </c>
      <c r="D68" s="9">
        <v>30</v>
      </c>
      <c r="E68" s="9">
        <v>20</v>
      </c>
      <c r="F68" s="9">
        <v>20</v>
      </c>
      <c r="G68" s="9">
        <v>20</v>
      </c>
      <c r="H68" s="9">
        <v>40</v>
      </c>
    </row>
    <row r="69" spans="1:8">
      <c r="A69" s="5">
        <v>20</v>
      </c>
      <c r="B69" s="5">
        <v>30</v>
      </c>
      <c r="C69" s="5">
        <v>20</v>
      </c>
      <c r="D69" s="5">
        <v>30</v>
      </c>
      <c r="E69" s="5">
        <v>20</v>
      </c>
      <c r="F69" s="5">
        <v>30</v>
      </c>
      <c r="G69" s="5">
        <v>20</v>
      </c>
      <c r="H69" s="5">
        <v>30</v>
      </c>
    </row>
    <row r="70" spans="1:8">
      <c r="A70" s="9">
        <v>30</v>
      </c>
      <c r="B70" s="9">
        <v>30</v>
      </c>
      <c r="C70" s="9">
        <v>20</v>
      </c>
      <c r="D70" s="9">
        <v>20</v>
      </c>
      <c r="E70" s="9">
        <v>30</v>
      </c>
      <c r="F70" s="9">
        <v>30</v>
      </c>
      <c r="G70" s="9">
        <v>20</v>
      </c>
      <c r="H70" s="9">
        <v>20</v>
      </c>
    </row>
    <row r="71" spans="1:8">
      <c r="A71" s="5">
        <v>60</v>
      </c>
      <c r="B71" s="5">
        <v>10</v>
      </c>
      <c r="C71" s="5">
        <v>10</v>
      </c>
      <c r="D71" s="5">
        <v>20</v>
      </c>
      <c r="E71" s="5">
        <v>70</v>
      </c>
      <c r="F71" s="5">
        <v>10</v>
      </c>
      <c r="G71" s="5">
        <v>10</v>
      </c>
      <c r="H71" s="5">
        <v>10</v>
      </c>
    </row>
    <row r="72" spans="1:8">
      <c r="A72" s="9">
        <v>20</v>
      </c>
      <c r="B72" s="9">
        <v>20</v>
      </c>
      <c r="C72" s="9">
        <v>10</v>
      </c>
      <c r="D72" s="9">
        <v>50</v>
      </c>
      <c r="E72" s="9">
        <v>20</v>
      </c>
      <c r="F72" s="9">
        <v>20</v>
      </c>
      <c r="G72" s="9">
        <v>10</v>
      </c>
      <c r="H72" s="9">
        <v>50</v>
      </c>
    </row>
    <row r="73" spans="1:8">
      <c r="A73" s="5">
        <v>40</v>
      </c>
      <c r="B73" s="5">
        <v>20</v>
      </c>
      <c r="C73" s="5">
        <v>20</v>
      </c>
      <c r="D73" s="5">
        <v>20</v>
      </c>
      <c r="E73" s="5">
        <v>20</v>
      </c>
      <c r="F73" s="5">
        <v>20</v>
      </c>
      <c r="G73" s="5">
        <v>20</v>
      </c>
      <c r="H73" s="5">
        <v>40</v>
      </c>
    </row>
    <row r="74" spans="1:8">
      <c r="A74" s="9">
        <v>10</v>
      </c>
      <c r="B74" s="9">
        <v>10</v>
      </c>
      <c r="C74" s="9">
        <v>10</v>
      </c>
      <c r="D74" s="9">
        <v>70</v>
      </c>
      <c r="E74" s="9">
        <v>40</v>
      </c>
      <c r="F74" s="9">
        <v>20</v>
      </c>
      <c r="G74" s="9">
        <v>10</v>
      </c>
      <c r="H74" s="9">
        <v>30</v>
      </c>
    </row>
    <row r="75" spans="1:8">
      <c r="A75" s="5">
        <v>30</v>
      </c>
      <c r="B75" s="5">
        <v>30</v>
      </c>
      <c r="C75" s="5">
        <v>20</v>
      </c>
      <c r="D75" s="5">
        <v>20</v>
      </c>
      <c r="E75" s="5">
        <v>30</v>
      </c>
      <c r="F75" s="5">
        <v>30</v>
      </c>
      <c r="G75" s="5">
        <v>20</v>
      </c>
      <c r="H75" s="5">
        <v>20</v>
      </c>
    </row>
    <row r="76" spans="1:8">
      <c r="A76" s="9">
        <v>25</v>
      </c>
      <c r="B76" s="9">
        <v>25</v>
      </c>
      <c r="C76" s="9">
        <v>25</v>
      </c>
      <c r="D76" s="9">
        <v>25</v>
      </c>
      <c r="E76" s="9">
        <v>25</v>
      </c>
      <c r="F76" s="9">
        <v>25</v>
      </c>
      <c r="G76" s="9">
        <v>25</v>
      </c>
      <c r="H76" s="9">
        <v>25</v>
      </c>
    </row>
    <row r="77" spans="1:8">
      <c r="A77" s="5">
        <v>25</v>
      </c>
      <c r="B77" s="5">
        <v>25</v>
      </c>
      <c r="C77" s="5">
        <v>25</v>
      </c>
      <c r="D77" s="5">
        <v>25</v>
      </c>
      <c r="E77" s="5">
        <v>25</v>
      </c>
      <c r="F77" s="5">
        <v>25</v>
      </c>
      <c r="G77" s="5">
        <v>25</v>
      </c>
      <c r="H77" s="5">
        <v>25</v>
      </c>
    </row>
    <row r="78" spans="1:8">
      <c r="A78" s="9">
        <v>20</v>
      </c>
      <c r="B78" s="9">
        <v>20</v>
      </c>
      <c r="C78" s="9">
        <v>30</v>
      </c>
      <c r="D78" s="9">
        <v>30</v>
      </c>
      <c r="E78" s="9">
        <v>20</v>
      </c>
      <c r="F78" s="9">
        <v>20</v>
      </c>
      <c r="G78" s="9">
        <v>30</v>
      </c>
      <c r="H78" s="9">
        <v>30</v>
      </c>
    </row>
    <row r="79" spans="1:8">
      <c r="A79" s="5">
        <v>20</v>
      </c>
      <c r="B79" s="5">
        <v>30</v>
      </c>
      <c r="C79" s="5">
        <v>30</v>
      </c>
      <c r="D79" s="5">
        <v>20</v>
      </c>
      <c r="E79" s="5">
        <v>20</v>
      </c>
      <c r="F79" s="5">
        <v>30</v>
      </c>
      <c r="G79" s="5">
        <v>30</v>
      </c>
      <c r="H79" s="5">
        <v>20</v>
      </c>
    </row>
    <row r="80" spans="1:8">
      <c r="A80" s="9">
        <v>25</v>
      </c>
      <c r="B80" s="9">
        <v>25</v>
      </c>
      <c r="C80" s="9">
        <v>25</v>
      </c>
      <c r="D80" s="9">
        <v>25</v>
      </c>
      <c r="E80" s="9">
        <v>25</v>
      </c>
      <c r="F80" s="9">
        <v>25</v>
      </c>
      <c r="G80" s="9">
        <v>25</v>
      </c>
      <c r="H80" s="9">
        <v>25</v>
      </c>
    </row>
    <row r="81" spans="1:8">
      <c r="A81" s="5">
        <v>20</v>
      </c>
      <c r="B81" s="5">
        <v>20</v>
      </c>
      <c r="C81" s="5">
        <v>20</v>
      </c>
      <c r="D81" s="5">
        <v>40</v>
      </c>
      <c r="E81" s="5">
        <v>20</v>
      </c>
      <c r="F81" s="5">
        <v>20</v>
      </c>
      <c r="G81" s="5">
        <v>20</v>
      </c>
      <c r="H81" s="5">
        <v>40</v>
      </c>
    </row>
    <row r="82" spans="1:8">
      <c r="A82" s="9">
        <v>20</v>
      </c>
      <c r="B82" s="9">
        <v>30</v>
      </c>
      <c r="C82" s="9">
        <v>20</v>
      </c>
      <c r="D82" s="9">
        <v>30</v>
      </c>
      <c r="E82" s="9">
        <v>20</v>
      </c>
      <c r="F82" s="9">
        <v>20</v>
      </c>
      <c r="G82" s="9">
        <v>30</v>
      </c>
      <c r="H82" s="9">
        <v>30</v>
      </c>
    </row>
    <row r="83" spans="1:8">
      <c r="A83" s="5">
        <v>20</v>
      </c>
      <c r="B83" s="5">
        <v>20</v>
      </c>
      <c r="C83" s="5">
        <v>10</v>
      </c>
      <c r="D83" s="5">
        <v>50</v>
      </c>
      <c r="E83" s="5">
        <v>40</v>
      </c>
      <c r="F83" s="5">
        <v>15</v>
      </c>
      <c r="G83" s="5">
        <v>30</v>
      </c>
      <c r="H83" s="5">
        <v>15</v>
      </c>
    </row>
    <row r="84" spans="1:8">
      <c r="A84" s="9">
        <v>25</v>
      </c>
      <c r="B84" s="9">
        <v>25</v>
      </c>
      <c r="C84" s="9">
        <v>25</v>
      </c>
      <c r="D84" s="9">
        <v>25</v>
      </c>
      <c r="E84" s="9">
        <v>25</v>
      </c>
      <c r="F84" s="9">
        <v>25</v>
      </c>
      <c r="G84" s="9">
        <v>25</v>
      </c>
      <c r="H84" s="9">
        <v>25</v>
      </c>
    </row>
    <row r="85" spans="1:8">
      <c r="A85" s="5">
        <v>70</v>
      </c>
      <c r="B85" s="5">
        <v>10</v>
      </c>
      <c r="C85" s="5">
        <v>10</v>
      </c>
      <c r="D85" s="5">
        <v>10</v>
      </c>
      <c r="E85" s="5">
        <v>70</v>
      </c>
      <c r="F85" s="5">
        <v>10</v>
      </c>
      <c r="G85" s="5">
        <v>10</v>
      </c>
      <c r="H85" s="5">
        <v>10</v>
      </c>
    </row>
    <row r="86" spans="1:8">
      <c r="A86" s="9">
        <v>20</v>
      </c>
      <c r="B86" s="9">
        <v>20</v>
      </c>
      <c r="C86" s="9">
        <v>40</v>
      </c>
      <c r="D86" s="9">
        <v>20</v>
      </c>
      <c r="E86" s="9">
        <v>25</v>
      </c>
      <c r="F86" s="9">
        <v>25</v>
      </c>
      <c r="G86" s="9">
        <v>25</v>
      </c>
      <c r="H86" s="9">
        <v>25</v>
      </c>
    </row>
    <row r="87" spans="1:8">
      <c r="A87" s="5">
        <v>20</v>
      </c>
      <c r="B87" s="5">
        <v>20</v>
      </c>
      <c r="C87" s="5">
        <v>30</v>
      </c>
      <c r="D87" s="5">
        <v>30</v>
      </c>
      <c r="E87" s="5">
        <v>20</v>
      </c>
      <c r="F87" s="5">
        <v>20</v>
      </c>
      <c r="G87" s="5">
        <v>30</v>
      </c>
      <c r="H87" s="5">
        <v>30</v>
      </c>
    </row>
    <row r="88" spans="1:8">
      <c r="A88" s="9">
        <v>20</v>
      </c>
      <c r="B88" s="9">
        <v>30</v>
      </c>
      <c r="C88" s="9">
        <v>30</v>
      </c>
      <c r="D88" s="9">
        <v>20</v>
      </c>
      <c r="E88" s="9">
        <v>30</v>
      </c>
      <c r="F88" s="9">
        <v>20</v>
      </c>
      <c r="G88" s="9">
        <v>20</v>
      </c>
      <c r="H88" s="9">
        <v>30</v>
      </c>
    </row>
    <row r="89" spans="1:8">
      <c r="A89" s="5">
        <v>30</v>
      </c>
      <c r="B89" s="5">
        <v>30</v>
      </c>
      <c r="C89" s="5">
        <v>20</v>
      </c>
      <c r="D89" s="5">
        <v>20</v>
      </c>
      <c r="E89" s="5">
        <v>20</v>
      </c>
      <c r="F89" s="5">
        <v>20</v>
      </c>
      <c r="G89" s="5">
        <v>20</v>
      </c>
      <c r="H89" s="5">
        <v>40</v>
      </c>
    </row>
    <row r="90" spans="1:8">
      <c r="A90" s="9">
        <v>40</v>
      </c>
      <c r="B90" s="9">
        <v>20</v>
      </c>
      <c r="C90" s="9">
        <v>20</v>
      </c>
      <c r="D90" s="9">
        <v>20</v>
      </c>
      <c r="E90" s="9">
        <v>30</v>
      </c>
      <c r="F90" s="9">
        <v>20</v>
      </c>
      <c r="G90" s="9">
        <v>20</v>
      </c>
      <c r="H90" s="9">
        <v>30</v>
      </c>
    </row>
    <row r="91" spans="1:8">
      <c r="A91" s="5">
        <v>70</v>
      </c>
      <c r="B91" s="5">
        <v>10</v>
      </c>
      <c r="C91" s="5">
        <v>10</v>
      </c>
      <c r="D91" s="5">
        <v>10</v>
      </c>
      <c r="E91" s="5">
        <v>70</v>
      </c>
      <c r="F91" s="5">
        <v>10</v>
      </c>
      <c r="G91" s="5">
        <v>10</v>
      </c>
      <c r="H91" s="5">
        <v>10</v>
      </c>
    </row>
    <row r="92" spans="1:8">
      <c r="A92" s="9">
        <v>30</v>
      </c>
      <c r="B92" s="9">
        <v>30</v>
      </c>
      <c r="C92" s="9">
        <v>20</v>
      </c>
      <c r="D92" s="9">
        <v>20</v>
      </c>
      <c r="E92" s="9">
        <v>30</v>
      </c>
      <c r="F92" s="9">
        <v>30</v>
      </c>
      <c r="G92" s="9">
        <v>20</v>
      </c>
      <c r="H92" s="9">
        <v>20</v>
      </c>
    </row>
    <row r="93" spans="1:8">
      <c r="A93" s="5">
        <v>25</v>
      </c>
      <c r="B93" s="5">
        <v>25</v>
      </c>
      <c r="C93" s="5">
        <v>25</v>
      </c>
      <c r="D93" s="5">
        <v>25</v>
      </c>
      <c r="E93" s="5">
        <v>25</v>
      </c>
      <c r="F93" s="5">
        <v>25</v>
      </c>
      <c r="G93" s="5">
        <v>25</v>
      </c>
      <c r="H93" s="5">
        <v>25</v>
      </c>
    </row>
    <row r="94" spans="1:8">
      <c r="A94" s="9">
        <v>20</v>
      </c>
      <c r="B94" s="9">
        <v>20</v>
      </c>
      <c r="C94" s="9">
        <v>30</v>
      </c>
      <c r="D94" s="9">
        <v>30</v>
      </c>
      <c r="E94" s="9">
        <v>20</v>
      </c>
      <c r="F94" s="9">
        <v>20</v>
      </c>
      <c r="G94" s="9">
        <v>30</v>
      </c>
      <c r="H94" s="9">
        <v>30</v>
      </c>
    </row>
    <row r="95" spans="1:8">
      <c r="A95" s="5">
        <v>20</v>
      </c>
      <c r="B95" s="5">
        <v>20</v>
      </c>
      <c r="C95" s="5">
        <v>30</v>
      </c>
      <c r="D95" s="5">
        <v>30</v>
      </c>
      <c r="E95" s="5">
        <v>20</v>
      </c>
      <c r="F95" s="5">
        <v>20</v>
      </c>
      <c r="G95" s="5">
        <v>30</v>
      </c>
      <c r="H95" s="5">
        <v>30</v>
      </c>
    </row>
    <row r="96" spans="1:8">
      <c r="A96" s="9">
        <v>20</v>
      </c>
      <c r="B96" s="9">
        <v>30</v>
      </c>
      <c r="C96" s="9">
        <v>20</v>
      </c>
      <c r="D96" s="9">
        <v>30</v>
      </c>
      <c r="E96" s="9">
        <v>20</v>
      </c>
      <c r="F96" s="9">
        <v>30</v>
      </c>
      <c r="G96" s="9">
        <v>20</v>
      </c>
      <c r="H96" s="9">
        <v>30</v>
      </c>
    </row>
    <row r="97" spans="1:8">
      <c r="A97" s="5">
        <v>40</v>
      </c>
      <c r="B97" s="5">
        <v>40</v>
      </c>
      <c r="C97" s="5">
        <v>10</v>
      </c>
      <c r="D97" s="5">
        <v>10</v>
      </c>
      <c r="E97" s="5">
        <v>30</v>
      </c>
      <c r="F97" s="5">
        <v>30</v>
      </c>
      <c r="G97" s="5">
        <v>30</v>
      </c>
      <c r="H97" s="5">
        <v>10</v>
      </c>
    </row>
    <row r="98" spans="1:8">
      <c r="A98" s="9">
        <v>20</v>
      </c>
      <c r="B98" s="9">
        <v>20</v>
      </c>
      <c r="C98" s="9">
        <v>30</v>
      </c>
      <c r="D98" s="9">
        <v>30</v>
      </c>
      <c r="E98" s="9">
        <v>30</v>
      </c>
      <c r="F98" s="9">
        <v>30</v>
      </c>
      <c r="G98" s="9">
        <v>30</v>
      </c>
      <c r="H98" s="9">
        <v>10</v>
      </c>
    </row>
    <row r="99" spans="1:8">
      <c r="A99" s="5">
        <v>25</v>
      </c>
      <c r="B99" s="5">
        <v>25</v>
      </c>
      <c r="C99" s="5">
        <v>25</v>
      </c>
      <c r="D99" s="5">
        <v>25</v>
      </c>
      <c r="E99" s="5">
        <v>25</v>
      </c>
      <c r="F99" s="5">
        <v>25</v>
      </c>
      <c r="G99" s="5">
        <v>25</v>
      </c>
      <c r="H99" s="5">
        <v>25</v>
      </c>
    </row>
    <row r="100" spans="1:8">
      <c r="A100" s="9">
        <v>20</v>
      </c>
      <c r="B100" s="9">
        <v>20</v>
      </c>
      <c r="C100" s="9">
        <v>30</v>
      </c>
      <c r="D100" s="9">
        <v>30</v>
      </c>
      <c r="E100" s="9">
        <v>55</v>
      </c>
      <c r="F100" s="9">
        <v>15</v>
      </c>
      <c r="G100" s="9">
        <v>15</v>
      </c>
      <c r="H100" s="9">
        <v>15</v>
      </c>
    </row>
    <row r="101" spans="1:8">
      <c r="A101" s="5">
        <v>30</v>
      </c>
      <c r="B101" s="5">
        <v>30</v>
      </c>
      <c r="C101" s="5">
        <v>20</v>
      </c>
      <c r="D101" s="5">
        <v>20</v>
      </c>
      <c r="E101" s="5">
        <v>20</v>
      </c>
      <c r="F101" s="5">
        <v>20</v>
      </c>
      <c r="G101" s="5">
        <v>20</v>
      </c>
      <c r="H101" s="5">
        <v>40</v>
      </c>
    </row>
    <row r="102" spans="1:8">
      <c r="A102" s="9">
        <v>25</v>
      </c>
      <c r="B102" s="9">
        <v>25</v>
      </c>
      <c r="C102" s="9">
        <v>25</v>
      </c>
      <c r="D102" s="9">
        <v>25</v>
      </c>
      <c r="E102" s="9">
        <v>25</v>
      </c>
      <c r="F102" s="9">
        <v>25</v>
      </c>
      <c r="G102" s="9">
        <v>25</v>
      </c>
      <c r="H102" s="9">
        <v>25</v>
      </c>
    </row>
    <row r="103" spans="1:8">
      <c r="A103" s="5">
        <v>25</v>
      </c>
      <c r="B103" s="5">
        <v>25</v>
      </c>
      <c r="C103" s="5">
        <v>25</v>
      </c>
      <c r="D103" s="5">
        <v>25</v>
      </c>
      <c r="E103" s="5">
        <v>25</v>
      </c>
      <c r="F103" s="5">
        <v>25</v>
      </c>
      <c r="G103" s="5">
        <v>25</v>
      </c>
      <c r="H103" s="5">
        <v>25</v>
      </c>
    </row>
    <row r="104" spans="1:8">
      <c r="A104" s="9">
        <v>25</v>
      </c>
      <c r="B104" s="9">
        <v>25</v>
      </c>
      <c r="C104" s="9">
        <v>25</v>
      </c>
      <c r="D104" s="9">
        <v>25</v>
      </c>
      <c r="E104" s="9">
        <v>25</v>
      </c>
      <c r="F104" s="9">
        <v>25</v>
      </c>
      <c r="G104" s="9">
        <v>25</v>
      </c>
      <c r="H104" s="9">
        <v>25</v>
      </c>
    </row>
    <row r="105" spans="1:8">
      <c r="A105" s="5">
        <v>20</v>
      </c>
      <c r="B105" s="5">
        <v>20</v>
      </c>
      <c r="C105" s="5">
        <v>30</v>
      </c>
      <c r="D105" s="5">
        <v>30</v>
      </c>
      <c r="E105" s="5">
        <v>30</v>
      </c>
      <c r="F105" s="5">
        <v>20</v>
      </c>
      <c r="G105" s="5">
        <v>20</v>
      </c>
      <c r="H105" s="5">
        <v>30</v>
      </c>
    </row>
    <row r="106" spans="1:8">
      <c r="A106" s="9">
        <v>10</v>
      </c>
      <c r="B106" s="9">
        <v>20</v>
      </c>
      <c r="C106" s="9">
        <v>20</v>
      </c>
      <c r="D106" s="9">
        <v>50</v>
      </c>
      <c r="E106" s="9">
        <v>40</v>
      </c>
      <c r="F106" s="9">
        <v>10</v>
      </c>
      <c r="G106" s="9">
        <v>20</v>
      </c>
      <c r="H106" s="9">
        <v>30</v>
      </c>
    </row>
    <row r="107" spans="1:8">
      <c r="A107" s="5">
        <v>20</v>
      </c>
      <c r="B107" s="5">
        <v>30</v>
      </c>
      <c r="C107" s="5">
        <v>30</v>
      </c>
      <c r="D107" s="5">
        <v>20</v>
      </c>
      <c r="E107" s="5">
        <v>30</v>
      </c>
      <c r="F107" s="5">
        <v>10</v>
      </c>
      <c r="G107" s="5">
        <v>30</v>
      </c>
      <c r="H107" s="5">
        <v>30</v>
      </c>
    </row>
    <row r="108" spans="1:8">
      <c r="A108" s="9">
        <v>20</v>
      </c>
      <c r="B108" s="9">
        <v>20</v>
      </c>
      <c r="C108" s="9">
        <v>30</v>
      </c>
      <c r="D108" s="9">
        <v>30</v>
      </c>
      <c r="E108" s="9">
        <v>30</v>
      </c>
      <c r="F108" s="9">
        <v>30</v>
      </c>
      <c r="G108" s="9">
        <v>10</v>
      </c>
      <c r="H108" s="9">
        <v>30</v>
      </c>
    </row>
    <row r="109" spans="1:8">
      <c r="A109" s="5">
        <v>30</v>
      </c>
      <c r="B109" s="5">
        <v>10</v>
      </c>
      <c r="C109" s="5">
        <v>30</v>
      </c>
      <c r="D109" s="5">
        <v>30</v>
      </c>
      <c r="E109" s="5">
        <v>30</v>
      </c>
      <c r="F109" s="5">
        <v>20</v>
      </c>
      <c r="G109" s="5">
        <v>30</v>
      </c>
      <c r="H109" s="5">
        <v>20</v>
      </c>
    </row>
    <row r="110" spans="1:8">
      <c r="A110" s="9">
        <v>20</v>
      </c>
      <c r="B110" s="9">
        <v>10</v>
      </c>
      <c r="C110" s="9">
        <v>30</v>
      </c>
      <c r="D110" s="9">
        <v>40</v>
      </c>
      <c r="E110" s="9">
        <v>20</v>
      </c>
      <c r="F110" s="9">
        <v>20</v>
      </c>
      <c r="G110" s="9">
        <v>30</v>
      </c>
      <c r="H110" s="9">
        <v>30</v>
      </c>
    </row>
    <row r="111" spans="1:8">
      <c r="A111" s="5">
        <v>30</v>
      </c>
      <c r="B111" s="5">
        <v>20</v>
      </c>
      <c r="C111" s="5">
        <v>20</v>
      </c>
      <c r="D111" s="5">
        <v>30</v>
      </c>
      <c r="E111" s="5">
        <v>30</v>
      </c>
      <c r="F111" s="5">
        <v>20</v>
      </c>
      <c r="G111" s="5">
        <v>30</v>
      </c>
      <c r="H111" s="5">
        <v>20</v>
      </c>
    </row>
    <row r="112" spans="1:8">
      <c r="A112" s="9">
        <v>30</v>
      </c>
      <c r="B112" s="9">
        <v>30</v>
      </c>
      <c r="C112" s="9">
        <v>20</v>
      </c>
      <c r="D112" s="9">
        <v>20</v>
      </c>
      <c r="E112" s="9">
        <v>20</v>
      </c>
      <c r="F112" s="9">
        <v>30</v>
      </c>
      <c r="G112" s="9">
        <v>20</v>
      </c>
      <c r="H112" s="9">
        <v>30</v>
      </c>
    </row>
    <row r="113" spans="1:8">
      <c r="A113" s="5">
        <v>20</v>
      </c>
      <c r="B113" s="5">
        <v>20</v>
      </c>
      <c r="C113" s="5">
        <v>30</v>
      </c>
      <c r="D113" s="5">
        <v>30</v>
      </c>
      <c r="E113" s="5">
        <v>20</v>
      </c>
      <c r="F113" s="5">
        <v>20</v>
      </c>
      <c r="G113" s="5">
        <v>30</v>
      </c>
      <c r="H113" s="5">
        <v>30</v>
      </c>
    </row>
    <row r="114" spans="1:8">
      <c r="A114" s="9">
        <v>20</v>
      </c>
      <c r="B114" s="9">
        <v>30</v>
      </c>
      <c r="C114" s="9">
        <v>20</v>
      </c>
      <c r="D114" s="9">
        <v>30</v>
      </c>
      <c r="E114" s="9">
        <v>30</v>
      </c>
      <c r="F114" s="9">
        <v>10</v>
      </c>
      <c r="G114" s="9">
        <v>30</v>
      </c>
      <c r="H114" s="9">
        <v>30</v>
      </c>
    </row>
    <row r="115" spans="1:8">
      <c r="A115" s="5">
        <v>25</v>
      </c>
      <c r="B115" s="5">
        <v>25</v>
      </c>
      <c r="C115" s="5">
        <v>25</v>
      </c>
      <c r="D115" s="5">
        <v>25</v>
      </c>
      <c r="E115" s="5">
        <v>20</v>
      </c>
      <c r="F115" s="5">
        <v>30</v>
      </c>
      <c r="G115" s="5">
        <v>30</v>
      </c>
      <c r="H115" s="5">
        <v>20</v>
      </c>
    </row>
    <row r="116" spans="1:8">
      <c r="A116" s="9">
        <v>20</v>
      </c>
      <c r="B116" s="9">
        <v>20</v>
      </c>
      <c r="C116" s="9">
        <v>30</v>
      </c>
      <c r="D116" s="9">
        <v>30</v>
      </c>
      <c r="E116" s="9">
        <v>20</v>
      </c>
      <c r="F116" s="9">
        <v>20</v>
      </c>
      <c r="G116" s="9">
        <v>20</v>
      </c>
      <c r="H116" s="9">
        <v>40</v>
      </c>
    </row>
    <row r="117" spans="1:8">
      <c r="A117" s="5">
        <v>30</v>
      </c>
      <c r="B117" s="5">
        <v>10</v>
      </c>
      <c r="C117" s="5">
        <v>50</v>
      </c>
      <c r="D117" s="5">
        <v>10</v>
      </c>
      <c r="E117" s="5">
        <v>50</v>
      </c>
      <c r="F117" s="5">
        <v>10</v>
      </c>
      <c r="G117" s="5">
        <v>20</v>
      </c>
      <c r="H117" s="5">
        <v>20</v>
      </c>
    </row>
    <row r="118" spans="1:8">
      <c r="A118" s="9">
        <v>10</v>
      </c>
      <c r="B118" s="9">
        <v>20</v>
      </c>
      <c r="C118" s="9">
        <v>30</v>
      </c>
      <c r="D118" s="9">
        <v>40</v>
      </c>
      <c r="E118" s="9">
        <v>30</v>
      </c>
      <c r="F118" s="9">
        <v>20</v>
      </c>
      <c r="G118" s="9">
        <v>30</v>
      </c>
      <c r="H118" s="9">
        <v>20</v>
      </c>
    </row>
    <row r="119" spans="1:8">
      <c r="A119" s="5">
        <v>40</v>
      </c>
      <c r="B119" s="5">
        <v>20</v>
      </c>
      <c r="C119" s="5">
        <v>10</v>
      </c>
      <c r="D119" s="5">
        <v>30</v>
      </c>
      <c r="E119" s="5">
        <v>40</v>
      </c>
      <c r="F119" s="5">
        <v>20</v>
      </c>
      <c r="G119" s="5">
        <v>10</v>
      </c>
      <c r="H119" s="5">
        <v>30</v>
      </c>
    </row>
    <row r="120" spans="1:8">
      <c r="A120" s="9">
        <v>40</v>
      </c>
      <c r="B120" s="9">
        <v>30</v>
      </c>
      <c r="C120" s="9">
        <v>20</v>
      </c>
      <c r="D120" s="9">
        <v>10</v>
      </c>
      <c r="E120" s="9">
        <v>40</v>
      </c>
      <c r="F120" s="9">
        <v>20</v>
      </c>
      <c r="G120" s="9">
        <v>20</v>
      </c>
      <c r="H120" s="9">
        <v>20</v>
      </c>
    </row>
    <row r="121" spans="1:8">
      <c r="A121" s="5">
        <v>20</v>
      </c>
      <c r="B121" s="5">
        <v>20</v>
      </c>
      <c r="C121" s="5">
        <v>30</v>
      </c>
      <c r="D121" s="5">
        <v>30</v>
      </c>
      <c r="E121" s="5">
        <v>20</v>
      </c>
      <c r="F121" s="5">
        <v>20</v>
      </c>
      <c r="G121" s="5">
        <v>20</v>
      </c>
      <c r="H121" s="5">
        <v>40</v>
      </c>
    </row>
    <row r="122" spans="1:8">
      <c r="A122" s="9">
        <v>20</v>
      </c>
      <c r="B122" s="9">
        <v>20</v>
      </c>
      <c r="C122" s="9">
        <v>20</v>
      </c>
      <c r="D122" s="9">
        <v>40</v>
      </c>
      <c r="E122" s="9">
        <v>20</v>
      </c>
      <c r="F122" s="9">
        <v>20</v>
      </c>
      <c r="G122" s="9">
        <v>30</v>
      </c>
      <c r="H122" s="9">
        <v>30</v>
      </c>
    </row>
    <row r="123" spans="1:8">
      <c r="A123" s="5">
        <v>20</v>
      </c>
      <c r="B123" s="5">
        <v>20</v>
      </c>
      <c r="C123" s="5">
        <v>20</v>
      </c>
      <c r="D123" s="5">
        <v>40</v>
      </c>
      <c r="E123" s="5">
        <v>20</v>
      </c>
      <c r="F123" s="5">
        <v>20</v>
      </c>
      <c r="G123" s="5">
        <v>30</v>
      </c>
      <c r="H123" s="5">
        <v>30</v>
      </c>
    </row>
    <row r="124" spans="1:8">
      <c r="A124" s="9">
        <v>20</v>
      </c>
      <c r="B124" s="9">
        <v>10</v>
      </c>
      <c r="C124" s="9">
        <v>50</v>
      </c>
      <c r="D124" s="9">
        <v>20</v>
      </c>
      <c r="E124" s="9">
        <v>40</v>
      </c>
      <c r="F124" s="9">
        <v>15</v>
      </c>
      <c r="G124" s="9">
        <v>30</v>
      </c>
      <c r="H124" s="9">
        <v>15</v>
      </c>
    </row>
    <row r="125" spans="1:8">
      <c r="A125" s="5">
        <v>20</v>
      </c>
      <c r="B125" s="5">
        <v>10</v>
      </c>
      <c r="C125" s="5">
        <v>20</v>
      </c>
      <c r="D125" s="5">
        <v>50</v>
      </c>
      <c r="E125" s="5">
        <v>20</v>
      </c>
      <c r="F125" s="5">
        <v>50</v>
      </c>
      <c r="G125" s="5">
        <v>10</v>
      </c>
      <c r="H125" s="5">
        <v>20</v>
      </c>
    </row>
    <row r="126" spans="1:8">
      <c r="A126" s="9">
        <v>20</v>
      </c>
      <c r="B126" s="9">
        <v>20</v>
      </c>
      <c r="C126" s="9">
        <v>30</v>
      </c>
      <c r="D126" s="9">
        <v>30</v>
      </c>
      <c r="E126" s="9">
        <v>20</v>
      </c>
      <c r="F126" s="9">
        <v>20</v>
      </c>
      <c r="G126" s="9">
        <v>20</v>
      </c>
      <c r="H126" s="9">
        <v>40</v>
      </c>
    </row>
    <row r="127" spans="1:8">
      <c r="A127" s="5">
        <v>15</v>
      </c>
      <c r="B127" s="5">
        <v>20</v>
      </c>
      <c r="C127" s="5">
        <v>15</v>
      </c>
      <c r="D127" s="5">
        <v>50</v>
      </c>
      <c r="E127" s="5">
        <v>10</v>
      </c>
      <c r="F127" s="5">
        <v>30</v>
      </c>
      <c r="G127" s="5">
        <v>10</v>
      </c>
      <c r="H127" s="5">
        <v>50</v>
      </c>
    </row>
    <row r="128" spans="1:8">
      <c r="A128" s="9">
        <v>25</v>
      </c>
      <c r="B128" s="9">
        <v>20</v>
      </c>
      <c r="C128" s="9">
        <v>35</v>
      </c>
      <c r="D128" s="9">
        <v>20</v>
      </c>
      <c r="E128" s="9">
        <v>25</v>
      </c>
      <c r="F128" s="9">
        <v>25</v>
      </c>
      <c r="G128" s="9">
        <v>30</v>
      </c>
      <c r="H128" s="9">
        <v>20</v>
      </c>
    </row>
    <row r="129" spans="1:8">
      <c r="A129" s="5">
        <v>30</v>
      </c>
      <c r="B129" s="5">
        <v>10</v>
      </c>
      <c r="C129" s="5">
        <v>10</v>
      </c>
      <c r="D129" s="5">
        <v>50</v>
      </c>
      <c r="E129" s="5">
        <v>20</v>
      </c>
      <c r="F129" s="5">
        <v>20</v>
      </c>
      <c r="G129" s="5">
        <v>40</v>
      </c>
      <c r="H129" s="5">
        <v>20</v>
      </c>
    </row>
    <row r="130" spans="1:8">
      <c r="A130" s="9">
        <v>60</v>
      </c>
      <c r="B130" s="9">
        <v>20</v>
      </c>
      <c r="C130" s="9">
        <v>10</v>
      </c>
      <c r="D130" s="9">
        <v>10</v>
      </c>
      <c r="E130" s="9">
        <v>50</v>
      </c>
      <c r="F130" s="9">
        <v>15</v>
      </c>
      <c r="G130" s="9">
        <v>15</v>
      </c>
      <c r="H130" s="9">
        <v>20</v>
      </c>
    </row>
    <row r="131" spans="1:8">
      <c r="A131" s="5">
        <v>10</v>
      </c>
      <c r="B131" s="5">
        <v>70</v>
      </c>
      <c r="C131" s="5">
        <v>10</v>
      </c>
      <c r="D131" s="5">
        <v>10</v>
      </c>
      <c r="E131" s="5">
        <v>70</v>
      </c>
      <c r="F131" s="5">
        <v>10</v>
      </c>
      <c r="G131" s="5">
        <v>10</v>
      </c>
      <c r="H131" s="5">
        <v>10</v>
      </c>
    </row>
    <row r="132" spans="1:8">
      <c r="A132" s="9">
        <v>70</v>
      </c>
      <c r="B132" s="9">
        <v>10</v>
      </c>
      <c r="C132" s="9">
        <v>10</v>
      </c>
      <c r="D132" s="9">
        <v>10</v>
      </c>
      <c r="E132" s="9">
        <v>70</v>
      </c>
      <c r="F132" s="9">
        <v>10</v>
      </c>
      <c r="G132" s="9">
        <v>10</v>
      </c>
      <c r="H132" s="9">
        <v>10</v>
      </c>
    </row>
    <row r="133" spans="1:8">
      <c r="A133" s="5">
        <v>20</v>
      </c>
      <c r="B133" s="5">
        <v>20</v>
      </c>
      <c r="C133" s="5">
        <v>20</v>
      </c>
      <c r="D133" s="5">
        <v>40</v>
      </c>
      <c r="E133" s="5">
        <v>20</v>
      </c>
      <c r="F133" s="5">
        <v>20</v>
      </c>
      <c r="G133" s="5">
        <v>30</v>
      </c>
      <c r="H133" s="5">
        <v>30</v>
      </c>
    </row>
    <row r="134" spans="1:8">
      <c r="A134" s="9"/>
      <c r="B134" s="9"/>
      <c r="C134" s="9"/>
      <c r="D134" s="9"/>
      <c r="E134" s="9"/>
      <c r="F134" s="9"/>
      <c r="G134" s="9"/>
      <c r="H134" s="9"/>
    </row>
    <row r="135" spans="1:8">
      <c r="A135" s="5"/>
      <c r="B135" s="5"/>
      <c r="C135" s="5"/>
      <c r="D135" s="5"/>
      <c r="E135" s="5"/>
      <c r="F135" s="5"/>
      <c r="G135" s="5"/>
      <c r="H135" s="5"/>
    </row>
    <row r="136" spans="1:8">
      <c r="A136" s="9"/>
      <c r="B136" s="9"/>
      <c r="C136" s="9"/>
      <c r="D136" s="9"/>
      <c r="E136" s="9"/>
      <c r="F136" s="9"/>
      <c r="G136" s="9"/>
      <c r="H136" s="9"/>
    </row>
    <row r="137" spans="1:8">
      <c r="A137" s="5"/>
      <c r="B137" s="5"/>
      <c r="C137" s="5"/>
      <c r="D137" s="5"/>
      <c r="E137" s="5"/>
      <c r="F137" s="5"/>
      <c r="G137" s="5"/>
      <c r="H137" s="5"/>
    </row>
    <row r="138" spans="1:8">
      <c r="A138" s="9"/>
      <c r="B138" s="9"/>
      <c r="C138" s="9"/>
      <c r="D138" s="9"/>
      <c r="E138" s="9"/>
      <c r="F138" s="9"/>
      <c r="G138" s="9"/>
      <c r="H138" s="9"/>
    </row>
    <row r="139" spans="1:8">
      <c r="A139" s="5"/>
      <c r="B139" s="5"/>
      <c r="C139" s="5"/>
      <c r="D139" s="5"/>
      <c r="E139" s="5"/>
      <c r="F139" s="5"/>
      <c r="G139" s="5"/>
      <c r="H139" s="5"/>
    </row>
    <row r="140" spans="1:8">
      <c r="A140" s="9"/>
      <c r="B140" s="9"/>
      <c r="C140" s="9"/>
      <c r="D140" s="9"/>
      <c r="E140" s="9"/>
      <c r="F140" s="9"/>
      <c r="G140" s="9"/>
      <c r="H140" s="9"/>
    </row>
    <row r="141" spans="1:8">
      <c r="A141" s="5"/>
      <c r="B141" s="5"/>
      <c r="C141" s="5"/>
      <c r="D141" s="5"/>
      <c r="E141" s="5"/>
      <c r="F141" s="5"/>
      <c r="G141" s="5"/>
      <c r="H141" s="5"/>
    </row>
    <row r="142" spans="1:8">
      <c r="A142" s="9"/>
      <c r="B142" s="9"/>
      <c r="C142" s="9"/>
      <c r="D142" s="9"/>
      <c r="E142" s="9"/>
      <c r="F142" s="9"/>
      <c r="G142" s="9"/>
      <c r="H142" s="9"/>
    </row>
    <row r="143" spans="1:8">
      <c r="A143" s="5"/>
      <c r="B143" s="5"/>
      <c r="C143" s="5"/>
      <c r="D143" s="5"/>
      <c r="E143" s="5"/>
      <c r="F143" s="5"/>
      <c r="G143" s="5"/>
      <c r="H143" s="5"/>
    </row>
    <row r="144" spans="1:8">
      <c r="A144" s="9"/>
      <c r="B144" s="9"/>
      <c r="C144" s="9"/>
      <c r="D144" s="9"/>
      <c r="E144" s="9"/>
      <c r="F144" s="9"/>
      <c r="G144" s="9"/>
      <c r="H144" s="9"/>
    </row>
    <row r="145" spans="1:8">
      <c r="A145" s="5"/>
      <c r="B145" s="5"/>
      <c r="C145" s="5"/>
      <c r="D145" s="5"/>
      <c r="E145" s="5"/>
      <c r="F145" s="5"/>
      <c r="G145" s="5"/>
      <c r="H145" s="5"/>
    </row>
    <row r="146" spans="1:8">
      <c r="A146" s="9"/>
      <c r="B146" s="9"/>
      <c r="C146" s="9"/>
      <c r="D146" s="9"/>
      <c r="E146" s="9"/>
      <c r="F146" s="9"/>
      <c r="G146" s="9"/>
      <c r="H146" s="9"/>
    </row>
    <row r="147" spans="1:8">
      <c r="A147" s="5"/>
      <c r="B147" s="5"/>
      <c r="C147" s="5"/>
      <c r="D147" s="5"/>
      <c r="E147" s="5"/>
      <c r="F147" s="5"/>
      <c r="G147" s="5"/>
      <c r="H147" s="5"/>
    </row>
    <row r="148" spans="1:8">
      <c r="A148" s="9"/>
      <c r="B148" s="9"/>
      <c r="C148" s="9"/>
      <c r="D148" s="9"/>
      <c r="E148" s="9"/>
      <c r="F148" s="9"/>
      <c r="G148" s="9"/>
      <c r="H148" s="9"/>
    </row>
    <row r="149" spans="1:8">
      <c r="A149" s="5"/>
      <c r="B149" s="5"/>
      <c r="C149" s="5"/>
      <c r="D149" s="5"/>
      <c r="E149" s="5"/>
      <c r="F149" s="5"/>
      <c r="G149" s="5"/>
      <c r="H149" s="5"/>
    </row>
    <row r="150" spans="1:8">
      <c r="A150" s="9"/>
      <c r="B150" s="9"/>
      <c r="C150" s="9"/>
      <c r="D150" s="9"/>
      <c r="E150" s="9"/>
      <c r="F150" s="9"/>
      <c r="G150" s="9"/>
      <c r="H150" s="9"/>
    </row>
    <row r="151" spans="1:8">
      <c r="A151" s="5"/>
      <c r="B151" s="5"/>
      <c r="C151" s="5"/>
      <c r="D151" s="5"/>
      <c r="E151" s="5"/>
      <c r="F151" s="5"/>
      <c r="G151" s="5"/>
      <c r="H151" s="5"/>
    </row>
    <row r="152" spans="1:8">
      <c r="A152" s="9"/>
      <c r="B152" s="9"/>
      <c r="C152" s="9"/>
      <c r="D152" s="9"/>
      <c r="E152" s="9"/>
      <c r="F152" s="9"/>
      <c r="G152" s="9"/>
      <c r="H152" s="9"/>
    </row>
    <row r="153" spans="1:8">
      <c r="A153" s="5"/>
      <c r="B153" s="5"/>
      <c r="C153" s="5"/>
      <c r="D153" s="5"/>
      <c r="E153" s="5"/>
      <c r="F153" s="5"/>
      <c r="G153" s="5"/>
      <c r="H153" s="5"/>
    </row>
    <row r="154" spans="1:8">
      <c r="A154" s="9"/>
      <c r="B154" s="9"/>
      <c r="C154" s="9"/>
      <c r="D154" s="9"/>
      <c r="E154" s="9"/>
      <c r="F154" s="9"/>
      <c r="G154" s="9"/>
      <c r="H154" s="9"/>
    </row>
    <row r="155" spans="1:8">
      <c r="A155" s="5"/>
      <c r="B155" s="5"/>
      <c r="C155" s="5"/>
      <c r="D155" s="5"/>
      <c r="E155" s="5"/>
      <c r="F155" s="5"/>
      <c r="G155" s="5"/>
      <c r="H155" s="5"/>
    </row>
    <row r="156" spans="1:8">
      <c r="A156" s="9"/>
      <c r="B156" s="9"/>
      <c r="C156" s="9"/>
      <c r="D156" s="9"/>
      <c r="E156" s="9"/>
      <c r="F156" s="9"/>
      <c r="G156" s="9"/>
      <c r="H156" s="9"/>
    </row>
    <row r="157" spans="1:8">
      <c r="A157" s="5"/>
      <c r="B157" s="5"/>
      <c r="C157" s="5"/>
      <c r="D157" s="5"/>
      <c r="E157" s="5"/>
      <c r="F157" s="5"/>
      <c r="G157" s="5"/>
      <c r="H157" s="5"/>
    </row>
    <row r="158" spans="1:8">
      <c r="A158" s="9"/>
      <c r="B158" s="9"/>
      <c r="C158" s="9"/>
      <c r="D158" s="9"/>
      <c r="E158" s="9"/>
      <c r="F158" s="9"/>
      <c r="G158" s="9"/>
      <c r="H158" s="9"/>
    </row>
    <row r="159" spans="1:8">
      <c r="A159" s="5"/>
      <c r="B159" s="5"/>
      <c r="C159" s="5"/>
      <c r="D159" s="5"/>
      <c r="E159" s="5"/>
      <c r="F159" s="5"/>
      <c r="G159" s="5"/>
      <c r="H159" s="5"/>
    </row>
    <row r="160" spans="1:8">
      <c r="A160" s="9"/>
      <c r="B160" s="9"/>
      <c r="C160" s="9"/>
      <c r="D160" s="9"/>
      <c r="E160" s="9"/>
      <c r="F160" s="9"/>
      <c r="G160" s="9"/>
      <c r="H160" s="9"/>
    </row>
    <row r="161" spans="1:8">
      <c r="A161" s="5"/>
      <c r="B161" s="5"/>
      <c r="C161" s="5"/>
      <c r="D161" s="5"/>
      <c r="E161" s="5"/>
      <c r="F161" s="5"/>
      <c r="G161" s="5"/>
      <c r="H161" s="5"/>
    </row>
    <row r="162" spans="1:8">
      <c r="A162" s="9"/>
      <c r="B162" s="9"/>
      <c r="C162" s="9"/>
      <c r="D162" s="9"/>
      <c r="E162" s="9"/>
      <c r="F162" s="9"/>
      <c r="G162" s="9"/>
      <c r="H162" s="9"/>
    </row>
    <row r="163" spans="1:8">
      <c r="A163" s="5"/>
      <c r="B163" s="5"/>
      <c r="C163" s="5"/>
      <c r="D163" s="5"/>
      <c r="E163" s="5"/>
      <c r="F163" s="5"/>
      <c r="G163" s="5"/>
      <c r="H163" s="5"/>
    </row>
    <row r="164" spans="1:8">
      <c r="A164" s="9"/>
      <c r="B164" s="9"/>
      <c r="C164" s="9"/>
      <c r="D164" s="9"/>
      <c r="E164" s="9"/>
      <c r="F164" s="9"/>
      <c r="G164" s="9"/>
      <c r="H164" s="9"/>
    </row>
    <row r="165" spans="1:8">
      <c r="A165" s="5"/>
      <c r="B165" s="5"/>
      <c r="C165" s="5"/>
      <c r="D165" s="5"/>
      <c r="E165" s="5"/>
      <c r="F165" s="5"/>
      <c r="G165" s="5"/>
      <c r="H165" s="5"/>
    </row>
    <row r="166" spans="1:8">
      <c r="A166" s="9"/>
      <c r="B166" s="9"/>
      <c r="C166" s="9"/>
      <c r="D166" s="9"/>
      <c r="E166" s="9"/>
      <c r="F166" s="9"/>
      <c r="G166" s="9"/>
      <c r="H166" s="9"/>
    </row>
    <row r="167" spans="1:8">
      <c r="A167" s="5"/>
      <c r="B167" s="5"/>
      <c r="C167" s="5"/>
      <c r="D167" s="5"/>
      <c r="E167" s="5"/>
      <c r="F167" s="5"/>
      <c r="G167" s="5"/>
      <c r="H167" s="5"/>
    </row>
    <row r="168" spans="1:8">
      <c r="A168" s="9"/>
      <c r="B168" s="9"/>
      <c r="C168" s="9"/>
      <c r="D168" s="9"/>
      <c r="E168" s="9"/>
      <c r="F168" s="9"/>
      <c r="G168" s="9"/>
      <c r="H168" s="9"/>
    </row>
    <row r="169" spans="1:8">
      <c r="A169" s="5"/>
      <c r="B169" s="5"/>
      <c r="C169" s="5"/>
      <c r="D169" s="5"/>
      <c r="E169" s="5"/>
      <c r="F169" s="5"/>
      <c r="G169" s="5"/>
      <c r="H169" s="5"/>
    </row>
    <row r="170" spans="1:8">
      <c r="A170" s="9"/>
      <c r="B170" s="9"/>
      <c r="C170" s="9"/>
      <c r="D170" s="9"/>
      <c r="E170" s="9"/>
      <c r="F170" s="9"/>
      <c r="G170" s="9"/>
      <c r="H170" s="9"/>
    </row>
    <row r="171" spans="1:8">
      <c r="A171" s="5"/>
      <c r="B171" s="5"/>
      <c r="C171" s="5"/>
      <c r="D171" s="5"/>
      <c r="E171" s="5"/>
      <c r="F171" s="5"/>
      <c r="G171" s="5"/>
      <c r="H171" s="5"/>
    </row>
    <row r="172" spans="1:8">
      <c r="A172" s="9"/>
      <c r="B172" s="9"/>
      <c r="C172" s="9"/>
      <c r="D172" s="9"/>
      <c r="E172" s="9"/>
      <c r="F172" s="9"/>
      <c r="G172" s="9"/>
      <c r="H172" s="9"/>
    </row>
    <row r="173" spans="1:8">
      <c r="A173" s="5"/>
      <c r="B173" s="5"/>
      <c r="C173" s="5"/>
      <c r="D173" s="5"/>
      <c r="E173" s="5"/>
      <c r="F173" s="5"/>
      <c r="G173" s="5"/>
      <c r="H173" s="5"/>
    </row>
    <row r="174" spans="1:8">
      <c r="A174" s="9"/>
      <c r="B174" s="9"/>
      <c r="C174" s="9"/>
      <c r="D174" s="9"/>
      <c r="E174" s="9"/>
      <c r="F174" s="9"/>
      <c r="G174" s="9"/>
      <c r="H174" s="9"/>
    </row>
    <row r="175" spans="1:8">
      <c r="A175" s="5"/>
      <c r="B175" s="5"/>
      <c r="C175" s="5"/>
      <c r="D175" s="5"/>
      <c r="E175" s="5"/>
      <c r="F175" s="5"/>
      <c r="G175" s="5"/>
      <c r="H175" s="5"/>
    </row>
    <row r="176" spans="1:8">
      <c r="A176" s="9"/>
      <c r="B176" s="9"/>
      <c r="C176" s="9"/>
      <c r="D176" s="9"/>
      <c r="E176" s="9"/>
      <c r="F176" s="9"/>
      <c r="G176" s="9"/>
      <c r="H176" s="9"/>
    </row>
    <row r="177" spans="1:8">
      <c r="A177" s="5"/>
      <c r="B177" s="5"/>
      <c r="C177" s="5"/>
      <c r="D177" s="5"/>
      <c r="E177" s="5"/>
      <c r="F177" s="5"/>
      <c r="G177" s="5"/>
      <c r="H177" s="5"/>
    </row>
    <row r="178" spans="1:8">
      <c r="A178" s="9"/>
      <c r="B178" s="9"/>
      <c r="C178" s="9"/>
      <c r="D178" s="9"/>
      <c r="E178" s="9"/>
      <c r="F178" s="9"/>
      <c r="G178" s="9"/>
      <c r="H178" s="9"/>
    </row>
    <row r="179" spans="1:8">
      <c r="A179" s="5"/>
      <c r="B179" s="5"/>
      <c r="C179" s="5"/>
      <c r="D179" s="5"/>
      <c r="E179" s="5"/>
      <c r="F179" s="5"/>
      <c r="G179" s="5"/>
      <c r="H179" s="5"/>
    </row>
    <row r="180" spans="1:8">
      <c r="A180" s="9"/>
      <c r="B180" s="9"/>
      <c r="C180" s="9"/>
      <c r="D180" s="9"/>
      <c r="E180" s="9"/>
      <c r="F180" s="9"/>
      <c r="G180" s="9"/>
      <c r="H180" s="9"/>
    </row>
    <row r="181" spans="1:8">
      <c r="A181" s="5"/>
      <c r="B181" s="5"/>
      <c r="C181" s="5"/>
      <c r="D181" s="5"/>
      <c r="E181" s="5"/>
      <c r="F181" s="5"/>
      <c r="G181" s="5"/>
      <c r="H181" s="5"/>
    </row>
    <row r="182" spans="1:8">
      <c r="A182" s="9"/>
      <c r="B182" s="9"/>
      <c r="C182" s="9"/>
      <c r="D182" s="9"/>
      <c r="E182" s="9"/>
      <c r="F182" s="9"/>
      <c r="G182" s="9"/>
      <c r="H182" s="9"/>
    </row>
    <row r="183" spans="1:8">
      <c r="A183" s="38"/>
      <c r="B183" s="38"/>
      <c r="C183" s="38"/>
      <c r="D183" s="38"/>
      <c r="E183" s="38"/>
      <c r="F183" s="38"/>
      <c r="G183" s="38"/>
      <c r="H183" s="38"/>
    </row>
    <row r="186" spans="1:8">
      <c r="A186" s="42"/>
      <c r="B186" s="42"/>
      <c r="C186" s="42"/>
      <c r="D186" s="42"/>
      <c r="E186" s="42"/>
      <c r="F186" s="42"/>
      <c r="G186" s="42"/>
      <c r="H186" s="42"/>
    </row>
  </sheetData>
  <mergeCells count="2">
    <mergeCell ref="A1:D1"/>
    <mergeCell ref="E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86CA-B8F2-495A-B296-CE4D07C12DD0}">
  <dimension ref="A1:L186"/>
  <sheetViews>
    <sheetView topLeftCell="H1" workbookViewId="0">
      <selection activeCell="J1" sqref="J1:L5"/>
    </sheetView>
  </sheetViews>
  <sheetFormatPr defaultRowHeight="14.5"/>
  <cols>
    <col min="1" max="1" width="4.1796875" bestFit="1" customWidth="1"/>
    <col min="3" max="3" width="6.26953125" bestFit="1" customWidth="1"/>
    <col min="4" max="4" width="8" bestFit="1" customWidth="1"/>
    <col min="5" max="5" width="4.1796875" bestFit="1" customWidth="1"/>
    <col min="7" max="7" width="6.26953125" bestFit="1" customWidth="1"/>
    <col min="8" max="8" width="8" bestFit="1" customWidth="1"/>
  </cols>
  <sheetData>
    <row r="1" spans="1:12">
      <c r="A1" s="46" t="s">
        <v>70</v>
      </c>
      <c r="B1" s="46"/>
      <c r="C1" s="46"/>
      <c r="D1" s="46"/>
      <c r="E1" s="46" t="s">
        <v>71</v>
      </c>
      <c r="F1" s="46"/>
      <c r="G1" s="46"/>
      <c r="H1" s="46"/>
      <c r="J1" s="44"/>
      <c r="K1" s="44" t="s">
        <v>80</v>
      </c>
      <c r="L1" s="44" t="s">
        <v>82</v>
      </c>
    </row>
    <row r="2" spans="1:12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77</v>
      </c>
      <c r="G2" s="2" t="s">
        <v>78</v>
      </c>
      <c r="H2" s="2" t="s">
        <v>79</v>
      </c>
      <c r="J2" s="45" t="s">
        <v>76</v>
      </c>
      <c r="K2" s="44">
        <f>AVERAGE(E3:E133)</f>
        <v>28.167938931297709</v>
      </c>
      <c r="L2" s="44">
        <f>AVERAGE(A3:A133)</f>
        <v>30.381679389312978</v>
      </c>
    </row>
    <row r="3" spans="1:12">
      <c r="A3" s="5">
        <v>30</v>
      </c>
      <c r="B3" s="5">
        <v>30</v>
      </c>
      <c r="C3" s="5">
        <v>20</v>
      </c>
      <c r="D3" s="5">
        <v>20</v>
      </c>
      <c r="E3" s="5">
        <v>20</v>
      </c>
      <c r="F3" s="5">
        <v>20</v>
      </c>
      <c r="G3" s="5">
        <v>30</v>
      </c>
      <c r="H3" s="5">
        <v>30</v>
      </c>
      <c r="J3" s="45" t="s">
        <v>77</v>
      </c>
      <c r="K3" s="44">
        <f>AVERAGE(F3:F133)</f>
        <v>24.503816793893129</v>
      </c>
      <c r="L3" s="44">
        <f>AVERAGE(B3:B133)</f>
        <v>25.610687022900763</v>
      </c>
    </row>
    <row r="4" spans="1:12">
      <c r="A4" s="9">
        <v>30</v>
      </c>
      <c r="B4" s="9">
        <v>30</v>
      </c>
      <c r="C4" s="9">
        <v>20</v>
      </c>
      <c r="D4" s="9">
        <v>20</v>
      </c>
      <c r="E4" s="9">
        <v>30</v>
      </c>
      <c r="F4" s="9">
        <v>30</v>
      </c>
      <c r="G4" s="9">
        <v>20</v>
      </c>
      <c r="H4" s="9">
        <v>20</v>
      </c>
      <c r="J4" s="45" t="s">
        <v>78</v>
      </c>
      <c r="K4" s="44">
        <f>AVERAGE(G3:G133)</f>
        <v>22.480916030534353</v>
      </c>
      <c r="L4" s="44">
        <f>AVERAGE(C3:C133)</f>
        <v>20.34351145038168</v>
      </c>
    </row>
    <row r="5" spans="1:12">
      <c r="A5" s="5">
        <v>25</v>
      </c>
      <c r="B5" s="5">
        <v>25</v>
      </c>
      <c r="C5" s="5">
        <v>25</v>
      </c>
      <c r="D5" s="5">
        <v>25</v>
      </c>
      <c r="E5" s="5">
        <v>25</v>
      </c>
      <c r="F5" s="5">
        <v>25</v>
      </c>
      <c r="G5" s="5">
        <v>25</v>
      </c>
      <c r="H5" s="5">
        <v>25</v>
      </c>
      <c r="J5" s="45" t="s">
        <v>79</v>
      </c>
      <c r="K5" s="44">
        <f>AVERAGE(H3:H133)</f>
        <v>24.847328244274809</v>
      </c>
      <c r="L5" s="44">
        <f>AVERAGE(D3:D133)</f>
        <v>23.664122137404579</v>
      </c>
    </row>
    <row r="6" spans="1:12">
      <c r="A6" s="9">
        <v>30</v>
      </c>
      <c r="B6" s="9">
        <v>30</v>
      </c>
      <c r="C6" s="9">
        <v>20</v>
      </c>
      <c r="D6" s="9">
        <v>20</v>
      </c>
      <c r="E6" s="9">
        <v>30</v>
      </c>
      <c r="F6" s="9">
        <v>20</v>
      </c>
      <c r="G6" s="9">
        <v>30</v>
      </c>
      <c r="H6" s="9">
        <v>20</v>
      </c>
    </row>
    <row r="7" spans="1:12">
      <c r="A7" s="5">
        <v>20</v>
      </c>
      <c r="B7" s="5">
        <v>20</v>
      </c>
      <c r="C7" s="5">
        <v>20</v>
      </c>
      <c r="D7" s="5">
        <v>40</v>
      </c>
      <c r="E7" s="5">
        <v>20</v>
      </c>
      <c r="F7" s="5">
        <v>20</v>
      </c>
      <c r="G7" s="5">
        <v>20</v>
      </c>
      <c r="H7" s="5">
        <v>40</v>
      </c>
    </row>
    <row r="8" spans="1:12">
      <c r="A8" s="9">
        <v>30</v>
      </c>
      <c r="B8" s="9">
        <v>30</v>
      </c>
      <c r="C8" s="9">
        <v>20</v>
      </c>
      <c r="D8" s="9">
        <v>20</v>
      </c>
      <c r="E8" s="9">
        <v>30</v>
      </c>
      <c r="F8" s="9">
        <v>20</v>
      </c>
      <c r="G8" s="9">
        <v>30</v>
      </c>
      <c r="H8" s="9">
        <v>20</v>
      </c>
    </row>
    <row r="9" spans="1:12">
      <c r="A9" s="5">
        <v>25</v>
      </c>
      <c r="B9" s="5">
        <v>25</v>
      </c>
      <c r="C9" s="5">
        <v>25</v>
      </c>
      <c r="D9" s="5">
        <v>25</v>
      </c>
      <c r="E9" s="5">
        <v>25</v>
      </c>
      <c r="F9" s="5">
        <v>25</v>
      </c>
      <c r="G9" s="5">
        <v>25</v>
      </c>
      <c r="H9" s="5">
        <v>25</v>
      </c>
    </row>
    <row r="10" spans="1:12">
      <c r="A10" s="9">
        <v>25</v>
      </c>
      <c r="B10" s="9">
        <v>25</v>
      </c>
      <c r="C10" s="9">
        <v>25</v>
      </c>
      <c r="D10" s="9">
        <v>25</v>
      </c>
      <c r="E10" s="9">
        <v>25</v>
      </c>
      <c r="F10" s="9">
        <v>25</v>
      </c>
      <c r="G10" s="9">
        <v>25</v>
      </c>
      <c r="H10" s="9">
        <v>25</v>
      </c>
    </row>
    <row r="11" spans="1:12">
      <c r="A11" s="5">
        <v>25</v>
      </c>
      <c r="B11" s="5">
        <v>25</v>
      </c>
      <c r="C11" s="5">
        <v>25</v>
      </c>
      <c r="D11" s="5">
        <v>25</v>
      </c>
      <c r="E11" s="5">
        <v>25</v>
      </c>
      <c r="F11" s="5">
        <v>25</v>
      </c>
      <c r="G11" s="5">
        <v>25</v>
      </c>
      <c r="H11" s="5">
        <v>25</v>
      </c>
    </row>
    <row r="12" spans="1:12">
      <c r="A12" s="9">
        <v>40</v>
      </c>
      <c r="B12" s="9">
        <v>20</v>
      </c>
      <c r="C12" s="9">
        <v>10</v>
      </c>
      <c r="D12" s="9">
        <v>30</v>
      </c>
      <c r="E12" s="9">
        <v>40</v>
      </c>
      <c r="F12" s="9">
        <v>20</v>
      </c>
      <c r="G12" s="9">
        <v>10</v>
      </c>
      <c r="H12" s="9">
        <v>30</v>
      </c>
    </row>
    <row r="13" spans="1:12">
      <c r="A13" s="5">
        <v>40</v>
      </c>
      <c r="B13" s="5">
        <v>40</v>
      </c>
      <c r="C13" s="5">
        <v>10</v>
      </c>
      <c r="D13" s="5">
        <v>10</v>
      </c>
      <c r="E13" s="5">
        <v>10</v>
      </c>
      <c r="F13" s="5">
        <v>20</v>
      </c>
      <c r="G13" s="5">
        <v>30</v>
      </c>
      <c r="H13" s="5">
        <v>40</v>
      </c>
    </row>
    <row r="14" spans="1:12">
      <c r="A14" s="9">
        <v>25</v>
      </c>
      <c r="B14" s="9">
        <v>25</v>
      </c>
      <c r="C14" s="9">
        <v>25</v>
      </c>
      <c r="D14" s="9">
        <v>25</v>
      </c>
      <c r="E14" s="9">
        <v>25</v>
      </c>
      <c r="F14" s="9">
        <v>25</v>
      </c>
      <c r="G14" s="9">
        <v>25</v>
      </c>
      <c r="H14" s="9">
        <v>25</v>
      </c>
    </row>
    <row r="15" spans="1:12">
      <c r="A15" s="5">
        <v>25</v>
      </c>
      <c r="B15" s="5">
        <v>25</v>
      </c>
      <c r="C15" s="5">
        <v>25</v>
      </c>
      <c r="D15" s="5">
        <v>25</v>
      </c>
      <c r="E15" s="5">
        <v>25</v>
      </c>
      <c r="F15" s="5">
        <v>25</v>
      </c>
      <c r="G15" s="5">
        <v>25</v>
      </c>
      <c r="H15" s="5">
        <v>25</v>
      </c>
    </row>
    <row r="16" spans="1:12">
      <c r="A16" s="9">
        <v>20</v>
      </c>
      <c r="B16" s="9">
        <v>30</v>
      </c>
      <c r="C16" s="9">
        <v>20</v>
      </c>
      <c r="D16" s="9">
        <v>30</v>
      </c>
      <c r="E16" s="9">
        <v>20</v>
      </c>
      <c r="F16" s="9">
        <v>30</v>
      </c>
      <c r="G16" s="9">
        <v>20</v>
      </c>
      <c r="H16" s="9">
        <v>30</v>
      </c>
    </row>
    <row r="17" spans="1:8">
      <c r="A17" s="5">
        <v>30</v>
      </c>
      <c r="B17" s="5">
        <v>30</v>
      </c>
      <c r="C17" s="5">
        <v>20</v>
      </c>
      <c r="D17" s="5">
        <v>20</v>
      </c>
      <c r="E17" s="5">
        <v>20</v>
      </c>
      <c r="F17" s="5">
        <v>30</v>
      </c>
      <c r="G17" s="5">
        <v>20</v>
      </c>
      <c r="H17" s="5">
        <v>30</v>
      </c>
    </row>
    <row r="18" spans="1:8">
      <c r="A18" s="9">
        <v>25</v>
      </c>
      <c r="B18" s="9">
        <v>25</v>
      </c>
      <c r="C18" s="9">
        <v>25</v>
      </c>
      <c r="D18" s="9">
        <v>25</v>
      </c>
      <c r="E18" s="9">
        <v>25</v>
      </c>
      <c r="F18" s="9">
        <v>25</v>
      </c>
      <c r="G18" s="9">
        <v>25</v>
      </c>
      <c r="H18" s="9">
        <v>25</v>
      </c>
    </row>
    <row r="19" spans="1:8">
      <c r="A19" s="5">
        <v>10</v>
      </c>
      <c r="B19" s="5">
        <v>10</v>
      </c>
      <c r="C19" s="5">
        <v>10</v>
      </c>
      <c r="D19" s="5">
        <v>70</v>
      </c>
      <c r="E19" s="5">
        <v>30</v>
      </c>
      <c r="F19" s="5">
        <v>20</v>
      </c>
      <c r="G19" s="5">
        <v>20</v>
      </c>
      <c r="H19" s="5">
        <v>30</v>
      </c>
    </row>
    <row r="20" spans="1:8">
      <c r="A20" s="9">
        <v>20</v>
      </c>
      <c r="B20" s="9">
        <v>20</v>
      </c>
      <c r="C20" s="9">
        <v>30</v>
      </c>
      <c r="D20" s="9">
        <v>30</v>
      </c>
      <c r="E20" s="9">
        <v>15</v>
      </c>
      <c r="F20" s="9">
        <v>25</v>
      </c>
      <c r="G20" s="9">
        <v>25</v>
      </c>
      <c r="H20" s="9">
        <v>35</v>
      </c>
    </row>
    <row r="21" spans="1:8">
      <c r="A21" s="5">
        <v>25</v>
      </c>
      <c r="B21" s="5">
        <v>25</v>
      </c>
      <c r="C21" s="5">
        <v>25</v>
      </c>
      <c r="D21" s="5">
        <v>25</v>
      </c>
      <c r="E21" s="5">
        <v>25</v>
      </c>
      <c r="F21" s="5">
        <v>25</v>
      </c>
      <c r="G21" s="5">
        <v>25</v>
      </c>
      <c r="H21" s="5">
        <v>25</v>
      </c>
    </row>
    <row r="22" spans="1:8">
      <c r="A22" s="9">
        <v>25</v>
      </c>
      <c r="B22" s="9">
        <v>25</v>
      </c>
      <c r="C22" s="9">
        <v>25</v>
      </c>
      <c r="D22" s="9">
        <v>25</v>
      </c>
      <c r="E22" s="9">
        <v>25</v>
      </c>
      <c r="F22" s="9">
        <v>25</v>
      </c>
      <c r="G22" s="9">
        <v>25</v>
      </c>
      <c r="H22" s="9">
        <v>25</v>
      </c>
    </row>
    <row r="23" spans="1:8">
      <c r="A23" s="5">
        <v>70</v>
      </c>
      <c r="B23" s="5">
        <v>10</v>
      </c>
      <c r="C23" s="5">
        <v>10</v>
      </c>
      <c r="D23" s="5">
        <v>10</v>
      </c>
      <c r="E23" s="5">
        <v>60</v>
      </c>
      <c r="F23" s="5">
        <v>20</v>
      </c>
      <c r="G23" s="5">
        <v>10</v>
      </c>
      <c r="H23" s="5">
        <v>10</v>
      </c>
    </row>
    <row r="24" spans="1:8">
      <c r="A24" s="9">
        <v>20</v>
      </c>
      <c r="B24" s="9">
        <v>20</v>
      </c>
      <c r="C24" s="9">
        <v>30</v>
      </c>
      <c r="D24" s="9">
        <v>30</v>
      </c>
      <c r="E24" s="9">
        <v>10</v>
      </c>
      <c r="F24" s="9">
        <v>30</v>
      </c>
      <c r="G24" s="9">
        <v>20</v>
      </c>
      <c r="H24" s="9">
        <v>40</v>
      </c>
    </row>
    <row r="25" spans="1:8">
      <c r="A25" s="5">
        <v>25</v>
      </c>
      <c r="B25" s="5">
        <v>25</v>
      </c>
      <c r="C25" s="5">
        <v>25</v>
      </c>
      <c r="D25" s="5">
        <v>25</v>
      </c>
      <c r="E25" s="5">
        <v>25</v>
      </c>
      <c r="F25" s="5">
        <v>25</v>
      </c>
      <c r="G25" s="5">
        <v>25</v>
      </c>
      <c r="H25" s="5">
        <v>25</v>
      </c>
    </row>
    <row r="26" spans="1:8">
      <c r="A26" s="9">
        <v>40</v>
      </c>
      <c r="B26" s="9">
        <v>40</v>
      </c>
      <c r="C26" s="9">
        <v>10</v>
      </c>
      <c r="D26" s="9">
        <v>10</v>
      </c>
      <c r="E26" s="9">
        <v>30</v>
      </c>
      <c r="F26" s="9">
        <v>20</v>
      </c>
      <c r="G26" s="9">
        <v>20</v>
      </c>
      <c r="H26" s="9">
        <v>30</v>
      </c>
    </row>
    <row r="27" spans="1:8">
      <c r="A27" s="5">
        <v>70</v>
      </c>
      <c r="B27" s="5">
        <v>10</v>
      </c>
      <c r="C27" s="5">
        <v>10</v>
      </c>
      <c r="D27" s="5">
        <v>10</v>
      </c>
      <c r="E27" s="5">
        <v>70</v>
      </c>
      <c r="F27" s="5">
        <v>10</v>
      </c>
      <c r="G27" s="5">
        <v>10</v>
      </c>
      <c r="H27" s="5">
        <v>10</v>
      </c>
    </row>
    <row r="28" spans="1:8">
      <c r="A28" s="9">
        <v>30</v>
      </c>
      <c r="B28" s="9">
        <v>30</v>
      </c>
      <c r="C28" s="9">
        <v>20</v>
      </c>
      <c r="D28" s="9">
        <v>20</v>
      </c>
      <c r="E28" s="9">
        <v>30</v>
      </c>
      <c r="F28" s="9">
        <v>30</v>
      </c>
      <c r="G28" s="9">
        <v>20</v>
      </c>
      <c r="H28" s="9">
        <v>20</v>
      </c>
    </row>
    <row r="29" spans="1:8">
      <c r="A29" s="5">
        <v>30</v>
      </c>
      <c r="B29" s="5">
        <v>20</v>
      </c>
      <c r="C29" s="5">
        <v>20</v>
      </c>
      <c r="D29" s="5">
        <v>30</v>
      </c>
      <c r="E29" s="5">
        <v>20</v>
      </c>
      <c r="F29" s="5">
        <v>30</v>
      </c>
      <c r="G29" s="5">
        <v>30</v>
      </c>
      <c r="H29" s="5">
        <v>20</v>
      </c>
    </row>
    <row r="30" spans="1:8">
      <c r="A30" s="9">
        <v>20</v>
      </c>
      <c r="B30" s="9">
        <v>40</v>
      </c>
      <c r="C30" s="9">
        <v>20</v>
      </c>
      <c r="D30" s="9">
        <v>20</v>
      </c>
      <c r="E30" s="9">
        <v>25</v>
      </c>
      <c r="F30" s="9">
        <v>25</v>
      </c>
      <c r="G30" s="9">
        <v>25</v>
      </c>
      <c r="H30" s="9">
        <v>25</v>
      </c>
    </row>
    <row r="31" spans="1:8">
      <c r="A31" s="5">
        <v>30</v>
      </c>
      <c r="B31" s="5">
        <v>30</v>
      </c>
      <c r="C31" s="5">
        <v>10</v>
      </c>
      <c r="D31" s="5">
        <v>30</v>
      </c>
      <c r="E31" s="5">
        <v>20</v>
      </c>
      <c r="F31" s="5">
        <v>30</v>
      </c>
      <c r="G31" s="5">
        <v>20</v>
      </c>
      <c r="H31" s="5">
        <v>30</v>
      </c>
    </row>
    <row r="32" spans="1:8">
      <c r="A32" s="9">
        <v>20</v>
      </c>
      <c r="B32" s="9">
        <v>30</v>
      </c>
      <c r="C32" s="9">
        <v>20</v>
      </c>
      <c r="D32" s="9">
        <v>30</v>
      </c>
      <c r="E32" s="9">
        <v>20</v>
      </c>
      <c r="F32" s="9">
        <v>30</v>
      </c>
      <c r="G32" s="9">
        <v>20</v>
      </c>
      <c r="H32" s="9">
        <v>30</v>
      </c>
    </row>
    <row r="33" spans="1:8">
      <c r="A33" s="5">
        <v>25</v>
      </c>
      <c r="B33" s="5">
        <v>25</v>
      </c>
      <c r="C33" s="5">
        <v>25</v>
      </c>
      <c r="D33" s="5">
        <v>25</v>
      </c>
      <c r="E33" s="5">
        <v>25</v>
      </c>
      <c r="F33" s="5">
        <v>25</v>
      </c>
      <c r="G33" s="5">
        <v>25</v>
      </c>
      <c r="H33" s="5">
        <v>25</v>
      </c>
    </row>
    <row r="34" spans="1:8">
      <c r="A34" s="9">
        <v>20</v>
      </c>
      <c r="B34" s="9">
        <v>20</v>
      </c>
      <c r="C34" s="9">
        <v>30</v>
      </c>
      <c r="D34" s="9">
        <v>30</v>
      </c>
      <c r="E34" s="9">
        <v>30</v>
      </c>
      <c r="F34" s="9">
        <v>30</v>
      </c>
      <c r="G34" s="9">
        <v>20</v>
      </c>
      <c r="H34" s="9">
        <v>20</v>
      </c>
    </row>
    <row r="35" spans="1:8">
      <c r="A35" s="5">
        <v>30</v>
      </c>
      <c r="B35" s="5">
        <v>30</v>
      </c>
      <c r="C35" s="5">
        <v>20</v>
      </c>
      <c r="D35" s="5">
        <v>20</v>
      </c>
      <c r="E35" s="5">
        <v>20</v>
      </c>
      <c r="F35" s="5">
        <v>20</v>
      </c>
      <c r="G35" s="5">
        <v>20</v>
      </c>
      <c r="H35" s="5">
        <v>40</v>
      </c>
    </row>
    <row r="36" spans="1:8">
      <c r="A36" s="9">
        <v>10</v>
      </c>
      <c r="B36" s="9">
        <v>30</v>
      </c>
      <c r="C36" s="9">
        <v>30</v>
      </c>
      <c r="D36" s="9">
        <v>30</v>
      </c>
      <c r="E36" s="9">
        <v>25</v>
      </c>
      <c r="F36" s="9">
        <v>25</v>
      </c>
      <c r="G36" s="9">
        <v>25</v>
      </c>
      <c r="H36" s="9">
        <v>25</v>
      </c>
    </row>
    <row r="37" spans="1:8">
      <c r="A37" s="5">
        <v>20</v>
      </c>
      <c r="B37" s="5">
        <v>20</v>
      </c>
      <c r="C37" s="5">
        <v>30</v>
      </c>
      <c r="D37" s="5">
        <v>30</v>
      </c>
      <c r="E37" s="5">
        <v>20</v>
      </c>
      <c r="F37" s="5">
        <v>20</v>
      </c>
      <c r="G37" s="5">
        <v>20</v>
      </c>
      <c r="H37" s="5">
        <v>40</v>
      </c>
    </row>
    <row r="38" spans="1:8">
      <c r="A38" s="9">
        <v>30</v>
      </c>
      <c r="B38" s="9">
        <v>20</v>
      </c>
      <c r="C38" s="9">
        <v>30</v>
      </c>
      <c r="D38" s="9">
        <v>20</v>
      </c>
      <c r="E38" s="9">
        <v>30</v>
      </c>
      <c r="F38" s="9">
        <v>30</v>
      </c>
      <c r="G38" s="9">
        <v>20</v>
      </c>
      <c r="H38" s="9">
        <v>20</v>
      </c>
    </row>
    <row r="39" spans="1:8">
      <c r="A39" s="5">
        <v>30</v>
      </c>
      <c r="B39" s="5">
        <v>20</v>
      </c>
      <c r="C39" s="5">
        <v>30</v>
      </c>
      <c r="D39" s="5">
        <v>20</v>
      </c>
      <c r="E39" s="5">
        <v>30</v>
      </c>
      <c r="F39" s="5">
        <v>20</v>
      </c>
      <c r="G39" s="5">
        <v>30</v>
      </c>
      <c r="H39" s="5">
        <v>20</v>
      </c>
    </row>
    <row r="40" spans="1:8">
      <c r="A40" s="9">
        <v>25</v>
      </c>
      <c r="B40" s="9">
        <v>25</v>
      </c>
      <c r="C40" s="9">
        <v>25</v>
      </c>
      <c r="D40" s="9">
        <v>25</v>
      </c>
      <c r="E40" s="9">
        <v>25</v>
      </c>
      <c r="F40" s="9">
        <v>25</v>
      </c>
      <c r="G40" s="9">
        <v>25</v>
      </c>
      <c r="H40" s="9">
        <v>25</v>
      </c>
    </row>
    <row r="41" spans="1:8">
      <c r="A41" s="5">
        <v>25</v>
      </c>
      <c r="B41" s="5">
        <v>25</v>
      </c>
      <c r="C41" s="5">
        <v>25</v>
      </c>
      <c r="D41" s="5">
        <v>25</v>
      </c>
      <c r="E41" s="5">
        <v>25</v>
      </c>
      <c r="F41" s="5">
        <v>25</v>
      </c>
      <c r="G41" s="5">
        <v>25</v>
      </c>
      <c r="H41" s="5">
        <v>25</v>
      </c>
    </row>
    <row r="42" spans="1:8">
      <c r="A42" s="9">
        <v>40</v>
      </c>
      <c r="B42" s="9">
        <v>30</v>
      </c>
      <c r="C42" s="9">
        <v>20</v>
      </c>
      <c r="D42" s="9">
        <v>10</v>
      </c>
      <c r="E42" s="9">
        <v>40</v>
      </c>
      <c r="F42" s="9">
        <v>30</v>
      </c>
      <c r="G42" s="9">
        <v>20</v>
      </c>
      <c r="H42" s="9">
        <v>10</v>
      </c>
    </row>
    <row r="43" spans="1:8">
      <c r="A43" s="5">
        <v>20</v>
      </c>
      <c r="B43" s="5">
        <v>20</v>
      </c>
      <c r="C43" s="5">
        <v>40</v>
      </c>
      <c r="D43" s="5">
        <v>20</v>
      </c>
      <c r="E43" s="5">
        <v>30</v>
      </c>
      <c r="F43" s="5">
        <v>30</v>
      </c>
      <c r="G43" s="5">
        <v>20</v>
      </c>
      <c r="H43" s="5">
        <v>20</v>
      </c>
    </row>
    <row r="44" spans="1:8">
      <c r="A44" s="9">
        <v>40</v>
      </c>
      <c r="B44" s="9">
        <v>30</v>
      </c>
      <c r="C44" s="9">
        <v>15</v>
      </c>
      <c r="D44" s="9">
        <v>15</v>
      </c>
      <c r="E44" s="9">
        <v>50</v>
      </c>
      <c r="F44" s="9">
        <v>30</v>
      </c>
      <c r="G44" s="9">
        <v>10</v>
      </c>
      <c r="H44" s="9">
        <v>10</v>
      </c>
    </row>
    <row r="45" spans="1:8">
      <c r="A45" s="5">
        <v>40</v>
      </c>
      <c r="B45" s="5">
        <v>30</v>
      </c>
      <c r="C45" s="5">
        <v>20</v>
      </c>
      <c r="D45" s="5">
        <v>10</v>
      </c>
      <c r="E45" s="5">
        <v>15</v>
      </c>
      <c r="F45" s="5">
        <v>25</v>
      </c>
      <c r="G45" s="5">
        <v>35</v>
      </c>
      <c r="H45" s="5">
        <v>25</v>
      </c>
    </row>
    <row r="46" spans="1:8">
      <c r="A46" s="9">
        <v>20</v>
      </c>
      <c r="B46" s="9">
        <v>30</v>
      </c>
      <c r="C46" s="9">
        <v>10</v>
      </c>
      <c r="D46" s="9">
        <v>40</v>
      </c>
      <c r="E46" s="9">
        <v>10</v>
      </c>
      <c r="F46" s="9">
        <v>20</v>
      </c>
      <c r="G46" s="9">
        <v>30</v>
      </c>
      <c r="H46" s="9">
        <v>40</v>
      </c>
    </row>
    <row r="47" spans="1:8">
      <c r="A47" s="5">
        <v>20</v>
      </c>
      <c r="B47" s="5">
        <v>20</v>
      </c>
      <c r="C47" s="5">
        <v>10</v>
      </c>
      <c r="D47" s="5">
        <v>50</v>
      </c>
      <c r="E47" s="5">
        <v>20</v>
      </c>
      <c r="F47" s="5">
        <v>30</v>
      </c>
      <c r="G47" s="5">
        <v>20</v>
      </c>
      <c r="H47" s="5">
        <v>30</v>
      </c>
    </row>
    <row r="48" spans="1:8">
      <c r="A48" s="9">
        <v>30</v>
      </c>
      <c r="B48" s="9">
        <v>30</v>
      </c>
      <c r="C48" s="9">
        <v>30</v>
      </c>
      <c r="D48" s="9">
        <v>10</v>
      </c>
      <c r="E48" s="9">
        <v>30</v>
      </c>
      <c r="F48" s="9">
        <v>30</v>
      </c>
      <c r="G48" s="9">
        <v>30</v>
      </c>
      <c r="H48" s="9">
        <v>10</v>
      </c>
    </row>
    <row r="49" spans="1:8">
      <c r="A49" s="5">
        <v>25</v>
      </c>
      <c r="B49" s="5">
        <v>25</v>
      </c>
      <c r="C49" s="5">
        <v>25</v>
      </c>
      <c r="D49" s="5">
        <v>25</v>
      </c>
      <c r="E49" s="5">
        <v>25</v>
      </c>
      <c r="F49" s="5">
        <v>25</v>
      </c>
      <c r="G49" s="5">
        <v>25</v>
      </c>
      <c r="H49" s="5">
        <v>25</v>
      </c>
    </row>
    <row r="50" spans="1:8">
      <c r="A50" s="9">
        <v>25</v>
      </c>
      <c r="B50" s="9">
        <v>25</v>
      </c>
      <c r="C50" s="9">
        <v>25</v>
      </c>
      <c r="D50" s="9">
        <v>25</v>
      </c>
      <c r="E50" s="9">
        <v>25</v>
      </c>
      <c r="F50" s="9">
        <v>25</v>
      </c>
      <c r="G50" s="9">
        <v>25</v>
      </c>
      <c r="H50" s="9">
        <v>25</v>
      </c>
    </row>
    <row r="51" spans="1:8">
      <c r="A51" s="5">
        <v>30</v>
      </c>
      <c r="B51" s="5">
        <v>30</v>
      </c>
      <c r="C51" s="5">
        <v>20</v>
      </c>
      <c r="D51" s="5">
        <v>20</v>
      </c>
      <c r="E51" s="5">
        <v>30</v>
      </c>
      <c r="F51" s="5">
        <v>30</v>
      </c>
      <c r="G51" s="5">
        <v>20</v>
      </c>
      <c r="H51" s="5">
        <v>20</v>
      </c>
    </row>
    <row r="52" spans="1:8">
      <c r="A52" s="9">
        <v>10</v>
      </c>
      <c r="B52" s="9">
        <v>10</v>
      </c>
      <c r="C52" s="9">
        <v>10</v>
      </c>
      <c r="D52" s="9">
        <v>70</v>
      </c>
      <c r="E52" s="9">
        <v>10</v>
      </c>
      <c r="F52" s="9">
        <v>70</v>
      </c>
      <c r="G52" s="9">
        <v>10</v>
      </c>
      <c r="H52" s="9">
        <v>10</v>
      </c>
    </row>
    <row r="53" spans="1:8">
      <c r="A53" s="5">
        <v>20</v>
      </c>
      <c r="B53" s="5">
        <v>30</v>
      </c>
      <c r="C53" s="5">
        <v>30</v>
      </c>
      <c r="D53" s="5">
        <v>20</v>
      </c>
      <c r="E53" s="5">
        <v>20</v>
      </c>
      <c r="F53" s="5">
        <v>20</v>
      </c>
      <c r="G53" s="5">
        <v>30</v>
      </c>
      <c r="H53" s="5">
        <v>30</v>
      </c>
    </row>
    <row r="54" spans="1:8">
      <c r="A54" s="9">
        <v>20</v>
      </c>
      <c r="B54" s="9">
        <v>30</v>
      </c>
      <c r="C54" s="9">
        <v>20</v>
      </c>
      <c r="D54" s="9">
        <v>30</v>
      </c>
      <c r="E54" s="9">
        <v>20</v>
      </c>
      <c r="F54" s="9">
        <v>30</v>
      </c>
      <c r="G54" s="9">
        <v>20</v>
      </c>
      <c r="H54" s="9">
        <v>30</v>
      </c>
    </row>
    <row r="55" spans="1:8">
      <c r="A55" s="5">
        <v>25</v>
      </c>
      <c r="B55" s="5">
        <v>25</v>
      </c>
      <c r="C55" s="5">
        <v>25</v>
      </c>
      <c r="D55" s="5">
        <v>25</v>
      </c>
      <c r="E55" s="5">
        <v>25</v>
      </c>
      <c r="F55" s="5">
        <v>25</v>
      </c>
      <c r="G55" s="5">
        <v>25</v>
      </c>
      <c r="H55" s="5">
        <v>25</v>
      </c>
    </row>
    <row r="56" spans="1:8">
      <c r="A56" s="9">
        <v>25</v>
      </c>
      <c r="B56" s="9">
        <v>25</v>
      </c>
      <c r="C56" s="9">
        <v>25</v>
      </c>
      <c r="D56" s="9">
        <v>25</v>
      </c>
      <c r="E56" s="9">
        <v>25</v>
      </c>
      <c r="F56" s="9">
        <v>25</v>
      </c>
      <c r="G56" s="9">
        <v>25</v>
      </c>
      <c r="H56" s="9">
        <v>25</v>
      </c>
    </row>
    <row r="57" spans="1:8">
      <c r="A57" s="5">
        <v>25</v>
      </c>
      <c r="B57" s="5">
        <v>25</v>
      </c>
      <c r="C57" s="5">
        <v>25</v>
      </c>
      <c r="D57" s="5">
        <v>25</v>
      </c>
      <c r="E57" s="5">
        <v>25</v>
      </c>
      <c r="F57" s="5">
        <v>15</v>
      </c>
      <c r="G57" s="5">
        <v>25</v>
      </c>
      <c r="H57" s="5">
        <v>35</v>
      </c>
    </row>
    <row r="58" spans="1:8">
      <c r="A58" s="9">
        <v>30</v>
      </c>
      <c r="B58" s="9">
        <v>30</v>
      </c>
      <c r="C58" s="9">
        <v>10</v>
      </c>
      <c r="D58" s="9">
        <v>30</v>
      </c>
      <c r="E58" s="9">
        <v>30</v>
      </c>
      <c r="F58" s="9">
        <v>30</v>
      </c>
      <c r="G58" s="9">
        <v>10</v>
      </c>
      <c r="H58" s="9">
        <v>30</v>
      </c>
    </row>
    <row r="59" spans="1:8">
      <c r="A59" s="5">
        <v>25</v>
      </c>
      <c r="B59" s="5">
        <v>25</v>
      </c>
      <c r="C59" s="5">
        <v>25</v>
      </c>
      <c r="D59" s="5">
        <v>25</v>
      </c>
      <c r="E59" s="5">
        <v>25</v>
      </c>
      <c r="F59" s="5">
        <v>25</v>
      </c>
      <c r="G59" s="5">
        <v>25</v>
      </c>
      <c r="H59" s="5">
        <v>25</v>
      </c>
    </row>
    <row r="60" spans="1:8">
      <c r="A60" s="9">
        <v>25</v>
      </c>
      <c r="B60" s="9">
        <v>25</v>
      </c>
      <c r="C60" s="9">
        <v>25</v>
      </c>
      <c r="D60" s="9">
        <v>25</v>
      </c>
      <c r="E60" s="9">
        <v>25</v>
      </c>
      <c r="F60" s="9">
        <v>25</v>
      </c>
      <c r="G60" s="9">
        <v>25</v>
      </c>
      <c r="H60" s="9">
        <v>25</v>
      </c>
    </row>
    <row r="61" spans="1:8">
      <c r="A61" s="5">
        <v>60</v>
      </c>
      <c r="B61" s="5">
        <v>10</v>
      </c>
      <c r="C61" s="5">
        <v>10</v>
      </c>
      <c r="D61" s="5">
        <v>20</v>
      </c>
      <c r="E61" s="5">
        <v>20</v>
      </c>
      <c r="F61" s="5">
        <v>10</v>
      </c>
      <c r="G61" s="5">
        <v>20</v>
      </c>
      <c r="H61" s="5">
        <v>50</v>
      </c>
    </row>
    <row r="62" spans="1:8">
      <c r="A62" s="9">
        <v>10</v>
      </c>
      <c r="B62" s="9">
        <v>50</v>
      </c>
      <c r="C62" s="9">
        <v>30</v>
      </c>
      <c r="D62" s="9">
        <v>10</v>
      </c>
      <c r="E62" s="9">
        <v>10</v>
      </c>
      <c r="F62" s="9">
        <v>40</v>
      </c>
      <c r="G62" s="9">
        <v>40</v>
      </c>
      <c r="H62" s="9">
        <v>10</v>
      </c>
    </row>
    <row r="63" spans="1:8">
      <c r="A63" s="5">
        <v>10</v>
      </c>
      <c r="B63" s="5">
        <v>30</v>
      </c>
      <c r="C63" s="5">
        <v>30</v>
      </c>
      <c r="D63" s="5">
        <v>30</v>
      </c>
      <c r="E63" s="5">
        <v>20</v>
      </c>
      <c r="F63" s="5">
        <v>30</v>
      </c>
      <c r="G63" s="5">
        <v>30</v>
      </c>
      <c r="H63" s="5">
        <v>20</v>
      </c>
    </row>
    <row r="64" spans="1:8">
      <c r="A64" s="9">
        <v>30</v>
      </c>
      <c r="B64" s="9">
        <v>20</v>
      </c>
      <c r="C64" s="9">
        <v>20</v>
      </c>
      <c r="D64" s="9">
        <v>30</v>
      </c>
      <c r="E64" s="9">
        <v>20</v>
      </c>
      <c r="F64" s="9">
        <v>20</v>
      </c>
      <c r="G64" s="9">
        <v>30</v>
      </c>
      <c r="H64" s="9">
        <v>30</v>
      </c>
    </row>
    <row r="65" spans="1:8">
      <c r="A65" s="5">
        <v>30</v>
      </c>
      <c r="B65" s="5">
        <v>30</v>
      </c>
      <c r="C65" s="5">
        <v>20</v>
      </c>
      <c r="D65" s="5">
        <v>20</v>
      </c>
      <c r="E65" s="5">
        <v>20</v>
      </c>
      <c r="F65" s="5">
        <v>20</v>
      </c>
      <c r="G65" s="5">
        <v>30</v>
      </c>
      <c r="H65" s="5">
        <v>30</v>
      </c>
    </row>
    <row r="66" spans="1:8">
      <c r="A66" s="9">
        <v>40</v>
      </c>
      <c r="B66" s="9">
        <v>30</v>
      </c>
      <c r="C66" s="9">
        <v>10</v>
      </c>
      <c r="D66" s="9">
        <v>20</v>
      </c>
      <c r="E66" s="9">
        <v>20</v>
      </c>
      <c r="F66" s="9">
        <v>20</v>
      </c>
      <c r="G66" s="9">
        <v>40</v>
      </c>
      <c r="H66" s="9">
        <v>20</v>
      </c>
    </row>
    <row r="67" spans="1:8">
      <c r="A67" s="5">
        <v>40</v>
      </c>
      <c r="B67" s="5">
        <v>30</v>
      </c>
      <c r="C67" s="5">
        <v>20</v>
      </c>
      <c r="D67" s="5">
        <v>10</v>
      </c>
      <c r="E67" s="5">
        <v>20</v>
      </c>
      <c r="F67" s="5">
        <v>20</v>
      </c>
      <c r="G67" s="5">
        <v>40</v>
      </c>
      <c r="H67" s="5">
        <v>20</v>
      </c>
    </row>
    <row r="68" spans="1:8">
      <c r="A68" s="9">
        <v>30</v>
      </c>
      <c r="B68" s="9">
        <v>30</v>
      </c>
      <c r="C68" s="9">
        <v>10</v>
      </c>
      <c r="D68" s="9">
        <v>30</v>
      </c>
      <c r="E68" s="9">
        <v>30</v>
      </c>
      <c r="F68" s="9">
        <v>40</v>
      </c>
      <c r="G68" s="9">
        <v>10</v>
      </c>
      <c r="H68" s="9">
        <v>20</v>
      </c>
    </row>
    <row r="69" spans="1:8">
      <c r="A69" s="5">
        <v>30</v>
      </c>
      <c r="B69" s="5">
        <v>20</v>
      </c>
      <c r="C69" s="5">
        <v>20</v>
      </c>
      <c r="D69" s="5">
        <v>30</v>
      </c>
      <c r="E69" s="5">
        <v>30</v>
      </c>
      <c r="F69" s="5">
        <v>20</v>
      </c>
      <c r="G69" s="5">
        <v>20</v>
      </c>
      <c r="H69" s="5">
        <v>30</v>
      </c>
    </row>
    <row r="70" spans="1:8">
      <c r="A70" s="9">
        <v>30</v>
      </c>
      <c r="B70" s="9">
        <v>30</v>
      </c>
      <c r="C70" s="9">
        <v>20</v>
      </c>
      <c r="D70" s="9">
        <v>20</v>
      </c>
      <c r="E70" s="9">
        <v>30</v>
      </c>
      <c r="F70" s="9">
        <v>30</v>
      </c>
      <c r="G70" s="9">
        <v>20</v>
      </c>
      <c r="H70" s="9">
        <v>20</v>
      </c>
    </row>
    <row r="71" spans="1:8">
      <c r="A71" s="5">
        <v>70</v>
      </c>
      <c r="B71" s="5">
        <v>10</v>
      </c>
      <c r="C71" s="5">
        <v>10</v>
      </c>
      <c r="D71" s="5">
        <v>10</v>
      </c>
      <c r="E71" s="5">
        <v>70</v>
      </c>
      <c r="F71" s="5">
        <v>10</v>
      </c>
      <c r="G71" s="5">
        <v>10</v>
      </c>
      <c r="H71" s="5">
        <v>10</v>
      </c>
    </row>
    <row r="72" spans="1:8">
      <c r="A72" s="9">
        <v>70</v>
      </c>
      <c r="B72" s="9">
        <v>10</v>
      </c>
      <c r="C72" s="9">
        <v>10</v>
      </c>
      <c r="D72" s="9">
        <v>10</v>
      </c>
      <c r="E72" s="9">
        <v>70</v>
      </c>
      <c r="F72" s="9">
        <v>10</v>
      </c>
      <c r="G72" s="9">
        <v>10</v>
      </c>
      <c r="H72" s="9">
        <v>10</v>
      </c>
    </row>
    <row r="73" spans="1:8">
      <c r="A73" s="5">
        <v>40</v>
      </c>
      <c r="B73" s="5">
        <v>20</v>
      </c>
      <c r="C73" s="5">
        <v>20</v>
      </c>
      <c r="D73" s="5">
        <v>20</v>
      </c>
      <c r="E73" s="5">
        <v>20</v>
      </c>
      <c r="F73" s="5">
        <v>20</v>
      </c>
      <c r="G73" s="5">
        <v>20</v>
      </c>
      <c r="H73" s="5">
        <v>40</v>
      </c>
    </row>
    <row r="74" spans="1:8">
      <c r="A74" s="9">
        <v>70</v>
      </c>
      <c r="B74" s="9">
        <v>10</v>
      </c>
      <c r="C74" s="9">
        <v>10</v>
      </c>
      <c r="D74" s="9">
        <v>10</v>
      </c>
      <c r="E74" s="9">
        <v>70</v>
      </c>
      <c r="F74" s="9">
        <v>10</v>
      </c>
      <c r="G74" s="9">
        <v>10</v>
      </c>
      <c r="H74" s="9">
        <v>10</v>
      </c>
    </row>
    <row r="75" spans="1:8">
      <c r="A75" s="5">
        <v>30</v>
      </c>
      <c r="B75" s="5">
        <v>30</v>
      </c>
      <c r="C75" s="5">
        <v>20</v>
      </c>
      <c r="D75" s="5">
        <v>20</v>
      </c>
      <c r="E75" s="5">
        <v>30</v>
      </c>
      <c r="F75" s="5">
        <v>30</v>
      </c>
      <c r="G75" s="5">
        <v>20</v>
      </c>
      <c r="H75" s="5">
        <v>20</v>
      </c>
    </row>
    <row r="76" spans="1:8">
      <c r="A76" s="9">
        <v>25</v>
      </c>
      <c r="B76" s="9">
        <v>25</v>
      </c>
      <c r="C76" s="9">
        <v>25</v>
      </c>
      <c r="D76" s="9">
        <v>25</v>
      </c>
      <c r="E76" s="9">
        <v>20</v>
      </c>
      <c r="F76" s="9">
        <v>30</v>
      </c>
      <c r="G76" s="9">
        <v>30</v>
      </c>
      <c r="H76" s="9">
        <v>20</v>
      </c>
    </row>
    <row r="77" spans="1:8">
      <c r="A77" s="5">
        <v>10</v>
      </c>
      <c r="B77" s="5">
        <v>30</v>
      </c>
      <c r="C77" s="5">
        <v>30</v>
      </c>
      <c r="D77" s="5">
        <v>30</v>
      </c>
      <c r="E77" s="5">
        <v>25</v>
      </c>
      <c r="F77" s="5">
        <v>25</v>
      </c>
      <c r="G77" s="5">
        <v>25</v>
      </c>
      <c r="H77" s="5">
        <v>25</v>
      </c>
    </row>
    <row r="78" spans="1:8">
      <c r="A78" s="9">
        <v>30</v>
      </c>
      <c r="B78" s="9">
        <v>30</v>
      </c>
      <c r="C78" s="9">
        <v>10</v>
      </c>
      <c r="D78" s="9">
        <v>30</v>
      </c>
      <c r="E78" s="9">
        <v>30</v>
      </c>
      <c r="F78" s="9">
        <v>10</v>
      </c>
      <c r="G78" s="9">
        <v>30</v>
      </c>
      <c r="H78" s="9">
        <v>30</v>
      </c>
    </row>
    <row r="79" spans="1:8">
      <c r="A79" s="5">
        <v>30</v>
      </c>
      <c r="B79" s="5">
        <v>20</v>
      </c>
      <c r="C79" s="5">
        <v>20</v>
      </c>
      <c r="D79" s="5">
        <v>30</v>
      </c>
      <c r="E79" s="5">
        <v>30</v>
      </c>
      <c r="F79" s="5">
        <v>20</v>
      </c>
      <c r="G79" s="5">
        <v>20</v>
      </c>
      <c r="H79" s="5">
        <v>30</v>
      </c>
    </row>
    <row r="80" spans="1:8">
      <c r="A80" s="9">
        <v>25</v>
      </c>
      <c r="B80" s="9">
        <v>25</v>
      </c>
      <c r="C80" s="9">
        <v>25</v>
      </c>
      <c r="D80" s="9">
        <v>25</v>
      </c>
      <c r="E80" s="9">
        <v>25</v>
      </c>
      <c r="F80" s="9">
        <v>25</v>
      </c>
      <c r="G80" s="9">
        <v>25</v>
      </c>
      <c r="H80" s="9">
        <v>25</v>
      </c>
    </row>
    <row r="81" spans="1:8">
      <c r="A81" s="5">
        <v>35</v>
      </c>
      <c r="B81" s="5">
        <v>25</v>
      </c>
      <c r="C81" s="5">
        <v>25</v>
      </c>
      <c r="D81" s="5">
        <v>15</v>
      </c>
      <c r="E81" s="5">
        <v>30</v>
      </c>
      <c r="F81" s="5">
        <v>30</v>
      </c>
      <c r="G81" s="5">
        <v>20</v>
      </c>
      <c r="H81" s="5">
        <v>20</v>
      </c>
    </row>
    <row r="82" spans="1:8">
      <c r="A82" s="9">
        <v>30</v>
      </c>
      <c r="B82" s="9">
        <v>30</v>
      </c>
      <c r="C82" s="9">
        <v>20</v>
      </c>
      <c r="D82" s="9">
        <v>20</v>
      </c>
      <c r="E82" s="9">
        <v>30</v>
      </c>
      <c r="F82" s="9">
        <v>30</v>
      </c>
      <c r="G82" s="9">
        <v>20</v>
      </c>
      <c r="H82" s="9">
        <v>20</v>
      </c>
    </row>
    <row r="83" spans="1:8">
      <c r="A83" s="5">
        <v>50</v>
      </c>
      <c r="B83" s="5">
        <v>20</v>
      </c>
      <c r="C83" s="5">
        <v>10</v>
      </c>
      <c r="D83" s="5">
        <v>20</v>
      </c>
      <c r="E83" s="5">
        <v>10</v>
      </c>
      <c r="F83" s="5">
        <v>30</v>
      </c>
      <c r="G83" s="5">
        <v>30</v>
      </c>
      <c r="H83" s="5">
        <v>30</v>
      </c>
    </row>
    <row r="84" spans="1:8">
      <c r="A84" s="9">
        <v>25</v>
      </c>
      <c r="B84" s="9">
        <v>25</v>
      </c>
      <c r="C84" s="9">
        <v>25</v>
      </c>
      <c r="D84" s="9">
        <v>25</v>
      </c>
      <c r="E84" s="9">
        <v>20</v>
      </c>
      <c r="F84" s="9">
        <v>20</v>
      </c>
      <c r="G84" s="9">
        <v>40</v>
      </c>
      <c r="H84" s="9">
        <v>20</v>
      </c>
    </row>
    <row r="85" spans="1:8">
      <c r="A85" s="5">
        <v>60</v>
      </c>
      <c r="B85" s="5">
        <v>10</v>
      </c>
      <c r="C85" s="5">
        <v>10</v>
      </c>
      <c r="D85" s="5">
        <v>20</v>
      </c>
      <c r="E85" s="5">
        <v>70</v>
      </c>
      <c r="F85" s="5">
        <v>10</v>
      </c>
      <c r="G85" s="5">
        <v>10</v>
      </c>
      <c r="H85" s="5">
        <v>10</v>
      </c>
    </row>
    <row r="86" spans="1:8">
      <c r="A86" s="9">
        <v>40</v>
      </c>
      <c r="B86" s="9">
        <v>20</v>
      </c>
      <c r="C86" s="9">
        <v>20</v>
      </c>
      <c r="D86" s="9">
        <v>20</v>
      </c>
      <c r="E86" s="9">
        <v>30</v>
      </c>
      <c r="F86" s="9">
        <v>30</v>
      </c>
      <c r="G86" s="9">
        <v>30</v>
      </c>
      <c r="H86" s="9">
        <v>10</v>
      </c>
    </row>
    <row r="87" spans="1:8">
      <c r="A87" s="5">
        <v>20</v>
      </c>
      <c r="B87" s="5">
        <v>20</v>
      </c>
      <c r="C87" s="5">
        <v>30</v>
      </c>
      <c r="D87" s="5">
        <v>30</v>
      </c>
      <c r="E87" s="5">
        <v>20</v>
      </c>
      <c r="F87" s="5">
        <v>20</v>
      </c>
      <c r="G87" s="5">
        <v>30</v>
      </c>
      <c r="H87" s="5">
        <v>30</v>
      </c>
    </row>
    <row r="88" spans="1:8">
      <c r="A88" s="9">
        <v>30</v>
      </c>
      <c r="B88" s="9">
        <v>30</v>
      </c>
      <c r="C88" s="9">
        <v>20</v>
      </c>
      <c r="D88" s="9">
        <v>20</v>
      </c>
      <c r="E88" s="9">
        <v>30</v>
      </c>
      <c r="F88" s="9">
        <v>20</v>
      </c>
      <c r="G88" s="9">
        <v>20</v>
      </c>
      <c r="H88" s="9">
        <v>30</v>
      </c>
    </row>
    <row r="89" spans="1:8">
      <c r="A89" s="5">
        <v>30</v>
      </c>
      <c r="B89" s="5">
        <v>30</v>
      </c>
      <c r="C89" s="5">
        <v>30</v>
      </c>
      <c r="D89" s="5">
        <v>10</v>
      </c>
      <c r="E89" s="5">
        <v>20</v>
      </c>
      <c r="F89" s="5">
        <v>20</v>
      </c>
      <c r="G89" s="5">
        <v>30</v>
      </c>
      <c r="H89" s="5">
        <v>30</v>
      </c>
    </row>
    <row r="90" spans="1:8">
      <c r="A90" s="9">
        <v>20</v>
      </c>
      <c r="B90" s="9">
        <v>30</v>
      </c>
      <c r="C90" s="9">
        <v>20</v>
      </c>
      <c r="D90" s="9">
        <v>30</v>
      </c>
      <c r="E90" s="9">
        <v>20</v>
      </c>
      <c r="F90" s="9">
        <v>30</v>
      </c>
      <c r="G90" s="9">
        <v>20</v>
      </c>
      <c r="H90" s="9">
        <v>30</v>
      </c>
    </row>
    <row r="91" spans="1:8">
      <c r="A91" s="5">
        <v>30</v>
      </c>
      <c r="B91" s="5">
        <v>20</v>
      </c>
      <c r="C91" s="5">
        <v>20</v>
      </c>
      <c r="D91" s="5">
        <v>30</v>
      </c>
      <c r="E91" s="5">
        <v>20</v>
      </c>
      <c r="F91" s="5">
        <v>30</v>
      </c>
      <c r="G91" s="5">
        <v>20</v>
      </c>
      <c r="H91" s="5">
        <v>30</v>
      </c>
    </row>
    <row r="92" spans="1:8">
      <c r="A92" s="9">
        <v>30</v>
      </c>
      <c r="B92" s="9">
        <v>30</v>
      </c>
      <c r="C92" s="9">
        <v>20</v>
      </c>
      <c r="D92" s="9">
        <v>20</v>
      </c>
      <c r="E92" s="9">
        <v>30</v>
      </c>
      <c r="F92" s="9">
        <v>30</v>
      </c>
      <c r="G92" s="9">
        <v>20</v>
      </c>
      <c r="H92" s="9">
        <v>20</v>
      </c>
    </row>
    <row r="93" spans="1:8">
      <c r="A93" s="5">
        <v>25</v>
      </c>
      <c r="B93" s="5">
        <v>25</v>
      </c>
      <c r="C93" s="5">
        <v>25</v>
      </c>
      <c r="D93" s="5">
        <v>25</v>
      </c>
      <c r="E93" s="5">
        <v>20</v>
      </c>
      <c r="F93" s="5">
        <v>30</v>
      </c>
      <c r="G93" s="5">
        <v>30</v>
      </c>
      <c r="H93" s="5">
        <v>20</v>
      </c>
    </row>
    <row r="94" spans="1:8">
      <c r="A94" s="9">
        <v>20</v>
      </c>
      <c r="B94" s="9">
        <v>20</v>
      </c>
      <c r="C94" s="9">
        <v>30</v>
      </c>
      <c r="D94" s="9">
        <v>30</v>
      </c>
      <c r="E94" s="9">
        <v>20</v>
      </c>
      <c r="F94" s="9">
        <v>20</v>
      </c>
      <c r="G94" s="9">
        <v>30</v>
      </c>
      <c r="H94" s="9">
        <v>30</v>
      </c>
    </row>
    <row r="95" spans="1:8">
      <c r="A95" s="5">
        <v>20</v>
      </c>
      <c r="B95" s="5">
        <v>20</v>
      </c>
      <c r="C95" s="5">
        <v>30</v>
      </c>
      <c r="D95" s="5">
        <v>30</v>
      </c>
      <c r="E95" s="5">
        <v>20</v>
      </c>
      <c r="F95" s="5">
        <v>20</v>
      </c>
      <c r="G95" s="5">
        <v>30</v>
      </c>
      <c r="H95" s="5">
        <v>30</v>
      </c>
    </row>
    <row r="96" spans="1:8">
      <c r="A96" s="9">
        <v>30</v>
      </c>
      <c r="B96" s="9">
        <v>30</v>
      </c>
      <c r="C96" s="9">
        <v>20</v>
      </c>
      <c r="D96" s="9">
        <v>20</v>
      </c>
      <c r="E96" s="9">
        <v>30</v>
      </c>
      <c r="F96" s="9">
        <v>30</v>
      </c>
      <c r="G96" s="9">
        <v>20</v>
      </c>
      <c r="H96" s="9">
        <v>20</v>
      </c>
    </row>
    <row r="97" spans="1:8">
      <c r="A97" s="5">
        <v>10</v>
      </c>
      <c r="B97" s="5">
        <v>30</v>
      </c>
      <c r="C97" s="5">
        <v>30</v>
      </c>
      <c r="D97" s="5">
        <v>30</v>
      </c>
      <c r="E97" s="5">
        <v>15</v>
      </c>
      <c r="F97" s="5">
        <v>25</v>
      </c>
      <c r="G97" s="5">
        <v>25</v>
      </c>
      <c r="H97" s="5">
        <v>35</v>
      </c>
    </row>
    <row r="98" spans="1:8">
      <c r="A98" s="9">
        <v>30</v>
      </c>
      <c r="B98" s="9">
        <v>30</v>
      </c>
      <c r="C98" s="9">
        <v>20</v>
      </c>
      <c r="D98" s="9">
        <v>20</v>
      </c>
      <c r="E98" s="9">
        <v>40</v>
      </c>
      <c r="F98" s="9">
        <v>40</v>
      </c>
      <c r="G98" s="9">
        <v>10</v>
      </c>
      <c r="H98" s="9">
        <v>10</v>
      </c>
    </row>
    <row r="99" spans="1:8">
      <c r="A99" s="5">
        <v>25</v>
      </c>
      <c r="B99" s="5">
        <v>25</v>
      </c>
      <c r="C99" s="5">
        <v>25</v>
      </c>
      <c r="D99" s="5">
        <v>25</v>
      </c>
      <c r="E99" s="5">
        <v>25</v>
      </c>
      <c r="F99" s="5">
        <v>25</v>
      </c>
      <c r="G99" s="5">
        <v>25</v>
      </c>
      <c r="H99" s="5">
        <v>25</v>
      </c>
    </row>
    <row r="100" spans="1:8">
      <c r="A100" s="9">
        <v>20</v>
      </c>
      <c r="B100" s="9">
        <v>20</v>
      </c>
      <c r="C100" s="9">
        <v>20</v>
      </c>
      <c r="D100" s="9">
        <v>40</v>
      </c>
      <c r="E100" s="9">
        <v>30</v>
      </c>
      <c r="F100" s="9">
        <v>40</v>
      </c>
      <c r="G100" s="9">
        <v>10</v>
      </c>
      <c r="H100" s="9">
        <v>20</v>
      </c>
    </row>
    <row r="101" spans="1:8">
      <c r="A101" s="5">
        <v>40</v>
      </c>
      <c r="B101" s="5">
        <v>20</v>
      </c>
      <c r="C101" s="5">
        <v>20</v>
      </c>
      <c r="D101" s="5">
        <v>20</v>
      </c>
      <c r="E101" s="5">
        <v>20</v>
      </c>
      <c r="F101" s="5">
        <v>30</v>
      </c>
      <c r="G101" s="5">
        <v>20</v>
      </c>
      <c r="H101" s="5">
        <v>30</v>
      </c>
    </row>
    <row r="102" spans="1:8">
      <c r="A102" s="9">
        <v>25</v>
      </c>
      <c r="B102" s="9">
        <v>25</v>
      </c>
      <c r="C102" s="9">
        <v>25</v>
      </c>
      <c r="D102" s="9">
        <v>25</v>
      </c>
      <c r="E102" s="9">
        <v>25</v>
      </c>
      <c r="F102" s="9">
        <v>25</v>
      </c>
      <c r="G102" s="9">
        <v>25</v>
      </c>
      <c r="H102" s="9">
        <v>25</v>
      </c>
    </row>
    <row r="103" spans="1:8">
      <c r="A103" s="5">
        <v>25</v>
      </c>
      <c r="B103" s="5">
        <v>25</v>
      </c>
      <c r="C103" s="5">
        <v>25</v>
      </c>
      <c r="D103" s="5">
        <v>25</v>
      </c>
      <c r="E103" s="5">
        <v>25</v>
      </c>
      <c r="F103" s="5">
        <v>25</v>
      </c>
      <c r="G103" s="5">
        <v>25</v>
      </c>
      <c r="H103" s="5">
        <v>25</v>
      </c>
    </row>
    <row r="104" spans="1:8">
      <c r="A104" s="9">
        <v>25</v>
      </c>
      <c r="B104" s="9">
        <v>25</v>
      </c>
      <c r="C104" s="9">
        <v>25</v>
      </c>
      <c r="D104" s="9">
        <v>25</v>
      </c>
      <c r="E104" s="9">
        <v>25</v>
      </c>
      <c r="F104" s="9">
        <v>25</v>
      </c>
      <c r="G104" s="9">
        <v>25</v>
      </c>
      <c r="H104" s="9">
        <v>25</v>
      </c>
    </row>
    <row r="105" spans="1:8">
      <c r="A105" s="5">
        <v>40</v>
      </c>
      <c r="B105" s="5">
        <v>20</v>
      </c>
      <c r="C105" s="5">
        <v>10</v>
      </c>
      <c r="D105" s="5">
        <v>30</v>
      </c>
      <c r="E105" s="5">
        <v>30</v>
      </c>
      <c r="F105" s="5">
        <v>20</v>
      </c>
      <c r="G105" s="5">
        <v>20</v>
      </c>
      <c r="H105" s="5">
        <v>30</v>
      </c>
    </row>
    <row r="106" spans="1:8">
      <c r="A106" s="9">
        <v>40</v>
      </c>
      <c r="B106" s="9">
        <v>40</v>
      </c>
      <c r="C106" s="9">
        <v>10</v>
      </c>
      <c r="D106" s="9">
        <v>10</v>
      </c>
      <c r="E106" s="9">
        <v>10</v>
      </c>
      <c r="F106" s="9">
        <v>10</v>
      </c>
      <c r="G106" s="9">
        <v>20</v>
      </c>
      <c r="H106" s="9">
        <v>60</v>
      </c>
    </row>
    <row r="107" spans="1:8">
      <c r="A107" s="5">
        <v>30</v>
      </c>
      <c r="B107" s="5">
        <v>20</v>
      </c>
      <c r="C107" s="5">
        <v>20</v>
      </c>
      <c r="D107" s="5">
        <v>30</v>
      </c>
      <c r="E107" s="5">
        <v>20</v>
      </c>
      <c r="F107" s="5">
        <v>20</v>
      </c>
      <c r="G107" s="5">
        <v>30</v>
      </c>
      <c r="H107" s="5">
        <v>30</v>
      </c>
    </row>
    <row r="108" spans="1:8">
      <c r="A108" s="9">
        <v>30</v>
      </c>
      <c r="B108" s="9">
        <v>30</v>
      </c>
      <c r="C108" s="9">
        <v>20</v>
      </c>
      <c r="D108" s="9">
        <v>20</v>
      </c>
      <c r="E108" s="9">
        <v>30</v>
      </c>
      <c r="F108" s="9">
        <v>30</v>
      </c>
      <c r="G108" s="9">
        <v>20</v>
      </c>
      <c r="H108" s="9">
        <v>20</v>
      </c>
    </row>
    <row r="109" spans="1:8">
      <c r="A109" s="5">
        <v>30</v>
      </c>
      <c r="B109" s="5">
        <v>30</v>
      </c>
      <c r="C109" s="5">
        <v>20</v>
      </c>
      <c r="D109" s="5">
        <v>20</v>
      </c>
      <c r="E109" s="5">
        <v>45</v>
      </c>
      <c r="F109" s="5">
        <v>25</v>
      </c>
      <c r="G109" s="5">
        <v>15</v>
      </c>
      <c r="H109" s="5">
        <v>15</v>
      </c>
    </row>
    <row r="110" spans="1:8">
      <c r="A110" s="9">
        <v>30</v>
      </c>
      <c r="B110" s="9">
        <v>30</v>
      </c>
      <c r="C110" s="9">
        <v>20</v>
      </c>
      <c r="D110" s="9">
        <v>20</v>
      </c>
      <c r="E110" s="9">
        <v>20</v>
      </c>
      <c r="F110" s="9">
        <v>20</v>
      </c>
      <c r="G110" s="9">
        <v>20</v>
      </c>
      <c r="H110" s="9">
        <v>40</v>
      </c>
    </row>
    <row r="111" spans="1:8">
      <c r="A111" s="5">
        <v>60</v>
      </c>
      <c r="B111" s="5">
        <v>10</v>
      </c>
      <c r="C111" s="5">
        <v>20</v>
      </c>
      <c r="D111" s="5">
        <v>10</v>
      </c>
      <c r="E111" s="5">
        <v>40</v>
      </c>
      <c r="F111" s="5">
        <v>20</v>
      </c>
      <c r="G111" s="5">
        <v>20</v>
      </c>
      <c r="H111" s="5">
        <v>20</v>
      </c>
    </row>
    <row r="112" spans="1:8">
      <c r="A112" s="9">
        <v>10</v>
      </c>
      <c r="B112" s="9">
        <v>30</v>
      </c>
      <c r="C112" s="9">
        <v>30</v>
      </c>
      <c r="D112" s="9">
        <v>30</v>
      </c>
      <c r="E112" s="9">
        <v>20</v>
      </c>
      <c r="F112" s="9">
        <v>30</v>
      </c>
      <c r="G112" s="9">
        <v>30</v>
      </c>
      <c r="H112" s="9">
        <v>20</v>
      </c>
    </row>
    <row r="113" spans="1:8">
      <c r="A113" s="5">
        <v>30</v>
      </c>
      <c r="B113" s="5">
        <v>30</v>
      </c>
      <c r="C113" s="5">
        <v>20</v>
      </c>
      <c r="D113" s="5">
        <v>20</v>
      </c>
      <c r="E113" s="5">
        <v>20</v>
      </c>
      <c r="F113" s="5">
        <v>20</v>
      </c>
      <c r="G113" s="5">
        <v>30</v>
      </c>
      <c r="H113" s="5">
        <v>30</v>
      </c>
    </row>
    <row r="114" spans="1:8">
      <c r="A114" s="9">
        <v>25</v>
      </c>
      <c r="B114" s="9">
        <v>25</v>
      </c>
      <c r="C114" s="9">
        <v>25</v>
      </c>
      <c r="D114" s="9">
        <v>25</v>
      </c>
      <c r="E114" s="9">
        <v>30</v>
      </c>
      <c r="F114" s="9">
        <v>10</v>
      </c>
      <c r="G114" s="9">
        <v>30</v>
      </c>
      <c r="H114" s="9">
        <v>30</v>
      </c>
    </row>
    <row r="115" spans="1:8">
      <c r="A115" s="5">
        <v>20</v>
      </c>
      <c r="B115" s="5">
        <v>30</v>
      </c>
      <c r="C115" s="5">
        <v>30</v>
      </c>
      <c r="D115" s="5">
        <v>20</v>
      </c>
      <c r="E115" s="5">
        <v>20</v>
      </c>
      <c r="F115" s="5">
        <v>20</v>
      </c>
      <c r="G115" s="5">
        <v>20</v>
      </c>
      <c r="H115" s="5">
        <v>40</v>
      </c>
    </row>
    <row r="116" spans="1:8">
      <c r="A116" s="9">
        <v>25</v>
      </c>
      <c r="B116" s="9">
        <v>25</v>
      </c>
      <c r="C116" s="9">
        <v>25</v>
      </c>
      <c r="D116" s="9">
        <v>25</v>
      </c>
      <c r="E116" s="9">
        <v>10</v>
      </c>
      <c r="F116" s="9">
        <v>30</v>
      </c>
      <c r="G116" s="9">
        <v>30</v>
      </c>
      <c r="H116" s="9">
        <v>30</v>
      </c>
    </row>
    <row r="117" spans="1:8">
      <c r="A117" s="5">
        <v>30</v>
      </c>
      <c r="B117" s="5">
        <v>30</v>
      </c>
      <c r="C117" s="5">
        <v>30</v>
      </c>
      <c r="D117" s="5">
        <v>10</v>
      </c>
      <c r="E117" s="5">
        <v>30</v>
      </c>
      <c r="F117" s="5">
        <v>30</v>
      </c>
      <c r="G117" s="5">
        <v>20</v>
      </c>
      <c r="H117" s="5">
        <v>20</v>
      </c>
    </row>
    <row r="118" spans="1:8">
      <c r="A118" s="9">
        <v>30</v>
      </c>
      <c r="B118" s="9">
        <v>30</v>
      </c>
      <c r="C118" s="9">
        <v>20</v>
      </c>
      <c r="D118" s="9">
        <v>20</v>
      </c>
      <c r="E118" s="9">
        <v>20</v>
      </c>
      <c r="F118" s="9">
        <v>20</v>
      </c>
      <c r="G118" s="9">
        <v>30</v>
      </c>
      <c r="H118" s="9">
        <v>30</v>
      </c>
    </row>
    <row r="119" spans="1:8">
      <c r="A119" s="5">
        <v>10</v>
      </c>
      <c r="B119" s="5">
        <v>70</v>
      </c>
      <c r="C119" s="5">
        <v>10</v>
      </c>
      <c r="D119" s="5">
        <v>10</v>
      </c>
      <c r="E119" s="5">
        <v>10</v>
      </c>
      <c r="F119" s="5">
        <v>70</v>
      </c>
      <c r="G119" s="5">
        <v>10</v>
      </c>
      <c r="H119" s="5">
        <v>10</v>
      </c>
    </row>
    <row r="120" spans="1:8">
      <c r="A120" s="9">
        <v>50</v>
      </c>
      <c r="B120" s="9">
        <v>10</v>
      </c>
      <c r="C120" s="9">
        <v>10</v>
      </c>
      <c r="D120" s="9">
        <v>30</v>
      </c>
      <c r="E120" s="9">
        <v>50</v>
      </c>
      <c r="F120" s="9">
        <v>10</v>
      </c>
      <c r="G120" s="9">
        <v>10</v>
      </c>
      <c r="H120" s="9">
        <v>30</v>
      </c>
    </row>
    <row r="121" spans="1:8">
      <c r="A121" s="5">
        <v>50</v>
      </c>
      <c r="B121" s="5">
        <v>10</v>
      </c>
      <c r="C121" s="5">
        <v>10</v>
      </c>
      <c r="D121" s="5">
        <v>30</v>
      </c>
      <c r="E121" s="5">
        <v>50</v>
      </c>
      <c r="F121" s="5">
        <v>10</v>
      </c>
      <c r="G121" s="5">
        <v>10</v>
      </c>
      <c r="H121" s="5">
        <v>30</v>
      </c>
    </row>
    <row r="122" spans="1:8">
      <c r="A122" s="9">
        <v>50</v>
      </c>
      <c r="B122" s="9">
        <v>10</v>
      </c>
      <c r="C122" s="9">
        <v>10</v>
      </c>
      <c r="D122" s="9">
        <v>30</v>
      </c>
      <c r="E122" s="9">
        <v>50</v>
      </c>
      <c r="F122" s="9">
        <v>10</v>
      </c>
      <c r="G122" s="9">
        <v>10</v>
      </c>
      <c r="H122" s="9">
        <v>30</v>
      </c>
    </row>
    <row r="123" spans="1:8">
      <c r="A123" s="5">
        <v>50</v>
      </c>
      <c r="B123" s="5">
        <v>10</v>
      </c>
      <c r="C123" s="5">
        <v>10</v>
      </c>
      <c r="D123" s="5">
        <v>30</v>
      </c>
      <c r="E123" s="5">
        <v>50</v>
      </c>
      <c r="F123" s="5">
        <v>10</v>
      </c>
      <c r="G123" s="5">
        <v>10</v>
      </c>
      <c r="H123" s="5">
        <v>30</v>
      </c>
    </row>
    <row r="124" spans="1:8">
      <c r="A124" s="9">
        <v>15</v>
      </c>
      <c r="B124" s="9">
        <v>40</v>
      </c>
      <c r="C124" s="9">
        <v>20</v>
      </c>
      <c r="D124" s="9">
        <v>25</v>
      </c>
      <c r="E124" s="9">
        <v>20</v>
      </c>
      <c r="F124" s="9">
        <v>30</v>
      </c>
      <c r="G124" s="9">
        <v>40</v>
      </c>
      <c r="H124" s="9">
        <v>10</v>
      </c>
    </row>
    <row r="125" spans="1:8">
      <c r="A125" s="5">
        <v>20</v>
      </c>
      <c r="B125" s="5">
        <v>50</v>
      </c>
      <c r="C125" s="5">
        <v>20</v>
      </c>
      <c r="D125" s="5">
        <v>10</v>
      </c>
      <c r="E125" s="5">
        <v>10</v>
      </c>
      <c r="F125" s="5">
        <v>20</v>
      </c>
      <c r="G125" s="5">
        <v>50</v>
      </c>
      <c r="H125" s="5">
        <v>20</v>
      </c>
    </row>
    <row r="126" spans="1:8">
      <c r="A126" s="9">
        <v>50</v>
      </c>
      <c r="B126" s="9">
        <v>10</v>
      </c>
      <c r="C126" s="9">
        <v>10</v>
      </c>
      <c r="D126" s="9">
        <v>30</v>
      </c>
      <c r="E126" s="9">
        <v>50</v>
      </c>
      <c r="F126" s="9">
        <v>10</v>
      </c>
      <c r="G126" s="9">
        <v>10</v>
      </c>
      <c r="H126" s="9">
        <v>30</v>
      </c>
    </row>
    <row r="127" spans="1:8">
      <c r="A127" s="5">
        <v>40</v>
      </c>
      <c r="B127" s="5">
        <v>20</v>
      </c>
      <c r="C127" s="5">
        <v>10</v>
      </c>
      <c r="D127" s="5">
        <v>30</v>
      </c>
      <c r="E127" s="5">
        <v>40</v>
      </c>
      <c r="F127" s="5">
        <v>20</v>
      </c>
      <c r="G127" s="5">
        <v>10</v>
      </c>
      <c r="H127" s="5">
        <v>30</v>
      </c>
    </row>
    <row r="128" spans="1:8">
      <c r="A128" s="9">
        <v>30</v>
      </c>
      <c r="B128" s="9">
        <v>30</v>
      </c>
      <c r="C128" s="9">
        <v>20</v>
      </c>
      <c r="D128" s="9">
        <v>20</v>
      </c>
      <c r="E128" s="9">
        <v>30</v>
      </c>
      <c r="F128" s="9">
        <v>30</v>
      </c>
      <c r="G128" s="9">
        <v>20</v>
      </c>
      <c r="H128" s="9">
        <v>20</v>
      </c>
    </row>
    <row r="129" spans="1:8">
      <c r="A129" s="5">
        <v>40</v>
      </c>
      <c r="B129" s="5">
        <v>40</v>
      </c>
      <c r="C129" s="5">
        <v>10</v>
      </c>
      <c r="D129" s="5">
        <v>10</v>
      </c>
      <c r="E129" s="5">
        <v>30</v>
      </c>
      <c r="F129" s="5">
        <v>40</v>
      </c>
      <c r="G129" s="5">
        <v>10</v>
      </c>
      <c r="H129" s="5">
        <v>20</v>
      </c>
    </row>
    <row r="130" spans="1:8">
      <c r="A130" s="9">
        <v>50</v>
      </c>
      <c r="B130" s="9">
        <v>20</v>
      </c>
      <c r="C130" s="9">
        <v>15</v>
      </c>
      <c r="D130" s="9">
        <v>15</v>
      </c>
      <c r="E130" s="9">
        <v>40</v>
      </c>
      <c r="F130" s="9">
        <v>30</v>
      </c>
      <c r="G130" s="9">
        <v>15</v>
      </c>
      <c r="H130" s="9">
        <v>15</v>
      </c>
    </row>
    <row r="131" spans="1:8">
      <c r="A131" s="5">
        <v>10</v>
      </c>
      <c r="B131" s="5">
        <v>70</v>
      </c>
      <c r="C131" s="5">
        <v>10</v>
      </c>
      <c r="D131" s="5">
        <v>10</v>
      </c>
      <c r="E131" s="5">
        <v>70</v>
      </c>
      <c r="F131" s="5">
        <v>10</v>
      </c>
      <c r="G131" s="5">
        <v>10</v>
      </c>
      <c r="H131" s="5">
        <v>10</v>
      </c>
    </row>
    <row r="132" spans="1:8">
      <c r="A132" s="9">
        <v>70</v>
      </c>
      <c r="B132" s="9">
        <v>10</v>
      </c>
      <c r="C132" s="9">
        <v>10</v>
      </c>
      <c r="D132" s="9">
        <v>10</v>
      </c>
      <c r="E132" s="9">
        <v>70</v>
      </c>
      <c r="F132" s="9">
        <v>10</v>
      </c>
      <c r="G132" s="9">
        <v>10</v>
      </c>
      <c r="H132" s="9">
        <v>10</v>
      </c>
    </row>
    <row r="133" spans="1:8">
      <c r="A133" s="5">
        <v>20</v>
      </c>
      <c r="B133" s="5">
        <v>20</v>
      </c>
      <c r="C133" s="5">
        <v>20</v>
      </c>
      <c r="D133" s="5">
        <v>40</v>
      </c>
      <c r="E133" s="5">
        <v>30</v>
      </c>
      <c r="F133" s="5">
        <v>30</v>
      </c>
      <c r="G133" s="5">
        <v>20</v>
      </c>
      <c r="H133" s="5">
        <v>20</v>
      </c>
    </row>
    <row r="134" spans="1:8">
      <c r="A134" s="9"/>
      <c r="B134" s="9"/>
      <c r="C134" s="9"/>
      <c r="D134" s="9"/>
      <c r="E134" s="9"/>
      <c r="F134" s="9"/>
      <c r="G134" s="9"/>
      <c r="H134" s="9"/>
    </row>
    <row r="135" spans="1:8">
      <c r="A135" s="5"/>
      <c r="B135" s="5"/>
      <c r="C135" s="5"/>
      <c r="D135" s="5"/>
      <c r="E135" s="5"/>
      <c r="F135" s="5"/>
      <c r="G135" s="5"/>
      <c r="H135" s="5"/>
    </row>
    <row r="136" spans="1:8">
      <c r="A136" s="9"/>
      <c r="B136" s="9"/>
      <c r="C136" s="9"/>
      <c r="D136" s="9"/>
      <c r="E136" s="9"/>
      <c r="F136" s="9"/>
      <c r="G136" s="9"/>
      <c r="H136" s="9"/>
    </row>
    <row r="137" spans="1:8">
      <c r="A137" s="5"/>
      <c r="B137" s="5"/>
      <c r="C137" s="5"/>
      <c r="D137" s="5"/>
      <c r="E137" s="5"/>
      <c r="F137" s="5"/>
      <c r="G137" s="5"/>
      <c r="H137" s="5"/>
    </row>
    <row r="138" spans="1:8">
      <c r="A138" s="9"/>
      <c r="B138" s="9"/>
      <c r="C138" s="9"/>
      <c r="D138" s="9"/>
      <c r="E138" s="9"/>
      <c r="F138" s="9"/>
      <c r="G138" s="9"/>
      <c r="H138" s="9"/>
    </row>
    <row r="139" spans="1:8">
      <c r="A139" s="5"/>
      <c r="B139" s="5"/>
      <c r="C139" s="5"/>
      <c r="D139" s="5"/>
      <c r="E139" s="5"/>
      <c r="F139" s="5"/>
      <c r="G139" s="5"/>
      <c r="H139" s="5"/>
    </row>
    <row r="140" spans="1:8">
      <c r="A140" s="9"/>
      <c r="B140" s="9"/>
      <c r="C140" s="9"/>
      <c r="D140" s="9"/>
      <c r="E140" s="9"/>
      <c r="F140" s="9"/>
      <c r="G140" s="9"/>
      <c r="H140" s="9"/>
    </row>
    <row r="141" spans="1:8">
      <c r="A141" s="5"/>
      <c r="B141" s="5"/>
      <c r="C141" s="5"/>
      <c r="D141" s="5"/>
      <c r="E141" s="5"/>
      <c r="F141" s="5"/>
      <c r="G141" s="5"/>
      <c r="H141" s="5"/>
    </row>
    <row r="142" spans="1:8">
      <c r="A142" s="9"/>
      <c r="B142" s="9"/>
      <c r="C142" s="9"/>
      <c r="D142" s="9"/>
      <c r="E142" s="9"/>
      <c r="F142" s="9"/>
      <c r="G142" s="9"/>
      <c r="H142" s="9"/>
    </row>
    <row r="143" spans="1:8">
      <c r="A143" s="5"/>
      <c r="B143" s="5"/>
      <c r="C143" s="5"/>
      <c r="D143" s="5"/>
      <c r="E143" s="5"/>
      <c r="F143" s="5"/>
      <c r="G143" s="5"/>
      <c r="H143" s="5"/>
    </row>
    <row r="144" spans="1:8">
      <c r="A144" s="9"/>
      <c r="B144" s="9"/>
      <c r="C144" s="9"/>
      <c r="D144" s="9"/>
      <c r="E144" s="9"/>
      <c r="F144" s="9"/>
      <c r="G144" s="9"/>
      <c r="H144" s="9"/>
    </row>
    <row r="145" spans="1:8">
      <c r="A145" s="5"/>
      <c r="B145" s="5"/>
      <c r="C145" s="5"/>
      <c r="D145" s="5"/>
      <c r="E145" s="5"/>
      <c r="F145" s="5"/>
      <c r="G145" s="5"/>
      <c r="H145" s="5"/>
    </row>
    <row r="146" spans="1:8">
      <c r="A146" s="9"/>
      <c r="B146" s="9"/>
      <c r="C146" s="9"/>
      <c r="D146" s="9"/>
      <c r="E146" s="9"/>
      <c r="F146" s="9"/>
      <c r="G146" s="9"/>
      <c r="H146" s="9"/>
    </row>
    <row r="147" spans="1:8">
      <c r="A147" s="5"/>
      <c r="B147" s="5"/>
      <c r="C147" s="5"/>
      <c r="D147" s="5"/>
      <c r="E147" s="5"/>
      <c r="F147" s="5"/>
      <c r="G147" s="5"/>
      <c r="H147" s="5"/>
    </row>
    <row r="148" spans="1:8">
      <c r="A148" s="9"/>
      <c r="B148" s="9"/>
      <c r="C148" s="9"/>
      <c r="D148" s="9"/>
      <c r="E148" s="9"/>
      <c r="F148" s="9"/>
      <c r="G148" s="9"/>
      <c r="H148" s="9"/>
    </row>
    <row r="149" spans="1:8">
      <c r="A149" s="5"/>
      <c r="B149" s="5"/>
      <c r="C149" s="5"/>
      <c r="D149" s="5"/>
      <c r="E149" s="5"/>
      <c r="F149" s="5"/>
      <c r="G149" s="5"/>
      <c r="H149" s="5"/>
    </row>
    <row r="150" spans="1:8">
      <c r="A150" s="9"/>
      <c r="B150" s="9"/>
      <c r="C150" s="9"/>
      <c r="D150" s="9"/>
      <c r="E150" s="9"/>
      <c r="F150" s="9"/>
      <c r="G150" s="9"/>
      <c r="H150" s="9"/>
    </row>
    <row r="151" spans="1:8">
      <c r="A151" s="5"/>
      <c r="B151" s="5"/>
      <c r="C151" s="5"/>
      <c r="D151" s="5"/>
      <c r="E151" s="5"/>
      <c r="F151" s="5"/>
      <c r="G151" s="5"/>
      <c r="H151" s="5"/>
    </row>
    <row r="152" spans="1:8">
      <c r="A152" s="9"/>
      <c r="B152" s="9"/>
      <c r="C152" s="9"/>
      <c r="D152" s="9"/>
      <c r="E152" s="9"/>
      <c r="F152" s="9"/>
      <c r="G152" s="9"/>
      <c r="H152" s="9"/>
    </row>
    <row r="153" spans="1:8">
      <c r="A153" s="5"/>
      <c r="B153" s="5"/>
      <c r="C153" s="5"/>
      <c r="D153" s="5"/>
      <c r="E153" s="5"/>
      <c r="F153" s="5"/>
      <c r="G153" s="5"/>
      <c r="H153" s="5"/>
    </row>
    <row r="154" spans="1:8">
      <c r="A154" s="9"/>
      <c r="B154" s="9"/>
      <c r="C154" s="9"/>
      <c r="D154" s="9"/>
      <c r="E154" s="9"/>
      <c r="F154" s="9"/>
      <c r="G154" s="9"/>
      <c r="H154" s="9"/>
    </row>
    <row r="155" spans="1:8">
      <c r="A155" s="5"/>
      <c r="B155" s="5"/>
      <c r="C155" s="5"/>
      <c r="D155" s="5"/>
      <c r="E155" s="5"/>
      <c r="F155" s="5"/>
      <c r="G155" s="5"/>
      <c r="H155" s="5"/>
    </row>
    <row r="156" spans="1:8">
      <c r="A156" s="9"/>
      <c r="B156" s="9"/>
      <c r="C156" s="9"/>
      <c r="D156" s="9"/>
      <c r="E156" s="9"/>
      <c r="F156" s="9"/>
      <c r="G156" s="9"/>
      <c r="H156" s="9"/>
    </row>
    <row r="157" spans="1:8">
      <c r="A157" s="5"/>
      <c r="B157" s="5"/>
      <c r="C157" s="5"/>
      <c r="D157" s="5"/>
      <c r="E157" s="5"/>
      <c r="F157" s="5"/>
      <c r="G157" s="5"/>
      <c r="H157" s="5"/>
    </row>
    <row r="158" spans="1:8">
      <c r="A158" s="9"/>
      <c r="B158" s="9"/>
      <c r="C158" s="9"/>
      <c r="D158" s="9"/>
      <c r="E158" s="9"/>
      <c r="F158" s="9"/>
      <c r="G158" s="9"/>
      <c r="H158" s="9"/>
    </row>
    <row r="159" spans="1:8">
      <c r="A159" s="5"/>
      <c r="B159" s="5"/>
      <c r="C159" s="5"/>
      <c r="D159" s="5"/>
      <c r="E159" s="5"/>
      <c r="F159" s="5"/>
      <c r="G159" s="5"/>
      <c r="H159" s="5"/>
    </row>
    <row r="160" spans="1:8">
      <c r="A160" s="9"/>
      <c r="B160" s="9"/>
      <c r="C160" s="9"/>
      <c r="D160" s="9"/>
      <c r="E160" s="9"/>
      <c r="F160" s="9"/>
      <c r="G160" s="9"/>
      <c r="H160" s="9"/>
    </row>
    <row r="161" spans="1:8">
      <c r="A161" s="5"/>
      <c r="B161" s="5"/>
      <c r="C161" s="5"/>
      <c r="D161" s="5"/>
      <c r="E161" s="5"/>
      <c r="F161" s="5"/>
      <c r="G161" s="5"/>
      <c r="H161" s="5"/>
    </row>
    <row r="162" spans="1:8">
      <c r="A162" s="9"/>
      <c r="B162" s="9"/>
      <c r="C162" s="9"/>
      <c r="D162" s="9"/>
      <c r="E162" s="9"/>
      <c r="F162" s="9"/>
      <c r="G162" s="9"/>
      <c r="H162" s="9"/>
    </row>
    <row r="163" spans="1:8">
      <c r="A163" s="5"/>
      <c r="B163" s="5"/>
      <c r="C163" s="5"/>
      <c r="D163" s="5"/>
      <c r="E163" s="5"/>
      <c r="F163" s="5"/>
      <c r="G163" s="5"/>
      <c r="H163" s="5"/>
    </row>
    <row r="164" spans="1:8">
      <c r="A164" s="9"/>
      <c r="B164" s="9"/>
      <c r="C164" s="9"/>
      <c r="D164" s="9"/>
      <c r="E164" s="9"/>
      <c r="F164" s="9"/>
      <c r="G164" s="9"/>
      <c r="H164" s="9"/>
    </row>
    <row r="165" spans="1:8">
      <c r="A165" s="5"/>
      <c r="B165" s="5"/>
      <c r="C165" s="5"/>
      <c r="D165" s="5"/>
      <c r="E165" s="5"/>
      <c r="F165" s="5"/>
      <c r="G165" s="5"/>
      <c r="H165" s="5"/>
    </row>
    <row r="166" spans="1:8">
      <c r="A166" s="9"/>
      <c r="B166" s="9"/>
      <c r="C166" s="9"/>
      <c r="D166" s="9"/>
      <c r="E166" s="9"/>
      <c r="F166" s="9"/>
      <c r="G166" s="9"/>
      <c r="H166" s="9"/>
    </row>
    <row r="167" spans="1:8">
      <c r="A167" s="5"/>
      <c r="B167" s="5"/>
      <c r="C167" s="5"/>
      <c r="D167" s="5"/>
      <c r="E167" s="5"/>
      <c r="F167" s="5"/>
      <c r="G167" s="5"/>
      <c r="H167" s="5"/>
    </row>
    <row r="168" spans="1:8">
      <c r="A168" s="9"/>
      <c r="B168" s="9"/>
      <c r="C168" s="9"/>
      <c r="D168" s="9"/>
      <c r="E168" s="9"/>
      <c r="F168" s="9"/>
      <c r="G168" s="9"/>
      <c r="H168" s="9"/>
    </row>
    <row r="169" spans="1:8">
      <c r="A169" s="5"/>
      <c r="B169" s="5"/>
      <c r="C169" s="5"/>
      <c r="D169" s="5"/>
      <c r="E169" s="5"/>
      <c r="F169" s="5"/>
      <c r="G169" s="5"/>
      <c r="H169" s="5"/>
    </row>
    <row r="170" spans="1:8">
      <c r="A170" s="9"/>
      <c r="B170" s="9"/>
      <c r="C170" s="9"/>
      <c r="D170" s="9"/>
      <c r="E170" s="9"/>
      <c r="F170" s="9"/>
      <c r="G170" s="9"/>
      <c r="H170" s="9"/>
    </row>
    <row r="171" spans="1:8">
      <c r="A171" s="5"/>
      <c r="B171" s="5"/>
      <c r="C171" s="5"/>
      <c r="D171" s="5"/>
      <c r="E171" s="5"/>
      <c r="F171" s="5"/>
      <c r="G171" s="5"/>
      <c r="H171" s="5"/>
    </row>
    <row r="172" spans="1:8">
      <c r="A172" s="9"/>
      <c r="B172" s="9"/>
      <c r="C172" s="9"/>
      <c r="D172" s="9"/>
      <c r="E172" s="9"/>
      <c r="F172" s="9"/>
      <c r="G172" s="9"/>
      <c r="H172" s="9"/>
    </row>
    <row r="173" spans="1:8">
      <c r="A173" s="5"/>
      <c r="B173" s="5"/>
      <c r="C173" s="5"/>
      <c r="D173" s="5"/>
      <c r="E173" s="5"/>
      <c r="F173" s="5"/>
      <c r="G173" s="5"/>
      <c r="H173" s="5"/>
    </row>
    <row r="174" spans="1:8">
      <c r="A174" s="9"/>
      <c r="B174" s="9"/>
      <c r="C174" s="9"/>
      <c r="D174" s="9"/>
      <c r="E174" s="9"/>
      <c r="F174" s="9"/>
      <c r="G174" s="9"/>
      <c r="H174" s="9"/>
    </row>
    <row r="175" spans="1:8">
      <c r="A175" s="5"/>
      <c r="B175" s="5"/>
      <c r="C175" s="5"/>
      <c r="D175" s="5"/>
      <c r="E175" s="5"/>
      <c r="F175" s="5"/>
      <c r="G175" s="5"/>
      <c r="H175" s="5"/>
    </row>
    <row r="176" spans="1:8">
      <c r="A176" s="9"/>
      <c r="B176" s="9"/>
      <c r="C176" s="9"/>
      <c r="D176" s="9"/>
      <c r="E176" s="9"/>
      <c r="F176" s="9"/>
      <c r="G176" s="9"/>
      <c r="H176" s="9"/>
    </row>
    <row r="177" spans="1:8">
      <c r="A177" s="5"/>
      <c r="B177" s="5"/>
      <c r="C177" s="5"/>
      <c r="D177" s="5"/>
      <c r="E177" s="5"/>
      <c r="F177" s="5"/>
      <c r="G177" s="5"/>
      <c r="H177" s="5"/>
    </row>
    <row r="178" spans="1:8">
      <c r="A178" s="9"/>
      <c r="B178" s="9"/>
      <c r="C178" s="9"/>
      <c r="D178" s="9"/>
      <c r="E178" s="9"/>
      <c r="F178" s="9"/>
      <c r="G178" s="9"/>
      <c r="H178" s="9"/>
    </row>
    <row r="179" spans="1:8">
      <c r="A179" s="5"/>
      <c r="B179" s="5"/>
      <c r="C179" s="5"/>
      <c r="D179" s="5"/>
      <c r="E179" s="5"/>
      <c r="F179" s="5"/>
      <c r="G179" s="5"/>
      <c r="H179" s="5"/>
    </row>
    <row r="180" spans="1:8">
      <c r="A180" s="9"/>
      <c r="B180" s="9"/>
      <c r="C180" s="9"/>
      <c r="D180" s="9"/>
      <c r="E180" s="9"/>
      <c r="F180" s="9"/>
      <c r="G180" s="9"/>
      <c r="H180" s="9"/>
    </row>
    <row r="181" spans="1:8">
      <c r="A181" s="5"/>
      <c r="B181" s="5"/>
      <c r="C181" s="5"/>
      <c r="D181" s="5"/>
      <c r="E181" s="5"/>
      <c r="F181" s="5"/>
      <c r="G181" s="5"/>
      <c r="H181" s="5"/>
    </row>
    <row r="182" spans="1:8">
      <c r="A182" s="9"/>
      <c r="B182" s="9"/>
      <c r="C182" s="9"/>
      <c r="D182" s="9"/>
      <c r="E182" s="9"/>
      <c r="F182" s="9"/>
      <c r="G182" s="9"/>
      <c r="H182" s="9"/>
    </row>
    <row r="183" spans="1:8">
      <c r="A183" s="38"/>
      <c r="B183" s="38"/>
      <c r="C183" s="38"/>
      <c r="D183" s="38"/>
      <c r="E183" s="38"/>
      <c r="F183" s="38"/>
      <c r="G183" s="38"/>
      <c r="H183" s="38"/>
    </row>
    <row r="186" spans="1:8">
      <c r="A186" s="42"/>
      <c r="B186" s="42"/>
      <c r="C186" s="42"/>
      <c r="D186" s="42"/>
      <c r="E186" s="42"/>
      <c r="F186" s="42"/>
      <c r="G186" s="42"/>
      <c r="H186" s="42"/>
    </row>
  </sheetData>
  <mergeCells count="2">
    <mergeCell ref="A1:D1"/>
    <mergeCell ref="E1:H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0ABB-B2C2-4F15-AF13-77D11269B118}">
  <dimension ref="A1:L186"/>
  <sheetViews>
    <sheetView topLeftCell="O1" workbookViewId="0">
      <selection activeCell="J1" sqref="J1:L5"/>
    </sheetView>
  </sheetViews>
  <sheetFormatPr defaultRowHeight="14.5"/>
  <cols>
    <col min="1" max="1" width="6.36328125" customWidth="1"/>
    <col min="3" max="3" width="6.26953125" bestFit="1" customWidth="1"/>
    <col min="4" max="4" width="8" bestFit="1" customWidth="1"/>
    <col min="5" max="5" width="4.1796875" bestFit="1" customWidth="1"/>
    <col min="7" max="7" width="6.26953125" bestFit="1" customWidth="1"/>
    <col min="8" max="8" width="8" bestFit="1" customWidth="1"/>
  </cols>
  <sheetData>
    <row r="1" spans="1:12">
      <c r="A1" s="46" t="s">
        <v>72</v>
      </c>
      <c r="B1" s="46"/>
      <c r="C1" s="46"/>
      <c r="D1" s="46"/>
      <c r="E1" s="46" t="s">
        <v>73</v>
      </c>
      <c r="F1" s="46"/>
      <c r="G1" s="46"/>
      <c r="H1" s="46"/>
      <c r="J1" s="44"/>
      <c r="K1" s="44" t="s">
        <v>80</v>
      </c>
      <c r="L1" s="44" t="s">
        <v>82</v>
      </c>
    </row>
    <row r="2" spans="1:12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77</v>
      </c>
      <c r="G2" s="2" t="s">
        <v>78</v>
      </c>
      <c r="H2" s="2" t="s">
        <v>79</v>
      </c>
      <c r="J2" s="45" t="s">
        <v>76</v>
      </c>
      <c r="K2" s="44">
        <f>AVERAGE(E3:E133)</f>
        <v>25.763358778625953</v>
      </c>
      <c r="L2" s="44">
        <f>AVERAGE(A3:A133)</f>
        <v>27.938931297709924</v>
      </c>
    </row>
    <row r="3" spans="1:12">
      <c r="A3" s="5">
        <v>20</v>
      </c>
      <c r="B3" s="5">
        <v>20</v>
      </c>
      <c r="C3" s="5">
        <v>30</v>
      </c>
      <c r="D3" s="5">
        <v>30</v>
      </c>
      <c r="E3" s="5">
        <v>20</v>
      </c>
      <c r="F3" s="5">
        <v>20</v>
      </c>
      <c r="G3" s="5">
        <v>30</v>
      </c>
      <c r="H3" s="5">
        <v>30</v>
      </c>
      <c r="J3" s="45" t="s">
        <v>77</v>
      </c>
      <c r="K3" s="44">
        <f>AVERAGE(F3:F133)</f>
        <v>25.114503816793892</v>
      </c>
      <c r="L3" s="44">
        <f>AVERAGE(B3:B133)</f>
        <v>26.068702290076335</v>
      </c>
    </row>
    <row r="4" spans="1:12">
      <c r="A4" s="9">
        <v>30</v>
      </c>
      <c r="B4" s="9">
        <v>30</v>
      </c>
      <c r="C4" s="9">
        <v>20</v>
      </c>
      <c r="D4" s="9">
        <v>20</v>
      </c>
      <c r="E4" s="9">
        <v>30</v>
      </c>
      <c r="F4" s="9">
        <v>30</v>
      </c>
      <c r="G4" s="9">
        <v>20</v>
      </c>
      <c r="H4" s="9">
        <v>20</v>
      </c>
      <c r="J4" s="45" t="s">
        <v>78</v>
      </c>
      <c r="K4" s="44">
        <f>AVERAGE(G3:G133)</f>
        <v>24.961832061068701</v>
      </c>
      <c r="L4" s="44">
        <f>AVERAGE(C3:C133)</f>
        <v>22.709923664122137</v>
      </c>
    </row>
    <row r="5" spans="1:12">
      <c r="A5" s="5">
        <v>25</v>
      </c>
      <c r="B5" s="5">
        <v>25</v>
      </c>
      <c r="C5" s="5">
        <v>25</v>
      </c>
      <c r="D5" s="5">
        <v>25</v>
      </c>
      <c r="E5" s="5">
        <v>25</v>
      </c>
      <c r="F5" s="5">
        <v>25</v>
      </c>
      <c r="G5" s="5">
        <v>25</v>
      </c>
      <c r="H5" s="5">
        <v>25</v>
      </c>
      <c r="J5" s="45" t="s">
        <v>79</v>
      </c>
      <c r="K5" s="44">
        <f>AVERAGE(H3:H133)</f>
        <v>24.16030534351145</v>
      </c>
      <c r="L5" s="44">
        <f>AVERAGE(D3:D133)</f>
        <v>23.282442748091604</v>
      </c>
    </row>
    <row r="6" spans="1:12">
      <c r="A6" s="9">
        <v>20</v>
      </c>
      <c r="B6" s="9">
        <v>30</v>
      </c>
      <c r="C6" s="9">
        <v>20</v>
      </c>
      <c r="D6" s="9">
        <v>30</v>
      </c>
      <c r="E6" s="9">
        <v>30</v>
      </c>
      <c r="F6" s="9">
        <v>30</v>
      </c>
      <c r="G6" s="9">
        <v>20</v>
      </c>
      <c r="H6" s="9">
        <v>20</v>
      </c>
    </row>
    <row r="7" spans="1:12">
      <c r="A7" s="5">
        <v>40</v>
      </c>
      <c r="B7" s="5">
        <v>20</v>
      </c>
      <c r="C7" s="5">
        <v>20</v>
      </c>
      <c r="D7" s="5">
        <v>20</v>
      </c>
      <c r="E7" s="5">
        <v>40</v>
      </c>
      <c r="F7" s="5">
        <v>20</v>
      </c>
      <c r="G7" s="5">
        <v>20</v>
      </c>
      <c r="H7" s="5">
        <v>20</v>
      </c>
    </row>
    <row r="8" spans="1:12">
      <c r="A8" s="9">
        <v>30</v>
      </c>
      <c r="B8" s="9">
        <v>20</v>
      </c>
      <c r="C8" s="9">
        <v>20</v>
      </c>
      <c r="D8" s="9">
        <v>30</v>
      </c>
      <c r="E8" s="9">
        <v>30</v>
      </c>
      <c r="F8" s="9">
        <v>20</v>
      </c>
      <c r="G8" s="9">
        <v>30</v>
      </c>
      <c r="H8" s="9">
        <v>20</v>
      </c>
    </row>
    <row r="9" spans="1:12">
      <c r="A9" s="5">
        <v>25</v>
      </c>
      <c r="B9" s="5">
        <v>25</v>
      </c>
      <c r="C9" s="5">
        <v>25</v>
      </c>
      <c r="D9" s="5">
        <v>25</v>
      </c>
      <c r="E9" s="5">
        <v>25</v>
      </c>
      <c r="F9" s="5">
        <v>25</v>
      </c>
      <c r="G9" s="5">
        <v>25</v>
      </c>
      <c r="H9" s="5">
        <v>25</v>
      </c>
    </row>
    <row r="10" spans="1:12">
      <c r="A10" s="9">
        <v>25</v>
      </c>
      <c r="B10" s="9">
        <v>25</v>
      </c>
      <c r="C10" s="9">
        <v>25</v>
      </c>
      <c r="D10" s="9">
        <v>25</v>
      </c>
      <c r="E10" s="9">
        <v>25</v>
      </c>
      <c r="F10" s="9">
        <v>25</v>
      </c>
      <c r="G10" s="9">
        <v>25</v>
      </c>
      <c r="H10" s="9">
        <v>25</v>
      </c>
    </row>
    <row r="11" spans="1:12">
      <c r="A11" s="5">
        <v>25</v>
      </c>
      <c r="B11" s="5">
        <v>25</v>
      </c>
      <c r="C11" s="5">
        <v>25</v>
      </c>
      <c r="D11" s="5">
        <v>25</v>
      </c>
      <c r="E11" s="5">
        <v>25</v>
      </c>
      <c r="F11" s="5">
        <v>25</v>
      </c>
      <c r="G11" s="5">
        <v>25</v>
      </c>
      <c r="H11" s="5">
        <v>25</v>
      </c>
    </row>
    <row r="12" spans="1:12">
      <c r="A12" s="9">
        <v>30</v>
      </c>
      <c r="B12" s="9">
        <v>30</v>
      </c>
      <c r="C12" s="9">
        <v>10</v>
      </c>
      <c r="D12" s="9">
        <v>30</v>
      </c>
      <c r="E12" s="9">
        <v>30</v>
      </c>
      <c r="F12" s="9">
        <v>30</v>
      </c>
      <c r="G12" s="9">
        <v>10</v>
      </c>
      <c r="H12" s="9">
        <v>30</v>
      </c>
    </row>
    <row r="13" spans="1:12">
      <c r="A13" s="5">
        <v>40</v>
      </c>
      <c r="B13" s="5">
        <v>20</v>
      </c>
      <c r="C13" s="5">
        <v>30</v>
      </c>
      <c r="D13" s="5">
        <v>10</v>
      </c>
      <c r="E13" s="5">
        <v>20</v>
      </c>
      <c r="F13" s="5">
        <v>30</v>
      </c>
      <c r="G13" s="5">
        <v>30</v>
      </c>
      <c r="H13" s="5">
        <v>20</v>
      </c>
    </row>
    <row r="14" spans="1:12">
      <c r="A14" s="9">
        <v>25</v>
      </c>
      <c r="B14" s="9">
        <v>25</v>
      </c>
      <c r="C14" s="9">
        <v>25</v>
      </c>
      <c r="D14" s="9">
        <v>25</v>
      </c>
      <c r="E14" s="9">
        <v>25</v>
      </c>
      <c r="F14" s="9">
        <v>25</v>
      </c>
      <c r="G14" s="9">
        <v>25</v>
      </c>
      <c r="H14" s="9">
        <v>25</v>
      </c>
    </row>
    <row r="15" spans="1:12">
      <c r="A15" s="5">
        <v>25</v>
      </c>
      <c r="B15" s="5">
        <v>25</v>
      </c>
      <c r="C15" s="5">
        <v>25</v>
      </c>
      <c r="D15" s="5">
        <v>25</v>
      </c>
      <c r="E15" s="5">
        <v>25</v>
      </c>
      <c r="F15" s="5">
        <v>25</v>
      </c>
      <c r="G15" s="5">
        <v>25</v>
      </c>
      <c r="H15" s="5">
        <v>25</v>
      </c>
    </row>
    <row r="16" spans="1:12">
      <c r="A16" s="9">
        <v>20</v>
      </c>
      <c r="B16" s="9">
        <v>30</v>
      </c>
      <c r="C16" s="9">
        <v>30</v>
      </c>
      <c r="D16" s="9">
        <v>20</v>
      </c>
      <c r="E16" s="9">
        <v>20</v>
      </c>
      <c r="F16" s="9">
        <v>30</v>
      </c>
      <c r="G16" s="9">
        <v>30</v>
      </c>
      <c r="H16" s="9">
        <v>20</v>
      </c>
    </row>
    <row r="17" spans="1:8">
      <c r="A17" s="5">
        <v>30</v>
      </c>
      <c r="B17" s="5">
        <v>30</v>
      </c>
      <c r="C17" s="5">
        <v>20</v>
      </c>
      <c r="D17" s="5">
        <v>20</v>
      </c>
      <c r="E17" s="5">
        <v>20</v>
      </c>
      <c r="F17" s="5">
        <v>30</v>
      </c>
      <c r="G17" s="5">
        <v>20</v>
      </c>
      <c r="H17" s="5">
        <v>30</v>
      </c>
    </row>
    <row r="18" spans="1:8">
      <c r="A18" s="9">
        <v>10</v>
      </c>
      <c r="B18" s="9">
        <v>30</v>
      </c>
      <c r="C18" s="9">
        <v>30</v>
      </c>
      <c r="D18" s="9">
        <v>30</v>
      </c>
      <c r="E18" s="9">
        <v>10</v>
      </c>
      <c r="F18" s="9">
        <v>30</v>
      </c>
      <c r="G18" s="9">
        <v>30</v>
      </c>
      <c r="H18" s="9">
        <v>30</v>
      </c>
    </row>
    <row r="19" spans="1:8">
      <c r="A19" s="5">
        <v>20</v>
      </c>
      <c r="B19" s="5">
        <v>35</v>
      </c>
      <c r="C19" s="5">
        <v>10</v>
      </c>
      <c r="D19" s="5">
        <v>35</v>
      </c>
      <c r="E19" s="5">
        <v>20</v>
      </c>
      <c r="F19" s="5">
        <v>30</v>
      </c>
      <c r="G19" s="5">
        <v>10</v>
      </c>
      <c r="H19" s="5">
        <v>40</v>
      </c>
    </row>
    <row r="20" spans="1:8">
      <c r="A20" s="9">
        <v>20</v>
      </c>
      <c r="B20" s="9">
        <v>30</v>
      </c>
      <c r="C20" s="9">
        <v>20</v>
      </c>
      <c r="D20" s="9">
        <v>30</v>
      </c>
      <c r="E20" s="9">
        <v>10</v>
      </c>
      <c r="F20" s="9">
        <v>30</v>
      </c>
      <c r="G20" s="9">
        <v>30</v>
      </c>
      <c r="H20" s="9">
        <v>30</v>
      </c>
    </row>
    <row r="21" spans="1:8">
      <c r="A21" s="5">
        <v>20</v>
      </c>
      <c r="B21" s="5">
        <v>30</v>
      </c>
      <c r="C21" s="5">
        <v>20</v>
      </c>
      <c r="D21" s="5">
        <v>30</v>
      </c>
      <c r="E21" s="5">
        <v>20</v>
      </c>
      <c r="F21" s="5">
        <v>40</v>
      </c>
      <c r="G21" s="5">
        <v>20</v>
      </c>
      <c r="H21" s="5">
        <v>20</v>
      </c>
    </row>
    <row r="22" spans="1:8">
      <c r="A22" s="9">
        <v>25</v>
      </c>
      <c r="B22" s="9">
        <v>25</v>
      </c>
      <c r="C22" s="9">
        <v>25</v>
      </c>
      <c r="D22" s="9">
        <v>25</v>
      </c>
      <c r="E22" s="9">
        <v>25</v>
      </c>
      <c r="F22" s="9">
        <v>25</v>
      </c>
      <c r="G22" s="9">
        <v>25</v>
      </c>
      <c r="H22" s="9">
        <v>25</v>
      </c>
    </row>
    <row r="23" spans="1:8">
      <c r="A23" s="5">
        <v>20</v>
      </c>
      <c r="B23" s="5">
        <v>60</v>
      </c>
      <c r="C23" s="5">
        <v>10</v>
      </c>
      <c r="D23" s="5">
        <v>10</v>
      </c>
      <c r="E23" s="5">
        <v>20</v>
      </c>
      <c r="F23" s="5">
        <v>50</v>
      </c>
      <c r="G23" s="5">
        <v>10</v>
      </c>
      <c r="H23" s="5">
        <v>20</v>
      </c>
    </row>
    <row r="24" spans="1:8">
      <c r="A24" s="9">
        <v>30</v>
      </c>
      <c r="B24" s="9">
        <v>30</v>
      </c>
      <c r="C24" s="9">
        <v>20</v>
      </c>
      <c r="D24" s="9">
        <v>20</v>
      </c>
      <c r="E24" s="9">
        <v>10</v>
      </c>
      <c r="F24" s="9">
        <v>10</v>
      </c>
      <c r="G24" s="9">
        <v>70</v>
      </c>
      <c r="H24" s="9">
        <v>10</v>
      </c>
    </row>
    <row r="25" spans="1:8">
      <c r="A25" s="5">
        <v>25</v>
      </c>
      <c r="B25" s="5">
        <v>25</v>
      </c>
      <c r="C25" s="5">
        <v>25</v>
      </c>
      <c r="D25" s="5">
        <v>25</v>
      </c>
      <c r="E25" s="5">
        <v>25</v>
      </c>
      <c r="F25" s="5">
        <v>25</v>
      </c>
      <c r="G25" s="5">
        <v>25</v>
      </c>
      <c r="H25" s="5">
        <v>25</v>
      </c>
    </row>
    <row r="26" spans="1:8">
      <c r="A26" s="9">
        <v>20</v>
      </c>
      <c r="B26" s="9">
        <v>50</v>
      </c>
      <c r="C26" s="9">
        <v>10</v>
      </c>
      <c r="D26" s="9">
        <v>20</v>
      </c>
      <c r="E26" s="9">
        <v>20</v>
      </c>
      <c r="F26" s="9">
        <v>20</v>
      </c>
      <c r="G26" s="9">
        <v>40</v>
      </c>
      <c r="H26" s="9">
        <v>20</v>
      </c>
    </row>
    <row r="27" spans="1:8">
      <c r="A27" s="5">
        <v>10</v>
      </c>
      <c r="B27" s="5">
        <v>70</v>
      </c>
      <c r="C27" s="5">
        <v>10</v>
      </c>
      <c r="D27" s="5">
        <v>10</v>
      </c>
      <c r="E27" s="5">
        <v>10</v>
      </c>
      <c r="F27" s="5">
        <v>70</v>
      </c>
      <c r="G27" s="5">
        <v>10</v>
      </c>
      <c r="H27" s="5">
        <v>10</v>
      </c>
    </row>
    <row r="28" spans="1:8">
      <c r="A28" s="9">
        <v>30</v>
      </c>
      <c r="B28" s="9">
        <v>30</v>
      </c>
      <c r="C28" s="9">
        <v>20</v>
      </c>
      <c r="D28" s="9">
        <v>20</v>
      </c>
      <c r="E28" s="9">
        <v>30</v>
      </c>
      <c r="F28" s="9">
        <v>30</v>
      </c>
      <c r="G28" s="9">
        <v>20</v>
      </c>
      <c r="H28" s="9">
        <v>20</v>
      </c>
    </row>
    <row r="29" spans="1:8">
      <c r="A29" s="5">
        <v>25</v>
      </c>
      <c r="B29" s="5">
        <v>25</v>
      </c>
      <c r="C29" s="5">
        <v>25</v>
      </c>
      <c r="D29" s="5">
        <v>25</v>
      </c>
      <c r="E29" s="5">
        <v>25</v>
      </c>
      <c r="F29" s="5">
        <v>25</v>
      </c>
      <c r="G29" s="5">
        <v>25</v>
      </c>
      <c r="H29" s="5">
        <v>25</v>
      </c>
    </row>
    <row r="30" spans="1:8">
      <c r="A30" s="9">
        <v>25</v>
      </c>
      <c r="B30" s="9">
        <v>25</v>
      </c>
      <c r="C30" s="9">
        <v>25</v>
      </c>
      <c r="D30" s="9">
        <v>25</v>
      </c>
      <c r="E30" s="9">
        <v>25</v>
      </c>
      <c r="F30" s="9">
        <v>25</v>
      </c>
      <c r="G30" s="9">
        <v>25</v>
      </c>
      <c r="H30" s="9">
        <v>25</v>
      </c>
    </row>
    <row r="31" spans="1:8">
      <c r="A31" s="5">
        <v>25</v>
      </c>
      <c r="B31" s="5">
        <v>25</v>
      </c>
      <c r="C31" s="5">
        <v>25</v>
      </c>
      <c r="D31" s="5">
        <v>25</v>
      </c>
      <c r="E31" s="5">
        <v>20</v>
      </c>
      <c r="F31" s="5">
        <v>20</v>
      </c>
      <c r="G31" s="5">
        <v>40</v>
      </c>
      <c r="H31" s="5">
        <v>20</v>
      </c>
    </row>
    <row r="32" spans="1:8">
      <c r="A32" s="9">
        <v>20</v>
      </c>
      <c r="B32" s="9">
        <v>20</v>
      </c>
      <c r="C32" s="9">
        <v>30</v>
      </c>
      <c r="D32" s="9">
        <v>30</v>
      </c>
      <c r="E32" s="9">
        <v>20</v>
      </c>
      <c r="F32" s="9">
        <v>20</v>
      </c>
      <c r="G32" s="9">
        <v>30</v>
      </c>
      <c r="H32" s="9">
        <v>30</v>
      </c>
    </row>
    <row r="33" spans="1:8">
      <c r="A33" s="5">
        <v>25</v>
      </c>
      <c r="B33" s="5">
        <v>25</v>
      </c>
      <c r="C33" s="5">
        <v>25</v>
      </c>
      <c r="D33" s="5">
        <v>25</v>
      </c>
      <c r="E33" s="5">
        <v>10</v>
      </c>
      <c r="F33" s="5">
        <v>10</v>
      </c>
      <c r="G33" s="5">
        <v>30</v>
      </c>
      <c r="H33" s="5">
        <v>50</v>
      </c>
    </row>
    <row r="34" spans="1:8">
      <c r="A34" s="9">
        <v>20</v>
      </c>
      <c r="B34" s="9">
        <v>20</v>
      </c>
      <c r="C34" s="9">
        <v>30</v>
      </c>
      <c r="D34" s="9">
        <v>30</v>
      </c>
      <c r="E34" s="9">
        <v>30</v>
      </c>
      <c r="F34" s="9">
        <v>30</v>
      </c>
      <c r="G34" s="9">
        <v>20</v>
      </c>
      <c r="H34" s="9">
        <v>20</v>
      </c>
    </row>
    <row r="35" spans="1:8">
      <c r="A35" s="5">
        <v>20</v>
      </c>
      <c r="B35" s="5">
        <v>20</v>
      </c>
      <c r="C35" s="5">
        <v>30</v>
      </c>
      <c r="D35" s="5">
        <v>30</v>
      </c>
      <c r="E35" s="5">
        <v>10</v>
      </c>
      <c r="F35" s="5">
        <v>20</v>
      </c>
      <c r="G35" s="5">
        <v>30</v>
      </c>
      <c r="H35" s="5">
        <v>40</v>
      </c>
    </row>
    <row r="36" spans="1:8">
      <c r="A36" s="9">
        <v>25</v>
      </c>
      <c r="B36" s="9">
        <v>25</v>
      </c>
      <c r="C36" s="9">
        <v>25</v>
      </c>
      <c r="D36" s="9">
        <v>25</v>
      </c>
      <c r="E36" s="9">
        <v>30</v>
      </c>
      <c r="F36" s="9">
        <v>30</v>
      </c>
      <c r="G36" s="9">
        <v>10</v>
      </c>
      <c r="H36" s="9">
        <v>30</v>
      </c>
    </row>
    <row r="37" spans="1:8">
      <c r="A37" s="5">
        <v>40</v>
      </c>
      <c r="B37" s="5">
        <v>30</v>
      </c>
      <c r="C37" s="5">
        <v>10</v>
      </c>
      <c r="D37" s="5">
        <v>20</v>
      </c>
      <c r="E37" s="5">
        <v>40</v>
      </c>
      <c r="F37" s="5">
        <v>20</v>
      </c>
      <c r="G37" s="5">
        <v>30</v>
      </c>
      <c r="H37" s="5">
        <v>10</v>
      </c>
    </row>
    <row r="38" spans="1:8">
      <c r="A38" s="9">
        <v>20</v>
      </c>
      <c r="B38" s="9">
        <v>20</v>
      </c>
      <c r="C38" s="9">
        <v>30</v>
      </c>
      <c r="D38" s="9">
        <v>30</v>
      </c>
      <c r="E38" s="9">
        <v>20</v>
      </c>
      <c r="F38" s="9">
        <v>30</v>
      </c>
      <c r="G38" s="9">
        <v>30</v>
      </c>
      <c r="H38" s="9">
        <v>20</v>
      </c>
    </row>
    <row r="39" spans="1:8">
      <c r="A39" s="5">
        <v>30</v>
      </c>
      <c r="B39" s="5">
        <v>20</v>
      </c>
      <c r="C39" s="5">
        <v>30</v>
      </c>
      <c r="D39" s="5">
        <v>20</v>
      </c>
      <c r="E39" s="5">
        <v>30</v>
      </c>
      <c r="F39" s="5">
        <v>20</v>
      </c>
      <c r="G39" s="5">
        <v>30</v>
      </c>
      <c r="H39" s="5">
        <v>20</v>
      </c>
    </row>
    <row r="40" spans="1:8">
      <c r="A40" s="9">
        <v>25</v>
      </c>
      <c r="B40" s="9">
        <v>25</v>
      </c>
      <c r="C40" s="9">
        <v>25</v>
      </c>
      <c r="D40" s="9">
        <v>25</v>
      </c>
      <c r="E40" s="9">
        <v>25</v>
      </c>
      <c r="F40" s="9">
        <v>25</v>
      </c>
      <c r="G40" s="9">
        <v>25</v>
      </c>
      <c r="H40" s="9">
        <v>25</v>
      </c>
    </row>
    <row r="41" spans="1:8">
      <c r="A41" s="5">
        <v>25</v>
      </c>
      <c r="B41" s="5">
        <v>25</v>
      </c>
      <c r="C41" s="5">
        <v>25</v>
      </c>
      <c r="D41" s="5">
        <v>25</v>
      </c>
      <c r="E41" s="5">
        <v>25</v>
      </c>
      <c r="F41" s="5">
        <v>25</v>
      </c>
      <c r="G41" s="5">
        <v>25</v>
      </c>
      <c r="H41" s="5">
        <v>25</v>
      </c>
    </row>
    <row r="42" spans="1:8">
      <c r="A42" s="9">
        <v>40</v>
      </c>
      <c r="B42" s="9">
        <v>30</v>
      </c>
      <c r="C42" s="9">
        <v>20</v>
      </c>
      <c r="D42" s="9">
        <v>10</v>
      </c>
      <c r="E42" s="9">
        <v>40</v>
      </c>
      <c r="F42" s="9">
        <v>30</v>
      </c>
      <c r="G42" s="9">
        <v>20</v>
      </c>
      <c r="H42" s="9">
        <v>10</v>
      </c>
    </row>
    <row r="43" spans="1:8">
      <c r="A43" s="5">
        <v>30</v>
      </c>
      <c r="B43" s="5">
        <v>30</v>
      </c>
      <c r="C43" s="5">
        <v>20</v>
      </c>
      <c r="D43" s="5">
        <v>20</v>
      </c>
      <c r="E43" s="5">
        <v>20</v>
      </c>
      <c r="F43" s="5">
        <v>20</v>
      </c>
      <c r="G43" s="5">
        <v>20</v>
      </c>
      <c r="H43" s="5">
        <v>40</v>
      </c>
    </row>
    <row r="44" spans="1:8">
      <c r="A44" s="9">
        <v>50</v>
      </c>
      <c r="B44" s="9">
        <v>30</v>
      </c>
      <c r="C44" s="9">
        <v>10</v>
      </c>
      <c r="D44" s="9">
        <v>10</v>
      </c>
      <c r="E44" s="9">
        <v>50</v>
      </c>
      <c r="F44" s="9">
        <v>30</v>
      </c>
      <c r="G44" s="9">
        <v>10</v>
      </c>
      <c r="H44" s="9">
        <v>10</v>
      </c>
    </row>
    <row r="45" spans="1:8">
      <c r="A45" s="5">
        <v>20</v>
      </c>
      <c r="B45" s="5">
        <v>30</v>
      </c>
      <c r="C45" s="5">
        <v>10</v>
      </c>
      <c r="D45" s="5">
        <v>40</v>
      </c>
      <c r="E45" s="5">
        <v>10</v>
      </c>
      <c r="F45" s="5">
        <v>20</v>
      </c>
      <c r="G45" s="5">
        <v>30</v>
      </c>
      <c r="H45" s="5">
        <v>40</v>
      </c>
    </row>
    <row r="46" spans="1:8">
      <c r="A46" s="9">
        <v>40</v>
      </c>
      <c r="B46" s="9">
        <v>30</v>
      </c>
      <c r="C46" s="9">
        <v>20</v>
      </c>
      <c r="D46" s="9">
        <v>10</v>
      </c>
      <c r="E46" s="9">
        <v>40</v>
      </c>
      <c r="F46" s="9">
        <v>30</v>
      </c>
      <c r="G46" s="9">
        <v>20</v>
      </c>
      <c r="H46" s="9">
        <v>10</v>
      </c>
    </row>
    <row r="47" spans="1:8">
      <c r="A47" s="5">
        <v>20</v>
      </c>
      <c r="B47" s="5">
        <v>30</v>
      </c>
      <c r="C47" s="5">
        <v>20</v>
      </c>
      <c r="D47" s="5">
        <v>30</v>
      </c>
      <c r="E47" s="5">
        <v>25</v>
      </c>
      <c r="F47" s="5">
        <v>25</v>
      </c>
      <c r="G47" s="5">
        <v>25</v>
      </c>
      <c r="H47" s="5">
        <v>25</v>
      </c>
    </row>
    <row r="48" spans="1:8">
      <c r="A48" s="9">
        <v>40</v>
      </c>
      <c r="B48" s="9">
        <v>20</v>
      </c>
      <c r="C48" s="9">
        <v>10</v>
      </c>
      <c r="D48" s="9">
        <v>30</v>
      </c>
      <c r="E48" s="9">
        <v>30</v>
      </c>
      <c r="F48" s="9">
        <v>30</v>
      </c>
      <c r="G48" s="9">
        <v>30</v>
      </c>
      <c r="H48" s="9">
        <v>10</v>
      </c>
    </row>
    <row r="49" spans="1:8">
      <c r="A49" s="5">
        <v>25</v>
      </c>
      <c r="B49" s="5">
        <v>25</v>
      </c>
      <c r="C49" s="5">
        <v>25</v>
      </c>
      <c r="D49" s="5">
        <v>25</v>
      </c>
      <c r="E49" s="5">
        <v>25</v>
      </c>
      <c r="F49" s="5">
        <v>25</v>
      </c>
      <c r="G49" s="5">
        <v>25</v>
      </c>
      <c r="H49" s="5">
        <v>25</v>
      </c>
    </row>
    <row r="50" spans="1:8">
      <c r="A50" s="9">
        <v>25</v>
      </c>
      <c r="B50" s="9">
        <v>25</v>
      </c>
      <c r="C50" s="9">
        <v>25</v>
      </c>
      <c r="D50" s="9">
        <v>25</v>
      </c>
      <c r="E50" s="9">
        <v>20</v>
      </c>
      <c r="F50" s="9">
        <v>20</v>
      </c>
      <c r="G50" s="9">
        <v>30</v>
      </c>
      <c r="H50" s="9">
        <v>30</v>
      </c>
    </row>
    <row r="51" spans="1:8">
      <c r="A51" s="5">
        <v>30</v>
      </c>
      <c r="B51" s="5">
        <v>30</v>
      </c>
      <c r="C51" s="5">
        <v>20</v>
      </c>
      <c r="D51" s="5">
        <v>20</v>
      </c>
      <c r="E51" s="5">
        <v>30</v>
      </c>
      <c r="F51" s="5">
        <v>30</v>
      </c>
      <c r="G51" s="5">
        <v>20</v>
      </c>
      <c r="H51" s="5">
        <v>20</v>
      </c>
    </row>
    <row r="52" spans="1:8">
      <c r="A52" s="9">
        <v>10</v>
      </c>
      <c r="B52" s="9">
        <v>10</v>
      </c>
      <c r="C52" s="9">
        <v>70</v>
      </c>
      <c r="D52" s="9">
        <v>10</v>
      </c>
      <c r="E52" s="9">
        <v>10</v>
      </c>
      <c r="F52" s="9">
        <v>70</v>
      </c>
      <c r="G52" s="9">
        <v>10</v>
      </c>
      <c r="H52" s="9">
        <v>10</v>
      </c>
    </row>
    <row r="53" spans="1:8">
      <c r="A53" s="5">
        <v>40</v>
      </c>
      <c r="B53" s="5">
        <v>10</v>
      </c>
      <c r="C53" s="5">
        <v>40</v>
      </c>
      <c r="D53" s="5">
        <v>10</v>
      </c>
      <c r="E53" s="5">
        <v>20</v>
      </c>
      <c r="F53" s="5">
        <v>20</v>
      </c>
      <c r="G53" s="5">
        <v>20</v>
      </c>
      <c r="H53" s="5">
        <v>40</v>
      </c>
    </row>
    <row r="54" spans="1:8">
      <c r="A54" s="9">
        <v>20</v>
      </c>
      <c r="B54" s="9">
        <v>30</v>
      </c>
      <c r="C54" s="9">
        <v>20</v>
      </c>
      <c r="D54" s="9">
        <v>30</v>
      </c>
      <c r="E54" s="9">
        <v>20</v>
      </c>
      <c r="F54" s="9">
        <v>30</v>
      </c>
      <c r="G54" s="9">
        <v>20</v>
      </c>
      <c r="H54" s="9">
        <v>30</v>
      </c>
    </row>
    <row r="55" spans="1:8">
      <c r="A55" s="5">
        <v>25</v>
      </c>
      <c r="B55" s="5">
        <v>25</v>
      </c>
      <c r="C55" s="5">
        <v>25</v>
      </c>
      <c r="D55" s="5">
        <v>25</v>
      </c>
      <c r="E55" s="5">
        <v>25</v>
      </c>
      <c r="F55" s="5">
        <v>25</v>
      </c>
      <c r="G55" s="5">
        <v>25</v>
      </c>
      <c r="H55" s="5">
        <v>25</v>
      </c>
    </row>
    <row r="56" spans="1:8">
      <c r="A56" s="9">
        <v>25</v>
      </c>
      <c r="B56" s="9">
        <v>25</v>
      </c>
      <c r="C56" s="9">
        <v>25</v>
      </c>
      <c r="D56" s="9">
        <v>25</v>
      </c>
      <c r="E56" s="9">
        <v>25</v>
      </c>
      <c r="F56" s="9">
        <v>25</v>
      </c>
      <c r="G56" s="9">
        <v>25</v>
      </c>
      <c r="H56" s="9">
        <v>25</v>
      </c>
    </row>
    <row r="57" spans="1:8">
      <c r="A57" s="5">
        <v>25</v>
      </c>
      <c r="B57" s="5">
        <v>25</v>
      </c>
      <c r="C57" s="5">
        <v>25</v>
      </c>
      <c r="D57" s="5">
        <v>25</v>
      </c>
      <c r="E57" s="5">
        <v>25</v>
      </c>
      <c r="F57" s="5">
        <v>25</v>
      </c>
      <c r="G57" s="5">
        <v>25</v>
      </c>
      <c r="H57" s="5">
        <v>25</v>
      </c>
    </row>
    <row r="58" spans="1:8">
      <c r="A58" s="9">
        <v>20</v>
      </c>
      <c r="B58" s="9">
        <v>20</v>
      </c>
      <c r="C58" s="9">
        <v>20</v>
      </c>
      <c r="D58" s="9">
        <v>40</v>
      </c>
      <c r="E58" s="9">
        <v>20</v>
      </c>
      <c r="F58" s="9">
        <v>20</v>
      </c>
      <c r="G58" s="9">
        <v>20</v>
      </c>
      <c r="H58" s="9">
        <v>40</v>
      </c>
    </row>
    <row r="59" spans="1:8">
      <c r="A59" s="5">
        <v>25</v>
      </c>
      <c r="B59" s="5">
        <v>25</v>
      </c>
      <c r="C59" s="5">
        <v>25</v>
      </c>
      <c r="D59" s="5">
        <v>25</v>
      </c>
      <c r="E59" s="5">
        <v>25</v>
      </c>
      <c r="F59" s="5">
        <v>25</v>
      </c>
      <c r="G59" s="5">
        <v>25</v>
      </c>
      <c r="H59" s="5">
        <v>25</v>
      </c>
    </row>
    <row r="60" spans="1:8">
      <c r="A60" s="9">
        <v>25</v>
      </c>
      <c r="B60" s="9">
        <v>25</v>
      </c>
      <c r="C60" s="9">
        <v>25</v>
      </c>
      <c r="D60" s="9">
        <v>25</v>
      </c>
      <c r="E60" s="9">
        <v>25</v>
      </c>
      <c r="F60" s="9">
        <v>25</v>
      </c>
      <c r="G60" s="9">
        <v>25</v>
      </c>
      <c r="H60" s="9">
        <v>25</v>
      </c>
    </row>
    <row r="61" spans="1:8">
      <c r="A61" s="5">
        <v>30</v>
      </c>
      <c r="B61" s="5">
        <v>20</v>
      </c>
      <c r="C61" s="5">
        <v>40</v>
      </c>
      <c r="D61" s="5">
        <v>10</v>
      </c>
      <c r="E61" s="5">
        <v>10</v>
      </c>
      <c r="F61" s="5">
        <v>30</v>
      </c>
      <c r="G61" s="5">
        <v>40</v>
      </c>
      <c r="H61" s="5">
        <v>20</v>
      </c>
    </row>
    <row r="62" spans="1:8">
      <c r="A62" s="9">
        <v>20</v>
      </c>
      <c r="B62" s="9">
        <v>10</v>
      </c>
      <c r="C62" s="9">
        <v>10</v>
      </c>
      <c r="D62" s="9">
        <v>60</v>
      </c>
      <c r="E62" s="9">
        <v>45</v>
      </c>
      <c r="F62" s="9">
        <v>10</v>
      </c>
      <c r="G62" s="9">
        <v>10</v>
      </c>
      <c r="H62" s="9">
        <v>35</v>
      </c>
    </row>
    <row r="63" spans="1:8">
      <c r="A63" s="5">
        <v>20</v>
      </c>
      <c r="B63" s="5">
        <v>30</v>
      </c>
      <c r="C63" s="5">
        <v>30</v>
      </c>
      <c r="D63" s="5">
        <v>20</v>
      </c>
      <c r="E63" s="5">
        <v>20</v>
      </c>
      <c r="F63" s="5">
        <v>20</v>
      </c>
      <c r="G63" s="5">
        <v>20</v>
      </c>
      <c r="H63" s="5">
        <v>40</v>
      </c>
    </row>
    <row r="64" spans="1:8">
      <c r="A64" s="9">
        <v>30</v>
      </c>
      <c r="B64" s="9">
        <v>20</v>
      </c>
      <c r="C64" s="9">
        <v>20</v>
      </c>
      <c r="D64" s="9">
        <v>30</v>
      </c>
      <c r="E64" s="9">
        <v>20</v>
      </c>
      <c r="F64" s="9">
        <v>20</v>
      </c>
      <c r="G64" s="9">
        <v>30</v>
      </c>
      <c r="H64" s="9">
        <v>30</v>
      </c>
    </row>
    <row r="65" spans="1:8">
      <c r="A65" s="5">
        <v>30</v>
      </c>
      <c r="B65" s="5">
        <v>20</v>
      </c>
      <c r="C65" s="5">
        <v>30</v>
      </c>
      <c r="D65" s="5">
        <v>20</v>
      </c>
      <c r="E65" s="5">
        <v>30</v>
      </c>
      <c r="F65" s="5">
        <v>20</v>
      </c>
      <c r="G65" s="5">
        <v>30</v>
      </c>
      <c r="H65" s="5">
        <v>20</v>
      </c>
    </row>
    <row r="66" spans="1:8">
      <c r="A66" s="9">
        <v>30</v>
      </c>
      <c r="B66" s="9">
        <v>20</v>
      </c>
      <c r="C66" s="9">
        <v>20</v>
      </c>
      <c r="D66" s="9">
        <v>30</v>
      </c>
      <c r="E66" s="9">
        <v>20</v>
      </c>
      <c r="F66" s="9">
        <v>20</v>
      </c>
      <c r="G66" s="9">
        <v>30</v>
      </c>
      <c r="H66" s="9">
        <v>30</v>
      </c>
    </row>
    <row r="67" spans="1:8">
      <c r="A67" s="5">
        <v>20</v>
      </c>
      <c r="B67" s="5">
        <v>40</v>
      </c>
      <c r="C67" s="5">
        <v>20</v>
      </c>
      <c r="D67" s="5">
        <v>20</v>
      </c>
      <c r="E67" s="5">
        <v>25</v>
      </c>
      <c r="F67" s="5">
        <v>25</v>
      </c>
      <c r="G67" s="5">
        <v>25</v>
      </c>
      <c r="H67" s="5">
        <v>25</v>
      </c>
    </row>
    <row r="68" spans="1:8">
      <c r="A68" s="9">
        <v>25</v>
      </c>
      <c r="B68" s="9">
        <v>25</v>
      </c>
      <c r="C68" s="9">
        <v>25</v>
      </c>
      <c r="D68" s="9">
        <v>25</v>
      </c>
      <c r="E68" s="9">
        <v>25</v>
      </c>
      <c r="F68" s="9">
        <v>25</v>
      </c>
      <c r="G68" s="9">
        <v>25</v>
      </c>
      <c r="H68" s="9">
        <v>25</v>
      </c>
    </row>
    <row r="69" spans="1:8">
      <c r="A69" s="5">
        <v>20</v>
      </c>
      <c r="B69" s="5">
        <v>30</v>
      </c>
      <c r="C69" s="5">
        <v>20</v>
      </c>
      <c r="D69" s="5">
        <v>30</v>
      </c>
      <c r="E69" s="5">
        <v>20</v>
      </c>
      <c r="F69" s="5">
        <v>30</v>
      </c>
      <c r="G69" s="5">
        <v>20</v>
      </c>
      <c r="H69" s="5">
        <v>30</v>
      </c>
    </row>
    <row r="70" spans="1:8">
      <c r="A70" s="9">
        <v>30</v>
      </c>
      <c r="B70" s="9">
        <v>30</v>
      </c>
      <c r="C70" s="9">
        <v>20</v>
      </c>
      <c r="D70" s="9">
        <v>20</v>
      </c>
      <c r="E70" s="9">
        <v>30</v>
      </c>
      <c r="F70" s="9">
        <v>30</v>
      </c>
      <c r="G70" s="9">
        <v>20</v>
      </c>
      <c r="H70" s="9">
        <v>20</v>
      </c>
    </row>
    <row r="71" spans="1:8">
      <c r="A71" s="5">
        <v>70</v>
      </c>
      <c r="B71" s="5">
        <v>10</v>
      </c>
      <c r="C71" s="5">
        <v>10</v>
      </c>
      <c r="D71" s="5">
        <v>10</v>
      </c>
      <c r="E71" s="5">
        <v>70</v>
      </c>
      <c r="F71" s="5">
        <v>10</v>
      </c>
      <c r="G71" s="5">
        <v>10</v>
      </c>
      <c r="H71" s="5">
        <v>10</v>
      </c>
    </row>
    <row r="72" spans="1:8">
      <c r="A72" s="9">
        <v>50</v>
      </c>
      <c r="B72" s="9">
        <v>20</v>
      </c>
      <c r="C72" s="9">
        <v>10</v>
      </c>
      <c r="D72" s="9">
        <v>20</v>
      </c>
      <c r="E72" s="9">
        <v>50</v>
      </c>
      <c r="F72" s="9">
        <v>20</v>
      </c>
      <c r="G72" s="9">
        <v>10</v>
      </c>
      <c r="H72" s="9">
        <v>20</v>
      </c>
    </row>
    <row r="73" spans="1:8">
      <c r="A73" s="5">
        <v>35</v>
      </c>
      <c r="B73" s="5">
        <v>20</v>
      </c>
      <c r="C73" s="5">
        <v>35</v>
      </c>
      <c r="D73" s="5">
        <v>10</v>
      </c>
      <c r="E73" s="5">
        <v>25</v>
      </c>
      <c r="F73" s="5">
        <v>25</v>
      </c>
      <c r="G73" s="5">
        <v>15</v>
      </c>
      <c r="H73" s="5">
        <v>35</v>
      </c>
    </row>
    <row r="74" spans="1:8">
      <c r="A74" s="9">
        <v>10</v>
      </c>
      <c r="B74" s="9">
        <v>10</v>
      </c>
      <c r="C74" s="9">
        <v>10</v>
      </c>
      <c r="D74" s="9">
        <v>70</v>
      </c>
      <c r="E74" s="9">
        <v>10</v>
      </c>
      <c r="F74" s="9">
        <v>10</v>
      </c>
      <c r="G74" s="9">
        <v>10</v>
      </c>
      <c r="H74" s="9">
        <v>70</v>
      </c>
    </row>
    <row r="75" spans="1:8">
      <c r="A75" s="5">
        <v>30</v>
      </c>
      <c r="B75" s="5">
        <v>30</v>
      </c>
      <c r="C75" s="5">
        <v>20</v>
      </c>
      <c r="D75" s="5">
        <v>20</v>
      </c>
      <c r="E75" s="5">
        <v>30</v>
      </c>
      <c r="F75" s="5">
        <v>30</v>
      </c>
      <c r="G75" s="5">
        <v>20</v>
      </c>
      <c r="H75" s="5">
        <v>20</v>
      </c>
    </row>
    <row r="76" spans="1:8">
      <c r="A76" s="9">
        <v>30</v>
      </c>
      <c r="B76" s="9">
        <v>20</v>
      </c>
      <c r="C76" s="9">
        <v>30</v>
      </c>
      <c r="D76" s="9">
        <v>20</v>
      </c>
      <c r="E76" s="9">
        <v>20</v>
      </c>
      <c r="F76" s="9">
        <v>20</v>
      </c>
      <c r="G76" s="9">
        <v>20</v>
      </c>
      <c r="H76" s="9">
        <v>40</v>
      </c>
    </row>
    <row r="77" spans="1:8">
      <c r="A77" s="5">
        <v>25</v>
      </c>
      <c r="B77" s="5">
        <v>25</v>
      </c>
      <c r="C77" s="5">
        <v>25</v>
      </c>
      <c r="D77" s="5">
        <v>25</v>
      </c>
      <c r="E77" s="5">
        <v>25</v>
      </c>
      <c r="F77" s="5">
        <v>25</v>
      </c>
      <c r="G77" s="5">
        <v>25</v>
      </c>
      <c r="H77" s="5">
        <v>25</v>
      </c>
    </row>
    <row r="78" spans="1:8">
      <c r="A78" s="9">
        <v>30</v>
      </c>
      <c r="B78" s="9">
        <v>30</v>
      </c>
      <c r="C78" s="9">
        <v>20</v>
      </c>
      <c r="D78" s="9">
        <v>20</v>
      </c>
      <c r="E78" s="9">
        <v>30</v>
      </c>
      <c r="F78" s="9">
        <v>30</v>
      </c>
      <c r="G78" s="9">
        <v>20</v>
      </c>
      <c r="H78" s="9">
        <v>20</v>
      </c>
    </row>
    <row r="79" spans="1:8">
      <c r="A79" s="5">
        <v>30</v>
      </c>
      <c r="B79" s="5">
        <v>30</v>
      </c>
      <c r="C79" s="5">
        <v>20</v>
      </c>
      <c r="D79" s="5">
        <v>20</v>
      </c>
      <c r="E79" s="5">
        <v>30</v>
      </c>
      <c r="F79" s="5">
        <v>20</v>
      </c>
      <c r="G79" s="5">
        <v>30</v>
      </c>
      <c r="H79" s="5">
        <v>20</v>
      </c>
    </row>
    <row r="80" spans="1:8">
      <c r="A80" s="9">
        <v>25</v>
      </c>
      <c r="B80" s="9">
        <v>25</v>
      </c>
      <c r="C80" s="9">
        <v>25</v>
      </c>
      <c r="D80" s="9">
        <v>25</v>
      </c>
      <c r="E80" s="9">
        <v>25</v>
      </c>
      <c r="F80" s="9">
        <v>25</v>
      </c>
      <c r="G80" s="9">
        <v>25</v>
      </c>
      <c r="H80" s="9">
        <v>25</v>
      </c>
    </row>
    <row r="81" spans="1:8">
      <c r="A81" s="5">
        <v>20</v>
      </c>
      <c r="B81" s="5">
        <v>40</v>
      </c>
      <c r="C81" s="5">
        <v>20</v>
      </c>
      <c r="D81" s="5">
        <v>20</v>
      </c>
      <c r="E81" s="5">
        <v>20</v>
      </c>
      <c r="F81" s="5">
        <v>40</v>
      </c>
      <c r="G81" s="5">
        <v>20</v>
      </c>
      <c r="H81" s="5">
        <v>20</v>
      </c>
    </row>
    <row r="82" spans="1:8">
      <c r="A82" s="9">
        <v>30</v>
      </c>
      <c r="B82" s="9">
        <v>20</v>
      </c>
      <c r="C82" s="9">
        <v>30</v>
      </c>
      <c r="D82" s="9">
        <v>20</v>
      </c>
      <c r="E82" s="9">
        <v>20</v>
      </c>
      <c r="F82" s="9">
        <v>20</v>
      </c>
      <c r="G82" s="9">
        <v>30</v>
      </c>
      <c r="H82" s="9">
        <v>30</v>
      </c>
    </row>
    <row r="83" spans="1:8">
      <c r="A83" s="5">
        <v>40</v>
      </c>
      <c r="B83" s="5">
        <v>20</v>
      </c>
      <c r="C83" s="5">
        <v>20</v>
      </c>
      <c r="D83" s="5">
        <v>20</v>
      </c>
      <c r="E83" s="5">
        <v>20</v>
      </c>
      <c r="F83" s="5">
        <v>20</v>
      </c>
      <c r="G83" s="5">
        <v>30</v>
      </c>
      <c r="H83" s="5">
        <v>30</v>
      </c>
    </row>
    <row r="84" spans="1:8">
      <c r="A84" s="9">
        <v>25</v>
      </c>
      <c r="B84" s="9">
        <v>25</v>
      </c>
      <c r="C84" s="9">
        <v>35</v>
      </c>
      <c r="D84" s="9">
        <v>15</v>
      </c>
      <c r="E84" s="9">
        <v>30</v>
      </c>
      <c r="F84" s="9">
        <v>30</v>
      </c>
      <c r="G84" s="9">
        <v>30</v>
      </c>
      <c r="H84" s="9">
        <v>10</v>
      </c>
    </row>
    <row r="85" spans="1:8">
      <c r="A85" s="5">
        <v>50</v>
      </c>
      <c r="B85" s="5">
        <v>30</v>
      </c>
      <c r="C85" s="5">
        <v>10</v>
      </c>
      <c r="D85" s="5">
        <v>10</v>
      </c>
      <c r="E85" s="5">
        <v>50</v>
      </c>
      <c r="F85" s="5">
        <v>20</v>
      </c>
      <c r="G85" s="5">
        <v>20</v>
      </c>
      <c r="H85" s="5">
        <v>10</v>
      </c>
    </row>
    <row r="86" spans="1:8">
      <c r="A86" s="9">
        <v>25</v>
      </c>
      <c r="B86" s="9">
        <v>25</v>
      </c>
      <c r="C86" s="9">
        <v>25</v>
      </c>
      <c r="D86" s="9">
        <v>25</v>
      </c>
      <c r="E86" s="9">
        <v>25</v>
      </c>
      <c r="F86" s="9">
        <v>25</v>
      </c>
      <c r="G86" s="9">
        <v>25</v>
      </c>
      <c r="H86" s="9">
        <v>25</v>
      </c>
    </row>
    <row r="87" spans="1:8">
      <c r="A87" s="5">
        <v>20</v>
      </c>
      <c r="B87" s="5">
        <v>20</v>
      </c>
      <c r="C87" s="5">
        <v>30</v>
      </c>
      <c r="D87" s="5">
        <v>30</v>
      </c>
      <c r="E87" s="5">
        <v>20</v>
      </c>
      <c r="F87" s="5">
        <v>20</v>
      </c>
      <c r="G87" s="5">
        <v>30</v>
      </c>
      <c r="H87" s="5">
        <v>30</v>
      </c>
    </row>
    <row r="88" spans="1:8">
      <c r="A88" s="9">
        <v>20</v>
      </c>
      <c r="B88" s="9">
        <v>30</v>
      </c>
      <c r="C88" s="9">
        <v>20</v>
      </c>
      <c r="D88" s="9">
        <v>30</v>
      </c>
      <c r="E88" s="9">
        <v>30</v>
      </c>
      <c r="F88" s="9">
        <v>20</v>
      </c>
      <c r="G88" s="9">
        <v>20</v>
      </c>
      <c r="H88" s="9">
        <v>30</v>
      </c>
    </row>
    <row r="89" spans="1:8">
      <c r="A89" s="5">
        <v>20</v>
      </c>
      <c r="B89" s="5">
        <v>20</v>
      </c>
      <c r="C89" s="5">
        <v>20</v>
      </c>
      <c r="D89" s="5">
        <v>40</v>
      </c>
      <c r="E89" s="5">
        <v>40</v>
      </c>
      <c r="F89" s="5">
        <v>40</v>
      </c>
      <c r="G89" s="5">
        <v>10</v>
      </c>
      <c r="H89" s="5">
        <v>10</v>
      </c>
    </row>
    <row r="90" spans="1:8">
      <c r="A90" s="9">
        <v>20</v>
      </c>
      <c r="B90" s="9">
        <v>30</v>
      </c>
      <c r="C90" s="9">
        <v>20</v>
      </c>
      <c r="D90" s="9">
        <v>30</v>
      </c>
      <c r="E90" s="9">
        <v>20</v>
      </c>
      <c r="F90" s="9">
        <v>30</v>
      </c>
      <c r="G90" s="9">
        <v>30</v>
      </c>
      <c r="H90" s="9">
        <v>20</v>
      </c>
    </row>
    <row r="91" spans="1:8">
      <c r="A91" s="5">
        <v>40</v>
      </c>
      <c r="B91" s="5">
        <v>10</v>
      </c>
      <c r="C91" s="5">
        <v>40</v>
      </c>
      <c r="D91" s="5">
        <v>10</v>
      </c>
      <c r="E91" s="5">
        <v>70</v>
      </c>
      <c r="F91" s="5">
        <v>10</v>
      </c>
      <c r="G91" s="5">
        <v>10</v>
      </c>
      <c r="H91" s="5">
        <v>10</v>
      </c>
    </row>
    <row r="92" spans="1:8">
      <c r="A92" s="9">
        <v>30</v>
      </c>
      <c r="B92" s="9">
        <v>30</v>
      </c>
      <c r="C92" s="9">
        <v>20</v>
      </c>
      <c r="D92" s="9">
        <v>20</v>
      </c>
      <c r="E92" s="9">
        <v>20</v>
      </c>
      <c r="F92" s="9">
        <v>20</v>
      </c>
      <c r="G92" s="9">
        <v>30</v>
      </c>
      <c r="H92" s="9">
        <v>30</v>
      </c>
    </row>
    <row r="93" spans="1:8">
      <c r="A93" s="5">
        <v>30</v>
      </c>
      <c r="B93" s="5">
        <v>40</v>
      </c>
      <c r="C93" s="5">
        <v>15</v>
      </c>
      <c r="D93" s="5">
        <v>15</v>
      </c>
      <c r="E93" s="5">
        <v>25</v>
      </c>
      <c r="F93" s="5">
        <v>25</v>
      </c>
      <c r="G93" s="5">
        <v>25</v>
      </c>
      <c r="H93" s="5">
        <v>25</v>
      </c>
    </row>
    <row r="94" spans="1:8">
      <c r="A94" s="9">
        <v>30</v>
      </c>
      <c r="B94" s="9">
        <v>20</v>
      </c>
      <c r="C94" s="9">
        <v>30</v>
      </c>
      <c r="D94" s="9">
        <v>20</v>
      </c>
      <c r="E94" s="9">
        <v>30</v>
      </c>
      <c r="F94" s="9">
        <v>20</v>
      </c>
      <c r="G94" s="9">
        <v>30</v>
      </c>
      <c r="H94" s="9">
        <v>20</v>
      </c>
    </row>
    <row r="95" spans="1:8">
      <c r="A95" s="5">
        <v>10</v>
      </c>
      <c r="B95" s="5">
        <v>10</v>
      </c>
      <c r="C95" s="5">
        <v>40</v>
      </c>
      <c r="D95" s="5">
        <v>40</v>
      </c>
      <c r="E95" s="5">
        <v>10</v>
      </c>
      <c r="F95" s="5">
        <v>10</v>
      </c>
      <c r="G95" s="5">
        <v>40</v>
      </c>
      <c r="H95" s="5">
        <v>40</v>
      </c>
    </row>
    <row r="96" spans="1:8">
      <c r="A96" s="9">
        <v>30</v>
      </c>
      <c r="B96" s="9">
        <v>30</v>
      </c>
      <c r="C96" s="9">
        <v>20</v>
      </c>
      <c r="D96" s="9">
        <v>20</v>
      </c>
      <c r="E96" s="9">
        <v>30</v>
      </c>
      <c r="F96" s="9">
        <v>20</v>
      </c>
      <c r="G96" s="9">
        <v>30</v>
      </c>
      <c r="H96" s="9">
        <v>20</v>
      </c>
    </row>
    <row r="97" spans="1:8">
      <c r="A97" s="5">
        <v>25</v>
      </c>
      <c r="B97" s="5">
        <v>25</v>
      </c>
      <c r="C97" s="5">
        <v>25</v>
      </c>
      <c r="D97" s="5">
        <v>25</v>
      </c>
      <c r="E97" s="5">
        <v>25</v>
      </c>
      <c r="F97" s="5">
        <v>35</v>
      </c>
      <c r="G97" s="5">
        <v>25</v>
      </c>
      <c r="H97" s="5">
        <v>15</v>
      </c>
    </row>
    <row r="98" spans="1:8">
      <c r="A98" s="9">
        <v>40</v>
      </c>
      <c r="B98" s="9">
        <v>40</v>
      </c>
      <c r="C98" s="9">
        <v>10</v>
      </c>
      <c r="D98" s="9">
        <v>10</v>
      </c>
      <c r="E98" s="9">
        <v>30</v>
      </c>
      <c r="F98" s="9">
        <v>20</v>
      </c>
      <c r="G98" s="9">
        <v>20</v>
      </c>
      <c r="H98" s="9">
        <v>30</v>
      </c>
    </row>
    <row r="99" spans="1:8">
      <c r="A99" s="5">
        <v>25</v>
      </c>
      <c r="B99" s="5">
        <v>25</v>
      </c>
      <c r="C99" s="5">
        <v>25</v>
      </c>
      <c r="D99" s="5">
        <v>25</v>
      </c>
      <c r="E99" s="5">
        <v>25</v>
      </c>
      <c r="F99" s="5">
        <v>25</v>
      </c>
      <c r="G99" s="5">
        <v>25</v>
      </c>
      <c r="H99" s="5">
        <v>25</v>
      </c>
    </row>
    <row r="100" spans="1:8">
      <c r="A100" s="9">
        <v>20</v>
      </c>
      <c r="B100" s="9">
        <v>10</v>
      </c>
      <c r="C100" s="9">
        <v>35</v>
      </c>
      <c r="D100" s="9">
        <v>35</v>
      </c>
      <c r="E100" s="9">
        <v>20</v>
      </c>
      <c r="F100" s="9">
        <v>20</v>
      </c>
      <c r="G100" s="9">
        <v>30</v>
      </c>
      <c r="H100" s="9">
        <v>30</v>
      </c>
    </row>
    <row r="101" spans="1:8">
      <c r="A101" s="5">
        <v>20</v>
      </c>
      <c r="B101" s="5">
        <v>30</v>
      </c>
      <c r="C101" s="5">
        <v>30</v>
      </c>
      <c r="D101" s="5">
        <v>20</v>
      </c>
      <c r="E101" s="5">
        <v>20</v>
      </c>
      <c r="F101" s="5">
        <v>30</v>
      </c>
      <c r="G101" s="5">
        <v>30</v>
      </c>
      <c r="H101" s="5">
        <v>20</v>
      </c>
    </row>
    <row r="102" spans="1:8">
      <c r="A102" s="9">
        <v>25</v>
      </c>
      <c r="B102" s="9">
        <v>25</v>
      </c>
      <c r="C102" s="9">
        <v>25</v>
      </c>
      <c r="D102" s="9">
        <v>25</v>
      </c>
      <c r="E102" s="9">
        <v>25</v>
      </c>
      <c r="F102" s="9">
        <v>25</v>
      </c>
      <c r="G102" s="9">
        <v>25</v>
      </c>
      <c r="H102" s="9">
        <v>25</v>
      </c>
    </row>
    <row r="103" spans="1:8">
      <c r="A103" s="5">
        <v>25</v>
      </c>
      <c r="B103" s="5">
        <v>25</v>
      </c>
      <c r="C103" s="5">
        <v>25</v>
      </c>
      <c r="D103" s="5">
        <v>25</v>
      </c>
      <c r="E103" s="5">
        <v>25</v>
      </c>
      <c r="F103" s="5">
        <v>25</v>
      </c>
      <c r="G103" s="5">
        <v>25</v>
      </c>
      <c r="H103" s="5">
        <v>25</v>
      </c>
    </row>
    <row r="104" spans="1:8">
      <c r="A104" s="9">
        <v>25</v>
      </c>
      <c r="B104" s="9">
        <v>25</v>
      </c>
      <c r="C104" s="9">
        <v>25</v>
      </c>
      <c r="D104" s="9">
        <v>25</v>
      </c>
      <c r="E104" s="9">
        <v>25</v>
      </c>
      <c r="F104" s="9">
        <v>25</v>
      </c>
      <c r="G104" s="9">
        <v>25</v>
      </c>
      <c r="H104" s="9">
        <v>25</v>
      </c>
    </row>
    <row r="105" spans="1:8">
      <c r="A105" s="5">
        <v>40</v>
      </c>
      <c r="B105" s="5">
        <v>30</v>
      </c>
      <c r="C105" s="5">
        <v>10</v>
      </c>
      <c r="D105" s="5">
        <v>20</v>
      </c>
      <c r="E105" s="5">
        <v>20</v>
      </c>
      <c r="F105" s="5">
        <v>20</v>
      </c>
      <c r="G105" s="5">
        <v>30</v>
      </c>
      <c r="H105" s="5">
        <v>30</v>
      </c>
    </row>
    <row r="106" spans="1:8">
      <c r="A106" s="9">
        <v>20</v>
      </c>
      <c r="B106" s="9">
        <v>30</v>
      </c>
      <c r="C106" s="9">
        <v>30</v>
      </c>
      <c r="D106" s="9">
        <v>20</v>
      </c>
      <c r="E106" s="9">
        <v>20</v>
      </c>
      <c r="F106" s="9">
        <v>20</v>
      </c>
      <c r="G106" s="9">
        <v>30</v>
      </c>
      <c r="H106" s="9">
        <v>30</v>
      </c>
    </row>
    <row r="107" spans="1:8">
      <c r="A107" s="5">
        <v>30</v>
      </c>
      <c r="B107" s="5">
        <v>30</v>
      </c>
      <c r="C107" s="5">
        <v>20</v>
      </c>
      <c r="D107" s="5">
        <v>20</v>
      </c>
      <c r="E107" s="5">
        <v>30</v>
      </c>
      <c r="F107" s="5">
        <v>20</v>
      </c>
      <c r="G107" s="5">
        <v>20</v>
      </c>
      <c r="H107" s="5">
        <v>30</v>
      </c>
    </row>
    <row r="108" spans="1:8">
      <c r="A108" s="9">
        <v>30</v>
      </c>
      <c r="B108" s="9">
        <v>30</v>
      </c>
      <c r="C108" s="9">
        <v>20</v>
      </c>
      <c r="D108" s="9">
        <v>20</v>
      </c>
      <c r="E108" s="9">
        <v>30</v>
      </c>
      <c r="F108" s="9">
        <v>20</v>
      </c>
      <c r="G108" s="9">
        <v>20</v>
      </c>
      <c r="H108" s="9">
        <v>30</v>
      </c>
    </row>
    <row r="109" spans="1:8">
      <c r="A109" s="5">
        <v>50</v>
      </c>
      <c r="B109" s="5">
        <v>20</v>
      </c>
      <c r="C109" s="5">
        <v>20</v>
      </c>
      <c r="D109" s="5">
        <v>10</v>
      </c>
      <c r="E109" s="5">
        <v>30</v>
      </c>
      <c r="F109" s="5">
        <v>30</v>
      </c>
      <c r="G109" s="5">
        <v>30</v>
      </c>
      <c r="H109" s="5">
        <v>10</v>
      </c>
    </row>
    <row r="110" spans="1:8">
      <c r="A110" s="9">
        <v>20</v>
      </c>
      <c r="B110" s="9">
        <v>20</v>
      </c>
      <c r="C110" s="9">
        <v>10</v>
      </c>
      <c r="D110" s="9">
        <v>50</v>
      </c>
      <c r="E110" s="9">
        <v>20</v>
      </c>
      <c r="F110" s="9">
        <v>10</v>
      </c>
      <c r="G110" s="9">
        <v>10</v>
      </c>
      <c r="H110" s="9">
        <v>60</v>
      </c>
    </row>
    <row r="111" spans="1:8">
      <c r="A111" s="5">
        <v>30</v>
      </c>
      <c r="B111" s="5">
        <v>20</v>
      </c>
      <c r="C111" s="5">
        <v>30</v>
      </c>
      <c r="D111" s="5">
        <v>20</v>
      </c>
      <c r="E111" s="5">
        <v>30</v>
      </c>
      <c r="F111" s="5">
        <v>40</v>
      </c>
      <c r="G111" s="5">
        <v>20</v>
      </c>
      <c r="H111" s="5">
        <v>10</v>
      </c>
    </row>
    <row r="112" spans="1:8">
      <c r="A112" s="9">
        <v>40</v>
      </c>
      <c r="B112" s="9">
        <v>20</v>
      </c>
      <c r="C112" s="9">
        <v>20</v>
      </c>
      <c r="D112" s="9">
        <v>20</v>
      </c>
      <c r="E112" s="9">
        <v>30</v>
      </c>
      <c r="F112" s="9">
        <v>30</v>
      </c>
      <c r="G112" s="9">
        <v>20</v>
      </c>
      <c r="H112" s="9">
        <v>20</v>
      </c>
    </row>
    <row r="113" spans="1:8">
      <c r="A113" s="5">
        <v>20</v>
      </c>
      <c r="B113" s="5">
        <v>30</v>
      </c>
      <c r="C113" s="5">
        <v>30</v>
      </c>
      <c r="D113" s="5">
        <v>20</v>
      </c>
      <c r="E113" s="5">
        <v>20</v>
      </c>
      <c r="F113" s="5">
        <v>30</v>
      </c>
      <c r="G113" s="5">
        <v>30</v>
      </c>
      <c r="H113" s="5">
        <v>20</v>
      </c>
    </row>
    <row r="114" spans="1:8">
      <c r="A114" s="9">
        <v>30</v>
      </c>
      <c r="B114" s="9">
        <v>10</v>
      </c>
      <c r="C114" s="9">
        <v>30</v>
      </c>
      <c r="D114" s="9">
        <v>30</v>
      </c>
      <c r="E114" s="9">
        <v>25</v>
      </c>
      <c r="F114" s="9">
        <v>25</v>
      </c>
      <c r="G114" s="9">
        <v>25</v>
      </c>
      <c r="H114" s="9">
        <v>25</v>
      </c>
    </row>
    <row r="115" spans="1:8">
      <c r="A115" s="5">
        <v>30</v>
      </c>
      <c r="B115" s="5">
        <v>20</v>
      </c>
      <c r="C115" s="5">
        <v>20</v>
      </c>
      <c r="D115" s="5">
        <v>30</v>
      </c>
      <c r="E115" s="5">
        <v>20</v>
      </c>
      <c r="F115" s="5">
        <v>40</v>
      </c>
      <c r="G115" s="5">
        <v>20</v>
      </c>
      <c r="H115" s="5">
        <v>20</v>
      </c>
    </row>
    <row r="116" spans="1:8">
      <c r="A116" s="9">
        <v>25</v>
      </c>
      <c r="B116" s="9">
        <v>25</v>
      </c>
      <c r="C116" s="9">
        <v>25</v>
      </c>
      <c r="D116" s="9">
        <v>25</v>
      </c>
      <c r="E116" s="9">
        <v>25</v>
      </c>
      <c r="F116" s="9">
        <v>25</v>
      </c>
      <c r="G116" s="9">
        <v>25</v>
      </c>
      <c r="H116" s="9">
        <v>25</v>
      </c>
    </row>
    <row r="117" spans="1:8">
      <c r="A117" s="5">
        <v>30</v>
      </c>
      <c r="B117" s="5">
        <v>30</v>
      </c>
      <c r="C117" s="5">
        <v>30</v>
      </c>
      <c r="D117" s="5">
        <v>10</v>
      </c>
      <c r="E117" s="5">
        <v>30</v>
      </c>
      <c r="F117" s="5">
        <v>30</v>
      </c>
      <c r="G117" s="5">
        <v>30</v>
      </c>
      <c r="H117" s="5">
        <v>10</v>
      </c>
    </row>
    <row r="118" spans="1:8">
      <c r="A118" s="9">
        <v>40</v>
      </c>
      <c r="B118" s="9">
        <v>40</v>
      </c>
      <c r="C118" s="9">
        <v>10</v>
      </c>
      <c r="D118" s="9">
        <v>10</v>
      </c>
      <c r="E118" s="9">
        <v>10</v>
      </c>
      <c r="F118" s="9">
        <v>10</v>
      </c>
      <c r="G118" s="9">
        <v>40</v>
      </c>
      <c r="H118" s="9">
        <v>40</v>
      </c>
    </row>
    <row r="119" spans="1:8">
      <c r="A119" s="5">
        <v>40</v>
      </c>
      <c r="B119" s="5">
        <v>30</v>
      </c>
      <c r="C119" s="5">
        <v>10</v>
      </c>
      <c r="D119" s="5">
        <v>20</v>
      </c>
      <c r="E119" s="5">
        <v>40</v>
      </c>
      <c r="F119" s="5">
        <v>30</v>
      </c>
      <c r="G119" s="5">
        <v>10</v>
      </c>
      <c r="H119" s="5">
        <v>20</v>
      </c>
    </row>
    <row r="120" spans="1:8">
      <c r="A120" s="9">
        <v>40</v>
      </c>
      <c r="B120" s="9">
        <v>20</v>
      </c>
      <c r="C120" s="9">
        <v>20</v>
      </c>
      <c r="D120" s="9">
        <v>20</v>
      </c>
      <c r="E120" s="9">
        <v>30</v>
      </c>
      <c r="F120" s="9">
        <v>10</v>
      </c>
      <c r="G120" s="9">
        <v>50</v>
      </c>
      <c r="H120" s="9">
        <v>10</v>
      </c>
    </row>
    <row r="121" spans="1:8">
      <c r="A121" s="5">
        <v>30</v>
      </c>
      <c r="B121" s="5">
        <v>10</v>
      </c>
      <c r="C121" s="5">
        <v>50</v>
      </c>
      <c r="D121" s="5">
        <v>10</v>
      </c>
      <c r="E121" s="5">
        <v>40</v>
      </c>
      <c r="F121" s="5">
        <v>20</v>
      </c>
      <c r="G121" s="5">
        <v>20</v>
      </c>
      <c r="H121" s="5">
        <v>20</v>
      </c>
    </row>
    <row r="122" spans="1:8">
      <c r="A122" s="9">
        <v>40</v>
      </c>
      <c r="B122" s="9">
        <v>20</v>
      </c>
      <c r="C122" s="9">
        <v>20</v>
      </c>
      <c r="D122" s="9">
        <v>20</v>
      </c>
      <c r="E122" s="9">
        <v>30</v>
      </c>
      <c r="F122" s="9">
        <v>10</v>
      </c>
      <c r="G122" s="9">
        <v>50</v>
      </c>
      <c r="H122" s="9">
        <v>10</v>
      </c>
    </row>
    <row r="123" spans="1:8">
      <c r="A123" s="5">
        <v>40</v>
      </c>
      <c r="B123" s="5">
        <v>20</v>
      </c>
      <c r="C123" s="5">
        <v>20</v>
      </c>
      <c r="D123" s="5">
        <v>20</v>
      </c>
      <c r="E123" s="5">
        <v>30</v>
      </c>
      <c r="F123" s="5">
        <v>10</v>
      </c>
      <c r="G123" s="5">
        <v>50</v>
      </c>
      <c r="H123" s="5">
        <v>10</v>
      </c>
    </row>
    <row r="124" spans="1:8">
      <c r="A124" s="9">
        <v>20</v>
      </c>
      <c r="B124" s="9">
        <v>50</v>
      </c>
      <c r="C124" s="9">
        <v>20</v>
      </c>
      <c r="D124" s="9">
        <v>10</v>
      </c>
      <c r="E124" s="9">
        <v>30</v>
      </c>
      <c r="F124" s="9">
        <v>30</v>
      </c>
      <c r="G124" s="9">
        <v>20</v>
      </c>
      <c r="H124" s="9">
        <v>20</v>
      </c>
    </row>
    <row r="125" spans="1:8">
      <c r="A125" s="5">
        <v>20</v>
      </c>
      <c r="B125" s="5">
        <v>50</v>
      </c>
      <c r="C125" s="5">
        <v>20</v>
      </c>
      <c r="D125" s="5">
        <v>10</v>
      </c>
      <c r="E125" s="5">
        <v>10</v>
      </c>
      <c r="F125" s="5">
        <v>20</v>
      </c>
      <c r="G125" s="5">
        <v>20</v>
      </c>
      <c r="H125" s="5">
        <v>50</v>
      </c>
    </row>
    <row r="126" spans="1:8">
      <c r="A126" s="9">
        <v>40</v>
      </c>
      <c r="B126" s="9">
        <v>20</v>
      </c>
      <c r="C126" s="9">
        <v>20</v>
      </c>
      <c r="D126" s="9">
        <v>20</v>
      </c>
      <c r="E126" s="9">
        <v>30</v>
      </c>
      <c r="F126" s="9">
        <v>10</v>
      </c>
      <c r="G126" s="9">
        <v>50</v>
      </c>
      <c r="H126" s="9">
        <v>10</v>
      </c>
    </row>
    <row r="127" spans="1:8">
      <c r="A127" s="5">
        <v>10</v>
      </c>
      <c r="B127" s="5">
        <v>20</v>
      </c>
      <c r="C127" s="5">
        <v>10</v>
      </c>
      <c r="D127" s="5">
        <v>60</v>
      </c>
      <c r="E127" s="5">
        <v>10</v>
      </c>
      <c r="F127" s="5">
        <v>70</v>
      </c>
      <c r="G127" s="5">
        <v>10</v>
      </c>
      <c r="H127" s="5">
        <v>10</v>
      </c>
    </row>
    <row r="128" spans="1:8">
      <c r="A128" s="9">
        <v>30</v>
      </c>
      <c r="B128" s="9">
        <v>25</v>
      </c>
      <c r="C128" s="9">
        <v>25</v>
      </c>
      <c r="D128" s="9">
        <v>20</v>
      </c>
      <c r="E128" s="9">
        <v>25</v>
      </c>
      <c r="F128" s="9">
        <v>25</v>
      </c>
      <c r="G128" s="9">
        <v>25</v>
      </c>
      <c r="H128" s="9">
        <v>25</v>
      </c>
    </row>
    <row r="129" spans="1:8">
      <c r="A129" s="5">
        <v>30</v>
      </c>
      <c r="B129" s="5">
        <v>20</v>
      </c>
      <c r="C129" s="5">
        <v>30</v>
      </c>
      <c r="D129" s="5">
        <v>20</v>
      </c>
      <c r="E129" s="5">
        <v>20</v>
      </c>
      <c r="F129" s="5">
        <v>20</v>
      </c>
      <c r="G129" s="5">
        <v>30</v>
      </c>
      <c r="H129" s="5">
        <v>30</v>
      </c>
    </row>
    <row r="130" spans="1:8">
      <c r="A130" s="9">
        <v>50</v>
      </c>
      <c r="B130" s="9">
        <v>30</v>
      </c>
      <c r="C130" s="9">
        <v>10</v>
      </c>
      <c r="D130" s="9">
        <v>10</v>
      </c>
      <c r="E130" s="9">
        <v>40</v>
      </c>
      <c r="F130" s="9">
        <v>30</v>
      </c>
      <c r="G130" s="9">
        <v>10</v>
      </c>
      <c r="H130" s="9">
        <v>20</v>
      </c>
    </row>
    <row r="131" spans="1:8">
      <c r="A131" s="5">
        <v>10</v>
      </c>
      <c r="B131" s="5">
        <v>70</v>
      </c>
      <c r="C131" s="5">
        <v>10</v>
      </c>
      <c r="D131" s="5">
        <v>10</v>
      </c>
      <c r="E131" s="5">
        <v>10</v>
      </c>
      <c r="F131" s="5">
        <v>10</v>
      </c>
      <c r="G131" s="5">
        <v>70</v>
      </c>
      <c r="H131" s="5">
        <v>10</v>
      </c>
    </row>
    <row r="132" spans="1:8">
      <c r="A132" s="9">
        <v>70</v>
      </c>
      <c r="B132" s="9">
        <v>10</v>
      </c>
      <c r="C132" s="9">
        <v>10</v>
      </c>
      <c r="D132" s="9">
        <v>10</v>
      </c>
      <c r="E132" s="9">
        <v>50</v>
      </c>
      <c r="F132" s="9">
        <v>30</v>
      </c>
      <c r="G132" s="9">
        <v>10</v>
      </c>
      <c r="H132" s="9">
        <v>10</v>
      </c>
    </row>
    <row r="133" spans="1:8">
      <c r="A133" s="5">
        <v>20</v>
      </c>
      <c r="B133" s="5">
        <v>20</v>
      </c>
      <c r="C133" s="5">
        <v>20</v>
      </c>
      <c r="D133" s="5">
        <v>40</v>
      </c>
      <c r="E133" s="5">
        <v>40</v>
      </c>
      <c r="F133" s="5">
        <v>20</v>
      </c>
      <c r="G133" s="5">
        <v>20</v>
      </c>
      <c r="H133" s="5">
        <v>20</v>
      </c>
    </row>
    <row r="134" spans="1:8">
      <c r="A134" s="9"/>
      <c r="B134" s="9"/>
      <c r="C134" s="9"/>
      <c r="D134" s="9"/>
      <c r="E134" s="9"/>
      <c r="F134" s="9"/>
      <c r="G134" s="9"/>
      <c r="H134" s="9"/>
    </row>
    <row r="135" spans="1:8">
      <c r="A135" s="5"/>
      <c r="B135" s="5"/>
      <c r="C135" s="5"/>
      <c r="D135" s="5"/>
      <c r="E135" s="5"/>
      <c r="F135" s="5"/>
      <c r="G135" s="5"/>
      <c r="H135" s="5"/>
    </row>
    <row r="136" spans="1:8">
      <c r="A136" s="9"/>
      <c r="B136" s="9"/>
      <c r="C136" s="9"/>
      <c r="D136" s="9"/>
      <c r="E136" s="9"/>
      <c r="F136" s="9"/>
      <c r="G136" s="9"/>
      <c r="H136" s="9"/>
    </row>
    <row r="137" spans="1:8">
      <c r="A137" s="5"/>
      <c r="B137" s="5"/>
      <c r="C137" s="5"/>
      <c r="D137" s="5"/>
      <c r="E137" s="5"/>
      <c r="F137" s="5"/>
      <c r="G137" s="5"/>
      <c r="H137" s="5"/>
    </row>
    <row r="138" spans="1:8">
      <c r="A138" s="9"/>
      <c r="B138" s="9"/>
      <c r="C138" s="9"/>
      <c r="D138" s="9"/>
      <c r="E138" s="9"/>
      <c r="F138" s="9"/>
      <c r="G138" s="9"/>
      <c r="H138" s="9"/>
    </row>
    <row r="139" spans="1:8">
      <c r="A139" s="5"/>
      <c r="B139" s="5"/>
      <c r="C139" s="5"/>
      <c r="D139" s="5"/>
      <c r="E139" s="5"/>
      <c r="F139" s="5"/>
      <c r="G139" s="5"/>
      <c r="H139" s="5"/>
    </row>
    <row r="140" spans="1:8">
      <c r="A140" s="9"/>
      <c r="B140" s="9"/>
      <c r="C140" s="9"/>
      <c r="D140" s="9"/>
      <c r="E140" s="9"/>
      <c r="F140" s="9"/>
      <c r="G140" s="9"/>
      <c r="H140" s="9"/>
    </row>
    <row r="141" spans="1:8">
      <c r="A141" s="5"/>
      <c r="B141" s="5"/>
      <c r="C141" s="5"/>
      <c r="D141" s="5"/>
      <c r="E141" s="5"/>
      <c r="F141" s="5"/>
      <c r="G141" s="5"/>
      <c r="H141" s="5"/>
    </row>
    <row r="142" spans="1:8">
      <c r="A142" s="9"/>
      <c r="B142" s="9"/>
      <c r="C142" s="9"/>
      <c r="D142" s="9"/>
      <c r="E142" s="9"/>
      <c r="F142" s="9"/>
      <c r="G142" s="9"/>
      <c r="H142" s="9"/>
    </row>
    <row r="143" spans="1:8">
      <c r="A143" s="5"/>
      <c r="B143" s="5"/>
      <c r="C143" s="5"/>
      <c r="D143" s="5"/>
      <c r="E143" s="5"/>
      <c r="F143" s="5"/>
      <c r="G143" s="5"/>
      <c r="H143" s="5"/>
    </row>
    <row r="144" spans="1:8">
      <c r="A144" s="9"/>
      <c r="B144" s="9"/>
      <c r="C144" s="9"/>
      <c r="D144" s="9"/>
      <c r="E144" s="9"/>
      <c r="F144" s="9"/>
      <c r="G144" s="9"/>
      <c r="H144" s="9"/>
    </row>
    <row r="145" spans="1:8">
      <c r="A145" s="5"/>
      <c r="B145" s="5"/>
      <c r="C145" s="5"/>
      <c r="D145" s="5"/>
      <c r="E145" s="5"/>
      <c r="F145" s="5"/>
      <c r="G145" s="5"/>
      <c r="H145" s="5"/>
    </row>
    <row r="146" spans="1:8">
      <c r="A146" s="9"/>
      <c r="B146" s="9"/>
      <c r="C146" s="9"/>
      <c r="D146" s="9"/>
      <c r="E146" s="9"/>
      <c r="F146" s="9"/>
      <c r="G146" s="9"/>
      <c r="H146" s="9"/>
    </row>
    <row r="147" spans="1:8">
      <c r="A147" s="5"/>
      <c r="B147" s="5"/>
      <c r="C147" s="5"/>
      <c r="D147" s="5"/>
      <c r="E147" s="5"/>
      <c r="F147" s="5"/>
      <c r="G147" s="5"/>
      <c r="H147" s="5"/>
    </row>
    <row r="148" spans="1:8">
      <c r="A148" s="9"/>
      <c r="B148" s="9"/>
      <c r="C148" s="9"/>
      <c r="D148" s="9"/>
      <c r="E148" s="9"/>
      <c r="F148" s="9"/>
      <c r="G148" s="9"/>
      <c r="H148" s="9"/>
    </row>
    <row r="149" spans="1:8">
      <c r="A149" s="5"/>
      <c r="B149" s="5"/>
      <c r="C149" s="5"/>
      <c r="D149" s="5"/>
      <c r="E149" s="5"/>
      <c r="F149" s="5"/>
      <c r="G149" s="5"/>
      <c r="H149" s="5"/>
    </row>
    <row r="150" spans="1:8">
      <c r="A150" s="9"/>
      <c r="B150" s="9"/>
      <c r="C150" s="9"/>
      <c r="D150" s="9"/>
      <c r="E150" s="9"/>
      <c r="F150" s="9"/>
      <c r="G150" s="9"/>
      <c r="H150" s="9"/>
    </row>
    <row r="151" spans="1:8">
      <c r="A151" s="5"/>
      <c r="B151" s="5"/>
      <c r="C151" s="5"/>
      <c r="D151" s="5"/>
      <c r="E151" s="5"/>
      <c r="F151" s="5"/>
      <c r="G151" s="5"/>
      <c r="H151" s="5"/>
    </row>
    <row r="152" spans="1:8">
      <c r="A152" s="9"/>
      <c r="B152" s="9"/>
      <c r="C152" s="9"/>
      <c r="D152" s="9"/>
      <c r="E152" s="9"/>
      <c r="F152" s="9"/>
      <c r="G152" s="9"/>
      <c r="H152" s="9"/>
    </row>
    <row r="153" spans="1:8">
      <c r="A153" s="5"/>
      <c r="B153" s="5"/>
      <c r="C153" s="5"/>
      <c r="D153" s="5"/>
      <c r="E153" s="5"/>
      <c r="F153" s="5"/>
      <c r="G153" s="5"/>
      <c r="H153" s="5"/>
    </row>
    <row r="154" spans="1:8">
      <c r="A154" s="9"/>
      <c r="B154" s="9"/>
      <c r="C154" s="9"/>
      <c r="D154" s="9"/>
      <c r="E154" s="9"/>
      <c r="F154" s="9"/>
      <c r="G154" s="9"/>
      <c r="H154" s="9"/>
    </row>
    <row r="155" spans="1:8">
      <c r="A155" s="5"/>
      <c r="B155" s="5"/>
      <c r="C155" s="5"/>
      <c r="D155" s="5"/>
      <c r="E155" s="5"/>
      <c r="F155" s="5"/>
      <c r="G155" s="5"/>
      <c r="H155" s="5"/>
    </row>
    <row r="156" spans="1:8">
      <c r="A156" s="9"/>
      <c r="B156" s="9"/>
      <c r="C156" s="9"/>
      <c r="D156" s="9"/>
      <c r="E156" s="9"/>
      <c r="F156" s="9"/>
      <c r="G156" s="9"/>
      <c r="H156" s="9"/>
    </row>
    <row r="157" spans="1:8">
      <c r="A157" s="5"/>
      <c r="B157" s="5"/>
      <c r="C157" s="5"/>
      <c r="D157" s="5"/>
      <c r="E157" s="5"/>
      <c r="F157" s="5"/>
      <c r="G157" s="5"/>
      <c r="H157" s="5"/>
    </row>
    <row r="158" spans="1:8">
      <c r="A158" s="9"/>
      <c r="B158" s="9"/>
      <c r="C158" s="9"/>
      <c r="D158" s="9"/>
      <c r="E158" s="9"/>
      <c r="F158" s="9"/>
      <c r="G158" s="9"/>
      <c r="H158" s="9"/>
    </row>
    <row r="159" spans="1:8">
      <c r="A159" s="5"/>
      <c r="B159" s="5"/>
      <c r="C159" s="5"/>
      <c r="D159" s="5"/>
      <c r="E159" s="5"/>
      <c r="F159" s="5"/>
      <c r="G159" s="5"/>
      <c r="H159" s="5"/>
    </row>
    <row r="160" spans="1:8">
      <c r="A160" s="9"/>
      <c r="B160" s="9"/>
      <c r="C160" s="9"/>
      <c r="D160" s="9"/>
      <c r="E160" s="9"/>
      <c r="F160" s="9"/>
      <c r="G160" s="9"/>
      <c r="H160" s="9"/>
    </row>
    <row r="161" spans="1:8">
      <c r="A161" s="5"/>
      <c r="B161" s="5"/>
      <c r="C161" s="5"/>
      <c r="D161" s="5"/>
      <c r="E161" s="5"/>
      <c r="F161" s="5"/>
      <c r="G161" s="5"/>
      <c r="H161" s="5"/>
    </row>
    <row r="162" spans="1:8">
      <c r="A162" s="9"/>
      <c r="B162" s="9"/>
      <c r="C162" s="9"/>
      <c r="D162" s="9"/>
      <c r="E162" s="9"/>
      <c r="F162" s="9"/>
      <c r="G162" s="9"/>
      <c r="H162" s="9"/>
    </row>
    <row r="163" spans="1:8">
      <c r="A163" s="5"/>
      <c r="B163" s="5"/>
      <c r="C163" s="5"/>
      <c r="D163" s="5"/>
      <c r="E163" s="5"/>
      <c r="F163" s="5"/>
      <c r="G163" s="5"/>
      <c r="H163" s="5"/>
    </row>
    <row r="164" spans="1:8">
      <c r="A164" s="9"/>
      <c r="B164" s="9"/>
      <c r="C164" s="9"/>
      <c r="D164" s="9"/>
      <c r="E164" s="9"/>
      <c r="F164" s="9"/>
      <c r="G164" s="9"/>
      <c r="H164" s="9"/>
    </row>
    <row r="165" spans="1:8">
      <c r="A165" s="5"/>
      <c r="B165" s="5"/>
      <c r="C165" s="5"/>
      <c r="D165" s="5"/>
      <c r="E165" s="5"/>
      <c r="F165" s="5"/>
      <c r="G165" s="5"/>
      <c r="H165" s="5"/>
    </row>
    <row r="166" spans="1:8">
      <c r="A166" s="9"/>
      <c r="B166" s="9"/>
      <c r="C166" s="9"/>
      <c r="D166" s="9"/>
      <c r="E166" s="9"/>
      <c r="F166" s="9"/>
      <c r="G166" s="9"/>
      <c r="H166" s="9"/>
    </row>
    <row r="167" spans="1:8">
      <c r="A167" s="5"/>
      <c r="B167" s="5"/>
      <c r="C167" s="5"/>
      <c r="D167" s="5"/>
      <c r="E167" s="5"/>
      <c r="F167" s="5"/>
      <c r="G167" s="5"/>
      <c r="H167" s="5"/>
    </row>
    <row r="168" spans="1:8">
      <c r="A168" s="9"/>
      <c r="B168" s="9"/>
      <c r="C168" s="9"/>
      <c r="D168" s="9"/>
      <c r="E168" s="9"/>
      <c r="F168" s="9"/>
      <c r="G168" s="9"/>
      <c r="H168" s="9"/>
    </row>
    <row r="169" spans="1:8">
      <c r="A169" s="5"/>
      <c r="B169" s="5"/>
      <c r="C169" s="5"/>
      <c r="D169" s="5"/>
      <c r="E169" s="5"/>
      <c r="F169" s="5"/>
      <c r="G169" s="5"/>
      <c r="H169" s="5"/>
    </row>
    <row r="170" spans="1:8">
      <c r="A170" s="9"/>
      <c r="B170" s="9"/>
      <c r="C170" s="9"/>
      <c r="D170" s="9"/>
      <c r="E170" s="9"/>
      <c r="F170" s="9"/>
      <c r="G170" s="9"/>
      <c r="H170" s="9"/>
    </row>
    <row r="171" spans="1:8">
      <c r="A171" s="5"/>
      <c r="B171" s="5"/>
      <c r="C171" s="5"/>
      <c r="D171" s="5"/>
      <c r="E171" s="5"/>
      <c r="F171" s="5"/>
      <c r="G171" s="5"/>
      <c r="H171" s="5"/>
    </row>
    <row r="172" spans="1:8">
      <c r="A172" s="9"/>
      <c r="B172" s="9"/>
      <c r="C172" s="9"/>
      <c r="D172" s="9"/>
      <c r="E172" s="9"/>
      <c r="F172" s="9"/>
      <c r="G172" s="9"/>
      <c r="H172" s="9"/>
    </row>
    <row r="173" spans="1:8">
      <c r="A173" s="5"/>
      <c r="B173" s="5"/>
      <c r="C173" s="5"/>
      <c r="D173" s="5"/>
      <c r="E173" s="5"/>
      <c r="F173" s="5"/>
      <c r="G173" s="5"/>
      <c r="H173" s="5"/>
    </row>
    <row r="174" spans="1:8">
      <c r="A174" s="9"/>
      <c r="B174" s="9"/>
      <c r="C174" s="9"/>
      <c r="D174" s="9"/>
      <c r="E174" s="9"/>
      <c r="F174" s="9"/>
      <c r="G174" s="9"/>
      <c r="H174" s="9"/>
    </row>
    <row r="175" spans="1:8">
      <c r="A175" s="5"/>
      <c r="B175" s="5"/>
      <c r="C175" s="5"/>
      <c r="D175" s="5"/>
      <c r="E175" s="5"/>
      <c r="F175" s="5"/>
      <c r="G175" s="5"/>
      <c r="H175" s="5"/>
    </row>
    <row r="176" spans="1:8">
      <c r="A176" s="9"/>
      <c r="B176" s="9"/>
      <c r="C176" s="9"/>
      <c r="D176" s="9"/>
      <c r="E176" s="9"/>
      <c r="F176" s="9"/>
      <c r="G176" s="9"/>
      <c r="H176" s="9"/>
    </row>
    <row r="177" spans="1:8">
      <c r="A177" s="5"/>
      <c r="B177" s="5"/>
      <c r="C177" s="5"/>
      <c r="D177" s="5"/>
      <c r="E177" s="5"/>
      <c r="F177" s="5"/>
      <c r="G177" s="5"/>
      <c r="H177" s="5"/>
    </row>
    <row r="178" spans="1:8">
      <c r="A178" s="9"/>
      <c r="B178" s="9"/>
      <c r="C178" s="9"/>
      <c r="D178" s="9"/>
      <c r="E178" s="9"/>
      <c r="F178" s="9"/>
      <c r="G178" s="9"/>
      <c r="H178" s="9"/>
    </row>
    <row r="179" spans="1:8">
      <c r="A179" s="5"/>
      <c r="B179" s="5"/>
      <c r="C179" s="5"/>
      <c r="D179" s="5"/>
      <c r="E179" s="5"/>
      <c r="F179" s="5"/>
      <c r="G179" s="5"/>
      <c r="H179" s="5"/>
    </row>
    <row r="180" spans="1:8">
      <c r="A180" s="9"/>
      <c r="B180" s="9"/>
      <c r="C180" s="9"/>
      <c r="D180" s="9"/>
      <c r="E180" s="9"/>
      <c r="F180" s="9"/>
      <c r="G180" s="9"/>
      <c r="H180" s="9"/>
    </row>
    <row r="181" spans="1:8">
      <c r="A181" s="5"/>
      <c r="B181" s="5"/>
      <c r="C181" s="5"/>
      <c r="D181" s="5"/>
      <c r="E181" s="5"/>
      <c r="F181" s="5"/>
      <c r="G181" s="5"/>
      <c r="H181" s="5"/>
    </row>
    <row r="182" spans="1:8">
      <c r="A182" s="9"/>
      <c r="B182" s="9"/>
      <c r="C182" s="9"/>
      <c r="D182" s="9"/>
      <c r="E182" s="9"/>
      <c r="F182" s="9"/>
      <c r="G182" s="9"/>
      <c r="H182" s="9"/>
    </row>
    <row r="183" spans="1:8">
      <c r="A183" s="38"/>
      <c r="B183" s="38"/>
      <c r="C183" s="38"/>
      <c r="D183" s="38"/>
      <c r="E183" s="38"/>
      <c r="F183" s="38"/>
      <c r="G183" s="38"/>
      <c r="H183" s="38"/>
    </row>
    <row r="186" spans="1:8">
      <c r="A186" s="42"/>
      <c r="B186" s="42"/>
      <c r="C186" s="42"/>
      <c r="D186" s="42"/>
      <c r="E186" s="42"/>
      <c r="F186" s="42"/>
      <c r="G186" s="42"/>
      <c r="H186" s="42"/>
    </row>
  </sheetData>
  <mergeCells count="2">
    <mergeCell ref="A1:D1"/>
    <mergeCell ref="E1:H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2732-9202-4499-A290-AD07A6B153FA}">
  <dimension ref="A1:L186"/>
  <sheetViews>
    <sheetView topLeftCell="K1" workbookViewId="0">
      <selection activeCell="J1" sqref="J1:L5"/>
    </sheetView>
  </sheetViews>
  <sheetFormatPr defaultRowHeight="14.5"/>
  <cols>
    <col min="1" max="1" width="4.1796875" bestFit="1" customWidth="1"/>
    <col min="3" max="3" width="6.26953125" bestFit="1" customWidth="1"/>
    <col min="4" max="4" width="8" bestFit="1" customWidth="1"/>
    <col min="5" max="5" width="4.1796875" bestFit="1" customWidth="1"/>
    <col min="7" max="7" width="6.26953125" bestFit="1" customWidth="1"/>
    <col min="8" max="8" width="8" bestFit="1" customWidth="1"/>
  </cols>
  <sheetData>
    <row r="1" spans="1:12">
      <c r="A1" s="46" t="s">
        <v>74</v>
      </c>
      <c r="B1" s="46"/>
      <c r="C1" s="46"/>
      <c r="D1" s="46"/>
      <c r="E1" s="46" t="s">
        <v>75</v>
      </c>
      <c r="F1" s="46"/>
      <c r="G1" s="46"/>
      <c r="H1" s="46"/>
      <c r="J1" s="44"/>
      <c r="K1" s="44" t="s">
        <v>80</v>
      </c>
      <c r="L1" s="44" t="s">
        <v>82</v>
      </c>
    </row>
    <row r="2" spans="1:12">
      <c r="A2" s="2" t="s">
        <v>76</v>
      </c>
      <c r="B2" s="2" t="s">
        <v>77</v>
      </c>
      <c r="C2" s="2" t="s">
        <v>78</v>
      </c>
      <c r="D2" s="2" t="s">
        <v>79</v>
      </c>
      <c r="E2" s="2" t="s">
        <v>76</v>
      </c>
      <c r="F2" s="2" t="s">
        <v>77</v>
      </c>
      <c r="G2" s="2" t="s">
        <v>78</v>
      </c>
      <c r="H2" s="2" t="s">
        <v>79</v>
      </c>
      <c r="J2" s="45" t="s">
        <v>76</v>
      </c>
      <c r="K2" s="44">
        <f>AVERAGE(E3:E133)</f>
        <v>31.259541984732824</v>
      </c>
      <c r="L2" s="44">
        <f>AVERAGE(A3:A133)</f>
        <v>33.549618320610683</v>
      </c>
    </row>
    <row r="3" spans="1:12">
      <c r="A3" s="5">
        <v>20</v>
      </c>
      <c r="B3" s="5">
        <v>20</v>
      </c>
      <c r="C3" s="5">
        <v>30</v>
      </c>
      <c r="D3" s="5">
        <v>30</v>
      </c>
      <c r="E3" s="5">
        <v>20</v>
      </c>
      <c r="F3" s="5">
        <v>20</v>
      </c>
      <c r="G3" s="5">
        <v>30</v>
      </c>
      <c r="H3" s="5">
        <v>30</v>
      </c>
      <c r="J3" s="45" t="s">
        <v>77</v>
      </c>
      <c r="K3" s="44">
        <f>AVERAGE(F3:F133)</f>
        <v>22.137404580152673</v>
      </c>
      <c r="L3" s="44">
        <f>AVERAGE(B3:B133)</f>
        <v>21.679389312977101</v>
      </c>
    </row>
    <row r="4" spans="1:12">
      <c r="A4" s="9">
        <v>30</v>
      </c>
      <c r="B4" s="9">
        <v>30</v>
      </c>
      <c r="C4" s="9">
        <v>20</v>
      </c>
      <c r="D4" s="9">
        <v>20</v>
      </c>
      <c r="E4" s="9">
        <v>30</v>
      </c>
      <c r="F4" s="9">
        <v>30</v>
      </c>
      <c r="G4" s="9">
        <v>20</v>
      </c>
      <c r="H4" s="9">
        <v>20</v>
      </c>
      <c r="J4" s="45" t="s">
        <v>78</v>
      </c>
      <c r="K4" s="44">
        <f>AVERAGE(G3:G133)</f>
        <v>23.091603053435115</v>
      </c>
      <c r="L4" s="44">
        <f>AVERAGE(C3:C133)</f>
        <v>21.984732824427482</v>
      </c>
    </row>
    <row r="5" spans="1:12">
      <c r="A5" s="5">
        <v>25</v>
      </c>
      <c r="B5" s="5">
        <v>25</v>
      </c>
      <c r="C5" s="5">
        <v>25</v>
      </c>
      <c r="D5" s="5">
        <v>25</v>
      </c>
      <c r="E5" s="5">
        <v>25</v>
      </c>
      <c r="F5" s="5">
        <v>25</v>
      </c>
      <c r="G5" s="5">
        <v>25</v>
      </c>
      <c r="H5" s="5">
        <v>25</v>
      </c>
      <c r="J5" s="45" t="s">
        <v>79</v>
      </c>
      <c r="K5" s="44">
        <f>AVERAGE(H3:H133)</f>
        <v>23.511450381679388</v>
      </c>
      <c r="L5" s="44">
        <f>AVERAGE(D3:D133)</f>
        <v>22.786259541984734</v>
      </c>
    </row>
    <row r="6" spans="1:12">
      <c r="A6" s="9">
        <v>30</v>
      </c>
      <c r="B6" s="9">
        <v>20</v>
      </c>
      <c r="C6" s="9">
        <v>30</v>
      </c>
      <c r="D6" s="9">
        <v>20</v>
      </c>
      <c r="E6" s="9">
        <v>30</v>
      </c>
      <c r="F6" s="9">
        <v>20</v>
      </c>
      <c r="G6" s="9">
        <v>30</v>
      </c>
      <c r="H6" s="9">
        <v>20</v>
      </c>
    </row>
    <row r="7" spans="1:12">
      <c r="A7" s="5">
        <v>40</v>
      </c>
      <c r="B7" s="5">
        <v>20</v>
      </c>
      <c r="C7" s="5">
        <v>20</v>
      </c>
      <c r="D7" s="5">
        <v>20</v>
      </c>
      <c r="E7" s="5">
        <v>40</v>
      </c>
      <c r="F7" s="5">
        <v>20</v>
      </c>
      <c r="G7" s="5">
        <v>20</v>
      </c>
      <c r="H7" s="5">
        <v>20</v>
      </c>
    </row>
    <row r="8" spans="1:12">
      <c r="A8" s="9">
        <v>30</v>
      </c>
      <c r="B8" s="9">
        <v>30</v>
      </c>
      <c r="C8" s="9">
        <v>20</v>
      </c>
      <c r="D8" s="9">
        <v>20</v>
      </c>
      <c r="E8" s="9">
        <v>20</v>
      </c>
      <c r="F8" s="9">
        <v>30</v>
      </c>
      <c r="G8" s="9">
        <v>30</v>
      </c>
      <c r="H8" s="9">
        <v>20</v>
      </c>
    </row>
    <row r="9" spans="1:12">
      <c r="A9" s="5">
        <v>25</v>
      </c>
      <c r="B9" s="5">
        <v>25</v>
      </c>
      <c r="C9" s="5">
        <v>25</v>
      </c>
      <c r="D9" s="5">
        <v>25</v>
      </c>
      <c r="E9" s="5">
        <v>25</v>
      </c>
      <c r="F9" s="5">
        <v>25</v>
      </c>
      <c r="G9" s="5">
        <v>25</v>
      </c>
      <c r="H9" s="5">
        <v>25</v>
      </c>
    </row>
    <row r="10" spans="1:12">
      <c r="A10" s="9">
        <v>25</v>
      </c>
      <c r="B10" s="9">
        <v>25</v>
      </c>
      <c r="C10" s="9">
        <v>25</v>
      </c>
      <c r="D10" s="9">
        <v>25</v>
      </c>
      <c r="E10" s="9">
        <v>25</v>
      </c>
      <c r="F10" s="9">
        <v>25</v>
      </c>
      <c r="G10" s="9">
        <v>25</v>
      </c>
      <c r="H10" s="9">
        <v>25</v>
      </c>
    </row>
    <row r="11" spans="1:12">
      <c r="A11" s="5">
        <v>25</v>
      </c>
      <c r="B11" s="5">
        <v>25</v>
      </c>
      <c r="C11" s="5">
        <v>25</v>
      </c>
      <c r="D11" s="5">
        <v>25</v>
      </c>
      <c r="E11" s="5">
        <v>25</v>
      </c>
      <c r="F11" s="5">
        <v>25</v>
      </c>
      <c r="G11" s="5">
        <v>25</v>
      </c>
      <c r="H11" s="5">
        <v>25</v>
      </c>
    </row>
    <row r="12" spans="1:12">
      <c r="A12" s="9">
        <v>20</v>
      </c>
      <c r="B12" s="9">
        <v>20</v>
      </c>
      <c r="C12" s="9">
        <v>30</v>
      </c>
      <c r="D12" s="9">
        <v>30</v>
      </c>
      <c r="E12" s="9">
        <v>30</v>
      </c>
      <c r="F12" s="9">
        <v>30</v>
      </c>
      <c r="G12" s="9">
        <v>20</v>
      </c>
      <c r="H12" s="9">
        <v>20</v>
      </c>
    </row>
    <row r="13" spans="1:12">
      <c r="A13" s="5">
        <v>30</v>
      </c>
      <c r="B13" s="5">
        <v>20</v>
      </c>
      <c r="C13" s="5">
        <v>30</v>
      </c>
      <c r="D13" s="5">
        <v>20</v>
      </c>
      <c r="E13" s="5">
        <v>35</v>
      </c>
      <c r="F13" s="5">
        <v>35</v>
      </c>
      <c r="G13" s="5">
        <v>10</v>
      </c>
      <c r="H13" s="5">
        <v>20</v>
      </c>
    </row>
    <row r="14" spans="1:12">
      <c r="A14" s="9">
        <v>25</v>
      </c>
      <c r="B14" s="9">
        <v>25</v>
      </c>
      <c r="C14" s="9">
        <v>25</v>
      </c>
      <c r="D14" s="9">
        <v>25</v>
      </c>
      <c r="E14" s="9">
        <v>25</v>
      </c>
      <c r="F14" s="9">
        <v>25</v>
      </c>
      <c r="G14" s="9">
        <v>25</v>
      </c>
      <c r="H14" s="9">
        <v>25</v>
      </c>
    </row>
    <row r="15" spans="1:12">
      <c r="A15" s="5">
        <v>25</v>
      </c>
      <c r="B15" s="5">
        <v>25</v>
      </c>
      <c r="C15" s="5">
        <v>25</v>
      </c>
      <c r="D15" s="5">
        <v>25</v>
      </c>
      <c r="E15" s="5">
        <v>25</v>
      </c>
      <c r="F15" s="5">
        <v>25</v>
      </c>
      <c r="G15" s="5">
        <v>25</v>
      </c>
      <c r="H15" s="5">
        <v>25</v>
      </c>
    </row>
    <row r="16" spans="1:12">
      <c r="A16" s="9">
        <v>30</v>
      </c>
      <c r="B16" s="9">
        <v>20</v>
      </c>
      <c r="C16" s="9">
        <v>20</v>
      </c>
      <c r="D16" s="9">
        <v>30</v>
      </c>
      <c r="E16" s="9">
        <v>30</v>
      </c>
      <c r="F16" s="9">
        <v>20</v>
      </c>
      <c r="G16" s="9">
        <v>20</v>
      </c>
      <c r="H16" s="9">
        <v>30</v>
      </c>
    </row>
    <row r="17" spans="1:8">
      <c r="A17" s="5">
        <v>30</v>
      </c>
      <c r="B17" s="5">
        <v>30</v>
      </c>
      <c r="C17" s="5">
        <v>20</v>
      </c>
      <c r="D17" s="5">
        <v>20</v>
      </c>
      <c r="E17" s="5">
        <v>30</v>
      </c>
      <c r="F17" s="5">
        <v>30</v>
      </c>
      <c r="G17" s="5">
        <v>20</v>
      </c>
      <c r="H17" s="5">
        <v>20</v>
      </c>
    </row>
    <row r="18" spans="1:8">
      <c r="A18" s="9">
        <v>25</v>
      </c>
      <c r="B18" s="9">
        <v>25</v>
      </c>
      <c r="C18" s="9">
        <v>25</v>
      </c>
      <c r="D18" s="9">
        <v>25</v>
      </c>
      <c r="E18" s="9">
        <v>25</v>
      </c>
      <c r="F18" s="9">
        <v>25</v>
      </c>
      <c r="G18" s="9">
        <v>25</v>
      </c>
      <c r="H18" s="9">
        <v>25</v>
      </c>
    </row>
    <row r="19" spans="1:8">
      <c r="A19" s="5">
        <v>20</v>
      </c>
      <c r="B19" s="5">
        <v>20</v>
      </c>
      <c r="C19" s="5">
        <v>20</v>
      </c>
      <c r="D19" s="5">
        <v>40</v>
      </c>
      <c r="E19" s="5">
        <v>20</v>
      </c>
      <c r="F19" s="5">
        <v>20</v>
      </c>
      <c r="G19" s="5">
        <v>30</v>
      </c>
      <c r="H19" s="5">
        <v>30</v>
      </c>
    </row>
    <row r="20" spans="1:8">
      <c r="A20" s="9">
        <v>20</v>
      </c>
      <c r="B20" s="9">
        <v>30</v>
      </c>
      <c r="C20" s="9">
        <v>20</v>
      </c>
      <c r="D20" s="9">
        <v>30</v>
      </c>
      <c r="E20" s="9">
        <v>20</v>
      </c>
      <c r="F20" s="9">
        <v>30</v>
      </c>
      <c r="G20" s="9">
        <v>20</v>
      </c>
      <c r="H20" s="9">
        <v>30</v>
      </c>
    </row>
    <row r="21" spans="1:8">
      <c r="A21" s="5">
        <v>30</v>
      </c>
      <c r="B21" s="5">
        <v>10</v>
      </c>
      <c r="C21" s="5">
        <v>30</v>
      </c>
      <c r="D21" s="5">
        <v>30</v>
      </c>
      <c r="E21" s="5">
        <v>20</v>
      </c>
      <c r="F21" s="5">
        <v>30</v>
      </c>
      <c r="G21" s="5">
        <v>20</v>
      </c>
      <c r="H21" s="5">
        <v>30</v>
      </c>
    </row>
    <row r="22" spans="1:8">
      <c r="A22" s="9">
        <v>25</v>
      </c>
      <c r="B22" s="9">
        <v>25</v>
      </c>
      <c r="C22" s="9">
        <v>25</v>
      </c>
      <c r="D22" s="9">
        <v>25</v>
      </c>
      <c r="E22" s="9">
        <v>25</v>
      </c>
      <c r="F22" s="9">
        <v>25</v>
      </c>
      <c r="G22" s="9">
        <v>25</v>
      </c>
      <c r="H22" s="9">
        <v>25</v>
      </c>
    </row>
    <row r="23" spans="1:8">
      <c r="A23" s="5">
        <v>70</v>
      </c>
      <c r="B23" s="5">
        <v>10</v>
      </c>
      <c r="C23" s="5">
        <v>10</v>
      </c>
      <c r="D23" s="5">
        <v>10</v>
      </c>
      <c r="E23" s="5">
        <v>70</v>
      </c>
      <c r="F23" s="5">
        <v>10</v>
      </c>
      <c r="G23" s="5">
        <v>10</v>
      </c>
      <c r="H23" s="5">
        <v>10</v>
      </c>
    </row>
    <row r="24" spans="1:8">
      <c r="A24" s="9">
        <v>40</v>
      </c>
      <c r="B24" s="9">
        <v>10</v>
      </c>
      <c r="C24" s="9">
        <v>20</v>
      </c>
      <c r="D24" s="9">
        <v>30</v>
      </c>
      <c r="E24" s="9">
        <v>10</v>
      </c>
      <c r="F24" s="9">
        <v>20</v>
      </c>
      <c r="G24" s="9">
        <v>30</v>
      </c>
      <c r="H24" s="9">
        <v>40</v>
      </c>
    </row>
    <row r="25" spans="1:8">
      <c r="A25" s="5">
        <v>25</v>
      </c>
      <c r="B25" s="5">
        <v>25</v>
      </c>
      <c r="C25" s="5">
        <v>25</v>
      </c>
      <c r="D25" s="5">
        <v>25</v>
      </c>
      <c r="E25" s="5">
        <v>25</v>
      </c>
      <c r="F25" s="5">
        <v>25</v>
      </c>
      <c r="G25" s="5">
        <v>25</v>
      </c>
      <c r="H25" s="5">
        <v>25</v>
      </c>
    </row>
    <row r="26" spans="1:8">
      <c r="A26" s="9">
        <v>40</v>
      </c>
      <c r="B26" s="9">
        <v>20</v>
      </c>
      <c r="C26" s="9">
        <v>20</v>
      </c>
      <c r="D26" s="9">
        <v>20</v>
      </c>
      <c r="E26" s="9">
        <v>40</v>
      </c>
      <c r="F26" s="9">
        <v>20</v>
      </c>
      <c r="G26" s="9">
        <v>20</v>
      </c>
      <c r="H26" s="9">
        <v>20</v>
      </c>
    </row>
    <row r="27" spans="1:8">
      <c r="A27" s="5">
        <v>70</v>
      </c>
      <c r="B27" s="5">
        <v>10</v>
      </c>
      <c r="C27" s="5">
        <v>10</v>
      </c>
      <c r="D27" s="5">
        <v>10</v>
      </c>
      <c r="E27" s="5">
        <v>70</v>
      </c>
      <c r="F27" s="5">
        <v>10</v>
      </c>
      <c r="G27" s="5">
        <v>10</v>
      </c>
      <c r="H27" s="5">
        <v>10</v>
      </c>
    </row>
    <row r="28" spans="1:8">
      <c r="A28" s="9">
        <v>30</v>
      </c>
      <c r="B28" s="9">
        <v>20</v>
      </c>
      <c r="C28" s="9">
        <v>20</v>
      </c>
      <c r="D28" s="9">
        <v>30</v>
      </c>
      <c r="E28" s="9">
        <v>30</v>
      </c>
      <c r="F28" s="9">
        <v>20</v>
      </c>
      <c r="G28" s="9">
        <v>20</v>
      </c>
      <c r="H28" s="9">
        <v>30</v>
      </c>
    </row>
    <row r="29" spans="1:8">
      <c r="A29" s="5">
        <v>20</v>
      </c>
      <c r="B29" s="5">
        <v>40</v>
      </c>
      <c r="C29" s="5">
        <v>20</v>
      </c>
      <c r="D29" s="5">
        <v>20</v>
      </c>
      <c r="E29" s="5">
        <v>30</v>
      </c>
      <c r="F29" s="5">
        <v>30</v>
      </c>
      <c r="G29" s="5">
        <v>20</v>
      </c>
      <c r="H29" s="5">
        <v>20</v>
      </c>
    </row>
    <row r="30" spans="1:8">
      <c r="A30" s="9">
        <v>25</v>
      </c>
      <c r="B30" s="9">
        <v>25</v>
      </c>
      <c r="C30" s="9">
        <v>25</v>
      </c>
      <c r="D30" s="9">
        <v>25</v>
      </c>
      <c r="E30" s="9">
        <v>25</v>
      </c>
      <c r="F30" s="9">
        <v>25</v>
      </c>
      <c r="G30" s="9">
        <v>25</v>
      </c>
      <c r="H30" s="9">
        <v>25</v>
      </c>
    </row>
    <row r="31" spans="1:8">
      <c r="A31" s="5">
        <v>50</v>
      </c>
      <c r="B31" s="5">
        <v>10</v>
      </c>
      <c r="C31" s="5">
        <v>20</v>
      </c>
      <c r="D31" s="5">
        <v>20</v>
      </c>
      <c r="E31" s="5">
        <v>30</v>
      </c>
      <c r="F31" s="5">
        <v>10</v>
      </c>
      <c r="G31" s="5">
        <v>30</v>
      </c>
      <c r="H31" s="5">
        <v>30</v>
      </c>
    </row>
    <row r="32" spans="1:8">
      <c r="A32" s="9">
        <v>30</v>
      </c>
      <c r="B32" s="9">
        <v>20</v>
      </c>
      <c r="C32" s="9">
        <v>20</v>
      </c>
      <c r="D32" s="9">
        <v>30</v>
      </c>
      <c r="E32" s="9">
        <v>30</v>
      </c>
      <c r="F32" s="9">
        <v>20</v>
      </c>
      <c r="G32" s="9">
        <v>20</v>
      </c>
      <c r="H32" s="9">
        <v>30</v>
      </c>
    </row>
    <row r="33" spans="1:8">
      <c r="A33" s="5">
        <v>40</v>
      </c>
      <c r="B33" s="5">
        <v>20</v>
      </c>
      <c r="C33" s="5">
        <v>20</v>
      </c>
      <c r="D33" s="5">
        <v>20</v>
      </c>
      <c r="E33" s="5">
        <v>10</v>
      </c>
      <c r="F33" s="5">
        <v>30</v>
      </c>
      <c r="G33" s="5">
        <v>30</v>
      </c>
      <c r="H33" s="5">
        <v>30</v>
      </c>
    </row>
    <row r="34" spans="1:8">
      <c r="A34" s="9">
        <v>20</v>
      </c>
      <c r="B34" s="9">
        <v>20</v>
      </c>
      <c r="C34" s="9">
        <v>30</v>
      </c>
      <c r="D34" s="9">
        <v>30</v>
      </c>
      <c r="E34" s="9">
        <v>30</v>
      </c>
      <c r="F34" s="9">
        <v>20</v>
      </c>
      <c r="G34" s="9">
        <v>30</v>
      </c>
      <c r="H34" s="9">
        <v>20</v>
      </c>
    </row>
    <row r="35" spans="1:8">
      <c r="A35" s="5">
        <v>20</v>
      </c>
      <c r="B35" s="5">
        <v>10</v>
      </c>
      <c r="C35" s="5">
        <v>30</v>
      </c>
      <c r="D35" s="5">
        <v>40</v>
      </c>
      <c r="E35" s="5">
        <v>30</v>
      </c>
      <c r="F35" s="5">
        <v>20</v>
      </c>
      <c r="G35" s="5">
        <v>20</v>
      </c>
      <c r="H35" s="5">
        <v>30</v>
      </c>
    </row>
    <row r="36" spans="1:8">
      <c r="A36" s="9">
        <v>10</v>
      </c>
      <c r="B36" s="9">
        <v>30</v>
      </c>
      <c r="C36" s="9">
        <v>30</v>
      </c>
      <c r="D36" s="9">
        <v>30</v>
      </c>
      <c r="E36" s="9">
        <v>10</v>
      </c>
      <c r="F36" s="9">
        <v>30</v>
      </c>
      <c r="G36" s="9">
        <v>30</v>
      </c>
      <c r="H36" s="9">
        <v>30</v>
      </c>
    </row>
    <row r="37" spans="1:8">
      <c r="A37" s="5">
        <v>20</v>
      </c>
      <c r="B37" s="5">
        <v>20</v>
      </c>
      <c r="C37" s="5">
        <v>30</v>
      </c>
      <c r="D37" s="5">
        <v>30</v>
      </c>
      <c r="E37" s="5">
        <v>30</v>
      </c>
      <c r="F37" s="5">
        <v>30</v>
      </c>
      <c r="G37" s="5">
        <v>20</v>
      </c>
      <c r="H37" s="5">
        <v>20</v>
      </c>
    </row>
    <row r="38" spans="1:8">
      <c r="A38" s="9">
        <v>30</v>
      </c>
      <c r="B38" s="9">
        <v>30</v>
      </c>
      <c r="C38" s="9">
        <v>20</v>
      </c>
      <c r="D38" s="9">
        <v>20</v>
      </c>
      <c r="E38" s="9">
        <v>20</v>
      </c>
      <c r="F38" s="9">
        <v>20</v>
      </c>
      <c r="G38" s="9">
        <v>30</v>
      </c>
      <c r="H38" s="9">
        <v>30</v>
      </c>
    </row>
    <row r="39" spans="1:8">
      <c r="A39" s="5">
        <v>20</v>
      </c>
      <c r="B39" s="5">
        <v>30</v>
      </c>
      <c r="C39" s="5">
        <v>20</v>
      </c>
      <c r="D39" s="5">
        <v>30</v>
      </c>
      <c r="E39" s="5">
        <v>30</v>
      </c>
      <c r="F39" s="5">
        <v>20</v>
      </c>
      <c r="G39" s="5">
        <v>30</v>
      </c>
      <c r="H39" s="5">
        <v>20</v>
      </c>
    </row>
    <row r="40" spans="1:8">
      <c r="A40" s="9">
        <v>25</v>
      </c>
      <c r="B40" s="9">
        <v>25</v>
      </c>
      <c r="C40" s="9">
        <v>25</v>
      </c>
      <c r="D40" s="9">
        <v>25</v>
      </c>
      <c r="E40" s="9">
        <v>25</v>
      </c>
      <c r="F40" s="9">
        <v>25</v>
      </c>
      <c r="G40" s="9">
        <v>25</v>
      </c>
      <c r="H40" s="9">
        <v>25</v>
      </c>
    </row>
    <row r="41" spans="1:8">
      <c r="A41" s="5">
        <v>25</v>
      </c>
      <c r="B41" s="5">
        <v>25</v>
      </c>
      <c r="C41" s="5">
        <v>25</v>
      </c>
      <c r="D41" s="5">
        <v>25</v>
      </c>
      <c r="E41" s="5">
        <v>25</v>
      </c>
      <c r="F41" s="5">
        <v>25</v>
      </c>
      <c r="G41" s="5">
        <v>25</v>
      </c>
      <c r="H41" s="5">
        <v>25</v>
      </c>
    </row>
    <row r="42" spans="1:8">
      <c r="A42" s="9">
        <v>40</v>
      </c>
      <c r="B42" s="9">
        <v>30</v>
      </c>
      <c r="C42" s="9">
        <v>20</v>
      </c>
      <c r="D42" s="9">
        <v>10</v>
      </c>
      <c r="E42" s="9">
        <v>40</v>
      </c>
      <c r="F42" s="9">
        <v>30</v>
      </c>
      <c r="G42" s="9">
        <v>20</v>
      </c>
      <c r="H42" s="9">
        <v>10</v>
      </c>
    </row>
    <row r="43" spans="1:8">
      <c r="A43" s="5">
        <v>30</v>
      </c>
      <c r="B43" s="5">
        <v>30</v>
      </c>
      <c r="C43" s="5">
        <v>20</v>
      </c>
      <c r="D43" s="5">
        <v>20</v>
      </c>
      <c r="E43" s="5">
        <v>20</v>
      </c>
      <c r="F43" s="5">
        <v>20</v>
      </c>
      <c r="G43" s="5">
        <v>30</v>
      </c>
      <c r="H43" s="5">
        <v>30</v>
      </c>
    </row>
    <row r="44" spans="1:8">
      <c r="A44" s="9">
        <v>50</v>
      </c>
      <c r="B44" s="9">
        <v>30</v>
      </c>
      <c r="C44" s="9">
        <v>10</v>
      </c>
      <c r="D44" s="9">
        <v>10</v>
      </c>
      <c r="E44" s="9">
        <v>40</v>
      </c>
      <c r="F44" s="9">
        <v>20</v>
      </c>
      <c r="G44" s="9">
        <v>20</v>
      </c>
      <c r="H44" s="9">
        <v>20</v>
      </c>
    </row>
    <row r="45" spans="1:8">
      <c r="A45" s="5">
        <v>35</v>
      </c>
      <c r="B45" s="5">
        <v>25</v>
      </c>
      <c r="C45" s="5">
        <v>25</v>
      </c>
      <c r="D45" s="5">
        <v>15</v>
      </c>
      <c r="E45" s="5">
        <v>20</v>
      </c>
      <c r="F45" s="5">
        <v>30</v>
      </c>
      <c r="G45" s="5">
        <v>40</v>
      </c>
      <c r="H45" s="5">
        <v>10</v>
      </c>
    </row>
    <row r="46" spans="1:8">
      <c r="A46" s="9">
        <v>40</v>
      </c>
      <c r="B46" s="9">
        <v>30</v>
      </c>
      <c r="C46" s="9">
        <v>10</v>
      </c>
      <c r="D46" s="9">
        <v>20</v>
      </c>
      <c r="E46" s="9">
        <v>40</v>
      </c>
      <c r="F46" s="9">
        <v>30</v>
      </c>
      <c r="G46" s="9">
        <v>20</v>
      </c>
      <c r="H46" s="9">
        <v>10</v>
      </c>
    </row>
    <row r="47" spans="1:8">
      <c r="A47" s="5">
        <v>25</v>
      </c>
      <c r="B47" s="5">
        <v>25</v>
      </c>
      <c r="C47" s="5">
        <v>25</v>
      </c>
      <c r="D47" s="5">
        <v>25</v>
      </c>
      <c r="E47" s="5">
        <v>25</v>
      </c>
      <c r="F47" s="5">
        <v>25</v>
      </c>
      <c r="G47" s="5">
        <v>25</v>
      </c>
      <c r="H47" s="5">
        <v>25</v>
      </c>
    </row>
    <row r="48" spans="1:8">
      <c r="A48" s="9">
        <v>40</v>
      </c>
      <c r="B48" s="9">
        <v>30</v>
      </c>
      <c r="C48" s="9">
        <v>20</v>
      </c>
      <c r="D48" s="9">
        <v>10</v>
      </c>
      <c r="E48" s="9">
        <v>30</v>
      </c>
      <c r="F48" s="9">
        <v>40</v>
      </c>
      <c r="G48" s="9">
        <v>20</v>
      </c>
      <c r="H48" s="9">
        <v>10</v>
      </c>
    </row>
    <row r="49" spans="1:8">
      <c r="A49" s="5">
        <v>25</v>
      </c>
      <c r="B49" s="5">
        <v>25</v>
      </c>
      <c r="C49" s="5">
        <v>25</v>
      </c>
      <c r="D49" s="5">
        <v>25</v>
      </c>
      <c r="E49" s="5">
        <v>25</v>
      </c>
      <c r="F49" s="5">
        <v>25</v>
      </c>
      <c r="G49" s="5">
        <v>25</v>
      </c>
      <c r="H49" s="5">
        <v>25</v>
      </c>
    </row>
    <row r="50" spans="1:8">
      <c r="A50" s="9">
        <v>25</v>
      </c>
      <c r="B50" s="9">
        <v>25</v>
      </c>
      <c r="C50" s="9">
        <v>25</v>
      </c>
      <c r="D50" s="9">
        <v>25</v>
      </c>
      <c r="E50" s="9">
        <v>25</v>
      </c>
      <c r="F50" s="9">
        <v>25</v>
      </c>
      <c r="G50" s="9">
        <v>25</v>
      </c>
      <c r="H50" s="9">
        <v>25</v>
      </c>
    </row>
    <row r="51" spans="1:8">
      <c r="A51" s="5">
        <v>30</v>
      </c>
      <c r="B51" s="5">
        <v>30</v>
      </c>
      <c r="C51" s="5">
        <v>20</v>
      </c>
      <c r="D51" s="5">
        <v>20</v>
      </c>
      <c r="E51" s="5">
        <v>30</v>
      </c>
      <c r="F51" s="5">
        <v>30</v>
      </c>
      <c r="G51" s="5">
        <v>20</v>
      </c>
      <c r="H51" s="5">
        <v>20</v>
      </c>
    </row>
    <row r="52" spans="1:8">
      <c r="A52" s="9">
        <v>70</v>
      </c>
      <c r="B52" s="9">
        <v>10</v>
      </c>
      <c r="C52" s="9">
        <v>10</v>
      </c>
      <c r="D52" s="9">
        <v>10</v>
      </c>
      <c r="E52" s="9">
        <v>70</v>
      </c>
      <c r="F52" s="9">
        <v>10</v>
      </c>
      <c r="G52" s="9">
        <v>10</v>
      </c>
      <c r="H52" s="9">
        <v>10</v>
      </c>
    </row>
    <row r="53" spans="1:8">
      <c r="A53" s="5">
        <v>20</v>
      </c>
      <c r="B53" s="5">
        <v>30</v>
      </c>
      <c r="C53" s="5">
        <v>10</v>
      </c>
      <c r="D53" s="5">
        <v>40</v>
      </c>
      <c r="E53" s="5">
        <v>30</v>
      </c>
      <c r="F53" s="5">
        <v>20</v>
      </c>
      <c r="G53" s="5">
        <v>20</v>
      </c>
      <c r="H53" s="5">
        <v>30</v>
      </c>
    </row>
    <row r="54" spans="1:8">
      <c r="A54" s="9">
        <v>20</v>
      </c>
      <c r="B54" s="9">
        <v>30</v>
      </c>
      <c r="C54" s="9">
        <v>20</v>
      </c>
      <c r="D54" s="9">
        <v>30</v>
      </c>
      <c r="E54" s="9">
        <v>30</v>
      </c>
      <c r="F54" s="9">
        <v>20</v>
      </c>
      <c r="G54" s="9">
        <v>30</v>
      </c>
      <c r="H54" s="9">
        <v>20</v>
      </c>
    </row>
    <row r="55" spans="1:8">
      <c r="A55" s="5">
        <v>25</v>
      </c>
      <c r="B55" s="5">
        <v>25</v>
      </c>
      <c r="C55" s="5">
        <v>25</v>
      </c>
      <c r="D55" s="5">
        <v>25</v>
      </c>
      <c r="E55" s="5">
        <v>25</v>
      </c>
      <c r="F55" s="5">
        <v>25</v>
      </c>
      <c r="G55" s="5">
        <v>25</v>
      </c>
      <c r="H55" s="5">
        <v>25</v>
      </c>
    </row>
    <row r="56" spans="1:8">
      <c r="A56" s="9">
        <v>25</v>
      </c>
      <c r="B56" s="9">
        <v>25</v>
      </c>
      <c r="C56" s="9">
        <v>25</v>
      </c>
      <c r="D56" s="9">
        <v>25</v>
      </c>
      <c r="E56" s="9">
        <v>25</v>
      </c>
      <c r="F56" s="9">
        <v>25</v>
      </c>
      <c r="G56" s="9">
        <v>25</v>
      </c>
      <c r="H56" s="9">
        <v>25</v>
      </c>
    </row>
    <row r="57" spans="1:8">
      <c r="A57" s="5">
        <v>25</v>
      </c>
      <c r="B57" s="5">
        <v>25</v>
      </c>
      <c r="C57" s="5">
        <v>25</v>
      </c>
      <c r="D57" s="5">
        <v>25</v>
      </c>
      <c r="E57" s="5">
        <v>30</v>
      </c>
      <c r="F57" s="5">
        <v>10</v>
      </c>
      <c r="G57" s="5">
        <v>30</v>
      </c>
      <c r="H57" s="5">
        <v>30</v>
      </c>
    </row>
    <row r="58" spans="1:8">
      <c r="A58" s="9">
        <v>30</v>
      </c>
      <c r="B58" s="9">
        <v>20</v>
      </c>
      <c r="C58" s="9">
        <v>20</v>
      </c>
      <c r="D58" s="9">
        <v>30</v>
      </c>
      <c r="E58" s="9">
        <v>30</v>
      </c>
      <c r="F58" s="9">
        <v>20</v>
      </c>
      <c r="G58" s="9">
        <v>20</v>
      </c>
      <c r="H58" s="9">
        <v>30</v>
      </c>
    </row>
    <row r="59" spans="1:8">
      <c r="A59" s="5">
        <v>25</v>
      </c>
      <c r="B59" s="5">
        <v>25</v>
      </c>
      <c r="C59" s="5">
        <v>25</v>
      </c>
      <c r="D59" s="5">
        <v>25</v>
      </c>
      <c r="E59" s="5">
        <v>25</v>
      </c>
      <c r="F59" s="5">
        <v>25</v>
      </c>
      <c r="G59" s="5">
        <v>25</v>
      </c>
      <c r="H59" s="5">
        <v>25</v>
      </c>
    </row>
    <row r="60" spans="1:8">
      <c r="A60" s="9">
        <v>25</v>
      </c>
      <c r="B60" s="9">
        <v>25</v>
      </c>
      <c r="C60" s="9">
        <v>25</v>
      </c>
      <c r="D60" s="9">
        <v>25</v>
      </c>
      <c r="E60" s="9">
        <v>25</v>
      </c>
      <c r="F60" s="9">
        <v>25</v>
      </c>
      <c r="G60" s="9">
        <v>25</v>
      </c>
      <c r="H60" s="9">
        <v>25</v>
      </c>
    </row>
    <row r="61" spans="1:8">
      <c r="A61" s="5">
        <v>40</v>
      </c>
      <c r="B61" s="5">
        <v>20</v>
      </c>
      <c r="C61" s="5">
        <v>20</v>
      </c>
      <c r="D61" s="5">
        <v>20</v>
      </c>
      <c r="E61" s="5">
        <v>40</v>
      </c>
      <c r="F61" s="5">
        <v>20</v>
      </c>
      <c r="G61" s="5">
        <v>20</v>
      </c>
      <c r="H61" s="5">
        <v>20</v>
      </c>
    </row>
    <row r="62" spans="1:8">
      <c r="A62" s="9">
        <v>70</v>
      </c>
      <c r="B62" s="9">
        <v>10</v>
      </c>
      <c r="C62" s="9">
        <v>10</v>
      </c>
      <c r="D62" s="9">
        <v>10</v>
      </c>
      <c r="E62" s="9">
        <v>70</v>
      </c>
      <c r="F62" s="9">
        <v>10</v>
      </c>
      <c r="G62" s="9">
        <v>10</v>
      </c>
      <c r="H62" s="9">
        <v>10</v>
      </c>
    </row>
    <row r="63" spans="1:8">
      <c r="A63" s="5">
        <v>30</v>
      </c>
      <c r="B63" s="5">
        <v>20</v>
      </c>
      <c r="C63" s="5">
        <v>30</v>
      </c>
      <c r="D63" s="5">
        <v>20</v>
      </c>
      <c r="E63" s="5">
        <v>15</v>
      </c>
      <c r="F63" s="5">
        <v>25</v>
      </c>
      <c r="G63" s="5">
        <v>35</v>
      </c>
      <c r="H63" s="5">
        <v>25</v>
      </c>
    </row>
    <row r="64" spans="1:8">
      <c r="A64" s="9">
        <v>30</v>
      </c>
      <c r="B64" s="9">
        <v>20</v>
      </c>
      <c r="C64" s="9">
        <v>20</v>
      </c>
      <c r="D64" s="9">
        <v>30</v>
      </c>
      <c r="E64" s="9">
        <v>30</v>
      </c>
      <c r="F64" s="9">
        <v>20</v>
      </c>
      <c r="G64" s="9">
        <v>20</v>
      </c>
      <c r="H64" s="9">
        <v>30</v>
      </c>
    </row>
    <row r="65" spans="1:8">
      <c r="A65" s="5">
        <v>30</v>
      </c>
      <c r="B65" s="5">
        <v>20</v>
      </c>
      <c r="C65" s="5">
        <v>20</v>
      </c>
      <c r="D65" s="5">
        <v>30</v>
      </c>
      <c r="E65" s="5">
        <v>30</v>
      </c>
      <c r="F65" s="5">
        <v>20</v>
      </c>
      <c r="G65" s="5">
        <v>30</v>
      </c>
      <c r="H65" s="5">
        <v>20</v>
      </c>
    </row>
    <row r="66" spans="1:8">
      <c r="A66" s="9">
        <v>40</v>
      </c>
      <c r="B66" s="9">
        <v>30</v>
      </c>
      <c r="C66" s="9">
        <v>10</v>
      </c>
      <c r="D66" s="9">
        <v>20</v>
      </c>
      <c r="E66" s="9">
        <v>30</v>
      </c>
      <c r="F66" s="9">
        <v>30</v>
      </c>
      <c r="G66" s="9">
        <v>20</v>
      </c>
      <c r="H66" s="9">
        <v>20</v>
      </c>
    </row>
    <row r="67" spans="1:8">
      <c r="A67" s="5">
        <v>50</v>
      </c>
      <c r="B67" s="5">
        <v>30</v>
      </c>
      <c r="C67" s="5">
        <v>10</v>
      </c>
      <c r="D67" s="5">
        <v>10</v>
      </c>
      <c r="E67" s="5">
        <v>10</v>
      </c>
      <c r="F67" s="5">
        <v>10</v>
      </c>
      <c r="G67" s="5">
        <v>40</v>
      </c>
      <c r="H67" s="5">
        <v>40</v>
      </c>
    </row>
    <row r="68" spans="1:8">
      <c r="A68" s="9">
        <v>20</v>
      </c>
      <c r="B68" s="9">
        <v>20</v>
      </c>
      <c r="C68" s="9">
        <v>20</v>
      </c>
      <c r="D68" s="9">
        <v>40</v>
      </c>
      <c r="E68" s="9">
        <v>40</v>
      </c>
      <c r="F68" s="9">
        <v>20</v>
      </c>
      <c r="G68" s="9">
        <v>20</v>
      </c>
      <c r="H68" s="9">
        <v>20</v>
      </c>
    </row>
    <row r="69" spans="1:8">
      <c r="A69" s="5">
        <v>30</v>
      </c>
      <c r="B69" s="5">
        <v>30</v>
      </c>
      <c r="C69" s="5">
        <v>20</v>
      </c>
      <c r="D69" s="5">
        <v>20</v>
      </c>
      <c r="E69" s="5">
        <v>30</v>
      </c>
      <c r="F69" s="5">
        <v>30</v>
      </c>
      <c r="G69" s="5">
        <v>20</v>
      </c>
      <c r="H69" s="5">
        <v>20</v>
      </c>
    </row>
    <row r="70" spans="1:8">
      <c r="A70" s="9">
        <v>30</v>
      </c>
      <c r="B70" s="9">
        <v>30</v>
      </c>
      <c r="C70" s="9">
        <v>20</v>
      </c>
      <c r="D70" s="9">
        <v>20</v>
      </c>
      <c r="E70" s="9">
        <v>30</v>
      </c>
      <c r="F70" s="9">
        <v>30</v>
      </c>
      <c r="G70" s="9">
        <v>20</v>
      </c>
      <c r="H70" s="9">
        <v>20</v>
      </c>
    </row>
    <row r="71" spans="1:8">
      <c r="A71" s="5">
        <v>70</v>
      </c>
      <c r="B71" s="5">
        <v>10</v>
      </c>
      <c r="C71" s="5">
        <v>10</v>
      </c>
      <c r="D71" s="5">
        <v>10</v>
      </c>
      <c r="E71" s="5">
        <v>70</v>
      </c>
      <c r="F71" s="5">
        <v>10</v>
      </c>
      <c r="G71" s="5">
        <v>10</v>
      </c>
      <c r="H71" s="5">
        <v>10</v>
      </c>
    </row>
    <row r="72" spans="1:8">
      <c r="A72" s="9">
        <v>20</v>
      </c>
      <c r="B72" s="9">
        <v>20</v>
      </c>
      <c r="C72" s="9">
        <v>20</v>
      </c>
      <c r="D72" s="9">
        <v>40</v>
      </c>
      <c r="E72" s="9">
        <v>20</v>
      </c>
      <c r="F72" s="9">
        <v>20</v>
      </c>
      <c r="G72" s="9">
        <v>20</v>
      </c>
      <c r="H72" s="9">
        <v>40</v>
      </c>
    </row>
    <row r="73" spans="1:8">
      <c r="A73" s="5">
        <v>20</v>
      </c>
      <c r="B73" s="5">
        <v>20</v>
      </c>
      <c r="C73" s="5">
        <v>40</v>
      </c>
      <c r="D73" s="5">
        <v>20</v>
      </c>
      <c r="E73" s="5">
        <v>20</v>
      </c>
      <c r="F73" s="5">
        <v>20</v>
      </c>
      <c r="G73" s="5">
        <v>20</v>
      </c>
      <c r="H73" s="5">
        <v>40</v>
      </c>
    </row>
    <row r="74" spans="1:8">
      <c r="A74" s="9">
        <v>70</v>
      </c>
      <c r="B74" s="9">
        <v>10</v>
      </c>
      <c r="C74" s="9">
        <v>10</v>
      </c>
      <c r="D74" s="9">
        <v>10</v>
      </c>
      <c r="E74" s="9">
        <v>20</v>
      </c>
      <c r="F74" s="9">
        <v>20</v>
      </c>
      <c r="G74" s="9">
        <v>20</v>
      </c>
      <c r="H74" s="9">
        <v>40</v>
      </c>
    </row>
    <row r="75" spans="1:8">
      <c r="A75" s="5">
        <v>30</v>
      </c>
      <c r="B75" s="5">
        <v>30</v>
      </c>
      <c r="C75" s="5">
        <v>20</v>
      </c>
      <c r="D75" s="5">
        <v>20</v>
      </c>
      <c r="E75" s="5">
        <v>30</v>
      </c>
      <c r="F75" s="5">
        <v>30</v>
      </c>
      <c r="G75" s="5">
        <v>20</v>
      </c>
      <c r="H75" s="5">
        <v>20</v>
      </c>
    </row>
    <row r="76" spans="1:8">
      <c r="A76" s="9">
        <v>25</v>
      </c>
      <c r="B76" s="9">
        <v>25</v>
      </c>
      <c r="C76" s="9">
        <v>25</v>
      </c>
      <c r="D76" s="9">
        <v>25</v>
      </c>
      <c r="E76" s="9">
        <v>25</v>
      </c>
      <c r="F76" s="9">
        <v>25</v>
      </c>
      <c r="G76" s="9">
        <v>25</v>
      </c>
      <c r="H76" s="9">
        <v>25</v>
      </c>
    </row>
    <row r="77" spans="1:8">
      <c r="A77" s="5">
        <v>25</v>
      </c>
      <c r="B77" s="5">
        <v>25</v>
      </c>
      <c r="C77" s="5">
        <v>25</v>
      </c>
      <c r="D77" s="5">
        <v>25</v>
      </c>
      <c r="E77" s="5">
        <v>25</v>
      </c>
      <c r="F77" s="5">
        <v>25</v>
      </c>
      <c r="G77" s="5">
        <v>25</v>
      </c>
      <c r="H77" s="5">
        <v>25</v>
      </c>
    </row>
    <row r="78" spans="1:8">
      <c r="A78" s="9">
        <v>40</v>
      </c>
      <c r="B78" s="9">
        <v>20</v>
      </c>
      <c r="C78" s="9">
        <v>20</v>
      </c>
      <c r="D78" s="9">
        <v>20</v>
      </c>
      <c r="E78" s="9">
        <v>40</v>
      </c>
      <c r="F78" s="9">
        <v>20</v>
      </c>
      <c r="G78" s="9">
        <v>20</v>
      </c>
      <c r="H78" s="9">
        <v>20</v>
      </c>
    </row>
    <row r="79" spans="1:8">
      <c r="A79" s="5">
        <v>30</v>
      </c>
      <c r="B79" s="5">
        <v>20</v>
      </c>
      <c r="C79" s="5">
        <v>30</v>
      </c>
      <c r="D79" s="5">
        <v>20</v>
      </c>
      <c r="E79" s="5">
        <v>30</v>
      </c>
      <c r="F79" s="5">
        <v>20</v>
      </c>
      <c r="G79" s="5">
        <v>30</v>
      </c>
      <c r="H79" s="5">
        <v>20</v>
      </c>
    </row>
    <row r="80" spans="1:8">
      <c r="A80" s="9">
        <v>25</v>
      </c>
      <c r="B80" s="9">
        <v>25</v>
      </c>
      <c r="C80" s="9">
        <v>25</v>
      </c>
      <c r="D80" s="9">
        <v>25</v>
      </c>
      <c r="E80" s="9">
        <v>25</v>
      </c>
      <c r="F80" s="9">
        <v>25</v>
      </c>
      <c r="G80" s="9">
        <v>25</v>
      </c>
      <c r="H80" s="9">
        <v>25</v>
      </c>
    </row>
    <row r="81" spans="1:8">
      <c r="A81" s="5">
        <v>40</v>
      </c>
      <c r="B81" s="5">
        <v>30</v>
      </c>
      <c r="C81" s="5">
        <v>20</v>
      </c>
      <c r="D81" s="5">
        <v>10</v>
      </c>
      <c r="E81" s="5">
        <v>30</v>
      </c>
      <c r="F81" s="5">
        <v>20</v>
      </c>
      <c r="G81" s="5">
        <v>40</v>
      </c>
      <c r="H81" s="5">
        <v>10</v>
      </c>
    </row>
    <row r="82" spans="1:8">
      <c r="A82" s="9">
        <v>40</v>
      </c>
      <c r="B82" s="9">
        <v>20</v>
      </c>
      <c r="C82" s="9">
        <v>20</v>
      </c>
      <c r="D82" s="9">
        <v>20</v>
      </c>
      <c r="E82" s="9">
        <v>30</v>
      </c>
      <c r="F82" s="9">
        <v>20</v>
      </c>
      <c r="G82" s="9">
        <v>20</v>
      </c>
      <c r="H82" s="9">
        <v>30</v>
      </c>
    </row>
    <row r="83" spans="1:8">
      <c r="A83" s="5">
        <v>40</v>
      </c>
      <c r="B83" s="5">
        <v>20</v>
      </c>
      <c r="C83" s="5">
        <v>20</v>
      </c>
      <c r="D83" s="5">
        <v>20</v>
      </c>
      <c r="E83" s="5">
        <v>50</v>
      </c>
      <c r="F83" s="5">
        <v>30</v>
      </c>
      <c r="G83" s="5">
        <v>10</v>
      </c>
      <c r="H83" s="5">
        <v>10</v>
      </c>
    </row>
    <row r="84" spans="1:8">
      <c r="A84" s="9">
        <v>30</v>
      </c>
      <c r="B84" s="9">
        <v>30</v>
      </c>
      <c r="C84" s="9">
        <v>10</v>
      </c>
      <c r="D84" s="9">
        <v>30</v>
      </c>
      <c r="E84" s="9">
        <v>25</v>
      </c>
      <c r="F84" s="9">
        <v>25</v>
      </c>
      <c r="G84" s="9">
        <v>25</v>
      </c>
      <c r="H84" s="9">
        <v>25</v>
      </c>
    </row>
    <row r="85" spans="1:8">
      <c r="A85" s="5">
        <v>70</v>
      </c>
      <c r="B85" s="5">
        <v>10</v>
      </c>
      <c r="C85" s="5">
        <v>10</v>
      </c>
      <c r="D85" s="5">
        <v>10</v>
      </c>
      <c r="E85" s="5">
        <v>70</v>
      </c>
      <c r="F85" s="5">
        <v>10</v>
      </c>
      <c r="G85" s="5">
        <v>10</v>
      </c>
      <c r="H85" s="5">
        <v>10</v>
      </c>
    </row>
    <row r="86" spans="1:8">
      <c r="A86" s="9">
        <v>20</v>
      </c>
      <c r="B86" s="9">
        <v>20</v>
      </c>
      <c r="C86" s="9">
        <v>30</v>
      </c>
      <c r="D86" s="9">
        <v>30</v>
      </c>
      <c r="E86" s="9">
        <v>25</v>
      </c>
      <c r="F86" s="9">
        <v>25</v>
      </c>
      <c r="G86" s="9">
        <v>25</v>
      </c>
      <c r="H86" s="9">
        <v>25</v>
      </c>
    </row>
    <row r="87" spans="1:8">
      <c r="A87" s="5">
        <v>20</v>
      </c>
      <c r="B87" s="5">
        <v>20</v>
      </c>
      <c r="C87" s="5">
        <v>30</v>
      </c>
      <c r="D87" s="5">
        <v>30</v>
      </c>
      <c r="E87" s="5">
        <v>20</v>
      </c>
      <c r="F87" s="5">
        <v>20</v>
      </c>
      <c r="G87" s="5">
        <v>30</v>
      </c>
      <c r="H87" s="5">
        <v>30</v>
      </c>
    </row>
    <row r="88" spans="1:8">
      <c r="A88" s="9">
        <v>30</v>
      </c>
      <c r="B88" s="9">
        <v>20</v>
      </c>
      <c r="C88" s="9">
        <v>20</v>
      </c>
      <c r="D88" s="9">
        <v>30</v>
      </c>
      <c r="E88" s="9">
        <v>40</v>
      </c>
      <c r="F88" s="9">
        <v>20</v>
      </c>
      <c r="G88" s="9">
        <v>20</v>
      </c>
      <c r="H88" s="9">
        <v>20</v>
      </c>
    </row>
    <row r="89" spans="1:8">
      <c r="A89" s="5">
        <v>20</v>
      </c>
      <c r="B89" s="5">
        <v>20</v>
      </c>
      <c r="C89" s="5">
        <v>20</v>
      </c>
      <c r="D89" s="5">
        <v>40</v>
      </c>
      <c r="E89" s="5">
        <v>30</v>
      </c>
      <c r="F89" s="5">
        <v>30</v>
      </c>
      <c r="G89" s="5">
        <v>30</v>
      </c>
      <c r="H89" s="5">
        <v>10</v>
      </c>
    </row>
    <row r="90" spans="1:8">
      <c r="A90" s="9">
        <v>30</v>
      </c>
      <c r="B90" s="9">
        <v>20</v>
      </c>
      <c r="C90" s="9">
        <v>20</v>
      </c>
      <c r="D90" s="9">
        <v>30</v>
      </c>
      <c r="E90" s="9">
        <v>30</v>
      </c>
      <c r="F90" s="9">
        <v>20</v>
      </c>
      <c r="G90" s="9">
        <v>20</v>
      </c>
      <c r="H90" s="9">
        <v>30</v>
      </c>
    </row>
    <row r="91" spans="1:8">
      <c r="A91" s="5">
        <v>25</v>
      </c>
      <c r="B91" s="5">
        <v>25</v>
      </c>
      <c r="C91" s="5">
        <v>25</v>
      </c>
      <c r="D91" s="5">
        <v>25</v>
      </c>
      <c r="E91" s="5">
        <v>70</v>
      </c>
      <c r="F91" s="5">
        <v>10</v>
      </c>
      <c r="G91" s="5">
        <v>10</v>
      </c>
      <c r="H91" s="5">
        <v>10</v>
      </c>
    </row>
    <row r="92" spans="1:8">
      <c r="A92" s="9">
        <v>20</v>
      </c>
      <c r="B92" s="9">
        <v>20</v>
      </c>
      <c r="C92" s="9">
        <v>30</v>
      </c>
      <c r="D92" s="9">
        <v>30</v>
      </c>
      <c r="E92" s="9">
        <v>30</v>
      </c>
      <c r="F92" s="9">
        <v>20</v>
      </c>
      <c r="G92" s="9">
        <v>30</v>
      </c>
      <c r="H92" s="9">
        <v>20</v>
      </c>
    </row>
    <row r="93" spans="1:8">
      <c r="A93" s="5">
        <v>40</v>
      </c>
      <c r="B93" s="5">
        <v>30</v>
      </c>
      <c r="C93" s="5">
        <v>15</v>
      </c>
      <c r="D93" s="5">
        <v>15</v>
      </c>
      <c r="E93" s="5">
        <v>20</v>
      </c>
      <c r="F93" s="5">
        <v>20</v>
      </c>
      <c r="G93" s="5">
        <v>40</v>
      </c>
      <c r="H93" s="5">
        <v>20</v>
      </c>
    </row>
    <row r="94" spans="1:8">
      <c r="A94" s="9">
        <v>30</v>
      </c>
      <c r="B94" s="9">
        <v>20</v>
      </c>
      <c r="C94" s="9">
        <v>20</v>
      </c>
      <c r="D94" s="9">
        <v>30</v>
      </c>
      <c r="E94" s="9">
        <v>30</v>
      </c>
      <c r="F94" s="9">
        <v>20</v>
      </c>
      <c r="G94" s="9">
        <v>20</v>
      </c>
      <c r="H94" s="9">
        <v>30</v>
      </c>
    </row>
    <row r="95" spans="1:8">
      <c r="A95" s="5">
        <v>20</v>
      </c>
      <c r="B95" s="5">
        <v>20</v>
      </c>
      <c r="C95" s="5">
        <v>30</v>
      </c>
      <c r="D95" s="5">
        <v>30</v>
      </c>
      <c r="E95" s="5">
        <v>20</v>
      </c>
      <c r="F95" s="5">
        <v>20</v>
      </c>
      <c r="G95" s="5">
        <v>30</v>
      </c>
      <c r="H95" s="5">
        <v>30</v>
      </c>
    </row>
    <row r="96" spans="1:8">
      <c r="A96" s="9">
        <v>40</v>
      </c>
      <c r="B96" s="9">
        <v>20</v>
      </c>
      <c r="C96" s="9">
        <v>20</v>
      </c>
      <c r="D96" s="9">
        <v>20</v>
      </c>
      <c r="E96" s="9">
        <v>30</v>
      </c>
      <c r="F96" s="9">
        <v>30</v>
      </c>
      <c r="G96" s="9">
        <v>20</v>
      </c>
      <c r="H96" s="9">
        <v>20</v>
      </c>
    </row>
    <row r="97" spans="1:8">
      <c r="A97" s="5">
        <v>15</v>
      </c>
      <c r="B97" s="5">
        <v>15</v>
      </c>
      <c r="C97" s="5">
        <v>35</v>
      </c>
      <c r="D97" s="5">
        <v>35</v>
      </c>
      <c r="E97" s="5">
        <v>30</v>
      </c>
      <c r="F97" s="5">
        <v>10</v>
      </c>
      <c r="G97" s="5">
        <v>30</v>
      </c>
      <c r="H97" s="5">
        <v>30</v>
      </c>
    </row>
    <row r="98" spans="1:8">
      <c r="A98" s="9">
        <v>30</v>
      </c>
      <c r="B98" s="9">
        <v>20</v>
      </c>
      <c r="C98" s="9">
        <v>20</v>
      </c>
      <c r="D98" s="9">
        <v>30</v>
      </c>
      <c r="E98" s="9">
        <v>30</v>
      </c>
      <c r="F98" s="9">
        <v>20</v>
      </c>
      <c r="G98" s="9">
        <v>20</v>
      </c>
      <c r="H98" s="9">
        <v>30</v>
      </c>
    </row>
    <row r="99" spans="1:8">
      <c r="A99" s="5">
        <v>25</v>
      </c>
      <c r="B99" s="5">
        <v>25</v>
      </c>
      <c r="C99" s="5">
        <v>25</v>
      </c>
      <c r="D99" s="5">
        <v>25</v>
      </c>
      <c r="E99" s="5">
        <v>25</v>
      </c>
      <c r="F99" s="5">
        <v>25</v>
      </c>
      <c r="G99" s="5">
        <v>25</v>
      </c>
      <c r="H99" s="5">
        <v>25</v>
      </c>
    </row>
    <row r="100" spans="1:8">
      <c r="A100" s="9">
        <v>40</v>
      </c>
      <c r="B100" s="9">
        <v>20</v>
      </c>
      <c r="C100" s="9">
        <v>20</v>
      </c>
      <c r="D100" s="9">
        <v>20</v>
      </c>
      <c r="E100" s="9">
        <v>15</v>
      </c>
      <c r="F100" s="9">
        <v>25</v>
      </c>
      <c r="G100" s="9">
        <v>15</v>
      </c>
      <c r="H100" s="9">
        <v>45</v>
      </c>
    </row>
    <row r="101" spans="1:8">
      <c r="A101" s="5">
        <v>30</v>
      </c>
      <c r="B101" s="5">
        <v>10</v>
      </c>
      <c r="C101" s="5">
        <v>30</v>
      </c>
      <c r="D101" s="5">
        <v>30</v>
      </c>
      <c r="E101" s="5">
        <v>30</v>
      </c>
      <c r="F101" s="5">
        <v>20</v>
      </c>
      <c r="G101" s="5">
        <v>30</v>
      </c>
      <c r="H101" s="5">
        <v>20</v>
      </c>
    </row>
    <row r="102" spans="1:8">
      <c r="A102" s="9">
        <v>40</v>
      </c>
      <c r="B102" s="9">
        <v>20</v>
      </c>
      <c r="C102" s="9">
        <v>20</v>
      </c>
      <c r="D102" s="9">
        <v>20</v>
      </c>
      <c r="E102" s="9">
        <v>40</v>
      </c>
      <c r="F102" s="9">
        <v>20</v>
      </c>
      <c r="G102" s="9">
        <v>20</v>
      </c>
      <c r="H102" s="9">
        <v>20</v>
      </c>
    </row>
    <row r="103" spans="1:8">
      <c r="A103" s="5">
        <v>25</v>
      </c>
      <c r="B103" s="5">
        <v>25</v>
      </c>
      <c r="C103" s="5">
        <v>25</v>
      </c>
      <c r="D103" s="5">
        <v>25</v>
      </c>
      <c r="E103" s="5">
        <v>25</v>
      </c>
      <c r="F103" s="5">
        <v>25</v>
      </c>
      <c r="G103" s="5">
        <v>25</v>
      </c>
      <c r="H103" s="5">
        <v>25</v>
      </c>
    </row>
    <row r="104" spans="1:8">
      <c r="A104" s="9">
        <v>25</v>
      </c>
      <c r="B104" s="9">
        <v>25</v>
      </c>
      <c r="C104" s="9">
        <v>25</v>
      </c>
      <c r="D104" s="9">
        <v>25</v>
      </c>
      <c r="E104" s="9">
        <v>25</v>
      </c>
      <c r="F104" s="9">
        <v>25</v>
      </c>
      <c r="G104" s="9">
        <v>25</v>
      </c>
      <c r="H104" s="9">
        <v>25</v>
      </c>
    </row>
    <row r="105" spans="1:8">
      <c r="A105" s="5">
        <v>30</v>
      </c>
      <c r="B105" s="5">
        <v>20</v>
      </c>
      <c r="C105" s="5">
        <v>20</v>
      </c>
      <c r="D105" s="5">
        <v>30</v>
      </c>
      <c r="E105" s="5">
        <v>30</v>
      </c>
      <c r="F105" s="5">
        <v>20</v>
      </c>
      <c r="G105" s="5">
        <v>20</v>
      </c>
      <c r="H105" s="5">
        <v>30</v>
      </c>
    </row>
    <row r="106" spans="1:8">
      <c r="A106" s="9">
        <v>30</v>
      </c>
      <c r="B106" s="9">
        <v>10</v>
      </c>
      <c r="C106" s="9">
        <v>30</v>
      </c>
      <c r="D106" s="9">
        <v>30</v>
      </c>
      <c r="E106" s="9">
        <v>10</v>
      </c>
      <c r="F106" s="9">
        <v>30</v>
      </c>
      <c r="G106" s="9">
        <v>30</v>
      </c>
      <c r="H106" s="9">
        <v>30</v>
      </c>
    </row>
    <row r="107" spans="1:8">
      <c r="A107" s="5">
        <v>40</v>
      </c>
      <c r="B107" s="5">
        <v>10</v>
      </c>
      <c r="C107" s="5">
        <v>40</v>
      </c>
      <c r="D107" s="5">
        <v>10</v>
      </c>
      <c r="E107" s="5">
        <v>30</v>
      </c>
      <c r="F107" s="5">
        <v>20</v>
      </c>
      <c r="G107" s="5">
        <v>30</v>
      </c>
      <c r="H107" s="5">
        <v>20</v>
      </c>
    </row>
    <row r="108" spans="1:8">
      <c r="A108" s="9">
        <v>30</v>
      </c>
      <c r="B108" s="9">
        <v>10</v>
      </c>
      <c r="C108" s="9">
        <v>30</v>
      </c>
      <c r="D108" s="9">
        <v>30</v>
      </c>
      <c r="E108" s="9">
        <v>30</v>
      </c>
      <c r="F108" s="9">
        <v>30</v>
      </c>
      <c r="G108" s="9">
        <v>20</v>
      </c>
      <c r="H108" s="9">
        <v>20</v>
      </c>
    </row>
    <row r="109" spans="1:8">
      <c r="A109" s="5">
        <v>20</v>
      </c>
      <c r="B109" s="5">
        <v>30</v>
      </c>
      <c r="C109" s="5">
        <v>20</v>
      </c>
      <c r="D109" s="5">
        <v>30</v>
      </c>
      <c r="E109" s="5">
        <v>30</v>
      </c>
      <c r="F109" s="5">
        <v>20</v>
      </c>
      <c r="G109" s="5">
        <v>30</v>
      </c>
      <c r="H109" s="5">
        <v>20</v>
      </c>
    </row>
    <row r="110" spans="1:8">
      <c r="A110" s="9">
        <v>70</v>
      </c>
      <c r="B110" s="9">
        <v>10</v>
      </c>
      <c r="C110" s="9">
        <v>10</v>
      </c>
      <c r="D110" s="9">
        <v>10</v>
      </c>
      <c r="E110" s="9">
        <v>60</v>
      </c>
      <c r="F110" s="9">
        <v>10</v>
      </c>
      <c r="G110" s="9">
        <v>10</v>
      </c>
      <c r="H110" s="9">
        <v>20</v>
      </c>
    </row>
    <row r="111" spans="1:8">
      <c r="A111" s="5">
        <v>20</v>
      </c>
      <c r="B111" s="5">
        <v>35</v>
      </c>
      <c r="C111" s="5">
        <v>35</v>
      </c>
      <c r="D111" s="5">
        <v>10</v>
      </c>
      <c r="E111" s="5">
        <v>30</v>
      </c>
      <c r="F111" s="5">
        <v>30</v>
      </c>
      <c r="G111" s="5">
        <v>20</v>
      </c>
      <c r="H111" s="5">
        <v>20</v>
      </c>
    </row>
    <row r="112" spans="1:8">
      <c r="A112" s="9">
        <v>30</v>
      </c>
      <c r="B112" s="9">
        <v>30</v>
      </c>
      <c r="C112" s="9">
        <v>20</v>
      </c>
      <c r="D112" s="9">
        <v>20</v>
      </c>
      <c r="E112" s="9">
        <v>20</v>
      </c>
      <c r="F112" s="9">
        <v>20</v>
      </c>
      <c r="G112" s="9">
        <v>30</v>
      </c>
      <c r="H112" s="9">
        <v>30</v>
      </c>
    </row>
    <row r="113" spans="1:8">
      <c r="A113" s="5">
        <v>20</v>
      </c>
      <c r="B113" s="5">
        <v>20</v>
      </c>
      <c r="C113" s="5">
        <v>30</v>
      </c>
      <c r="D113" s="5">
        <v>30</v>
      </c>
      <c r="E113" s="5">
        <v>30</v>
      </c>
      <c r="F113" s="5">
        <v>20</v>
      </c>
      <c r="G113" s="5">
        <v>20</v>
      </c>
      <c r="H113" s="5">
        <v>30</v>
      </c>
    </row>
    <row r="114" spans="1:8">
      <c r="A114" s="9">
        <v>25</v>
      </c>
      <c r="B114" s="9">
        <v>25</v>
      </c>
      <c r="C114" s="9">
        <v>25</v>
      </c>
      <c r="D114" s="9">
        <v>25</v>
      </c>
      <c r="E114" s="9">
        <v>25</v>
      </c>
      <c r="F114" s="9">
        <v>25</v>
      </c>
      <c r="G114" s="9">
        <v>25</v>
      </c>
      <c r="H114" s="9">
        <v>25</v>
      </c>
    </row>
    <row r="115" spans="1:8">
      <c r="A115" s="5">
        <v>10</v>
      </c>
      <c r="B115" s="5">
        <v>30</v>
      </c>
      <c r="C115" s="5">
        <v>30</v>
      </c>
      <c r="D115" s="5">
        <v>30</v>
      </c>
      <c r="E115" s="5">
        <v>20</v>
      </c>
      <c r="F115" s="5">
        <v>40</v>
      </c>
      <c r="G115" s="5">
        <v>20</v>
      </c>
      <c r="H115" s="5">
        <v>20</v>
      </c>
    </row>
    <row r="116" spans="1:8">
      <c r="A116" s="9">
        <v>25</v>
      </c>
      <c r="B116" s="9">
        <v>25</v>
      </c>
      <c r="C116" s="9">
        <v>25</v>
      </c>
      <c r="D116" s="9">
        <v>25</v>
      </c>
      <c r="E116" s="9">
        <v>20</v>
      </c>
      <c r="F116" s="9">
        <v>20</v>
      </c>
      <c r="G116" s="9">
        <v>40</v>
      </c>
      <c r="H116" s="9">
        <v>20</v>
      </c>
    </row>
    <row r="117" spans="1:8">
      <c r="A117" s="5">
        <v>30</v>
      </c>
      <c r="B117" s="5">
        <v>30</v>
      </c>
      <c r="C117" s="5">
        <v>30</v>
      </c>
      <c r="D117" s="5">
        <v>10</v>
      </c>
      <c r="E117" s="5">
        <v>30</v>
      </c>
      <c r="F117" s="5">
        <v>30</v>
      </c>
      <c r="G117" s="5">
        <v>30</v>
      </c>
      <c r="H117" s="5">
        <v>10</v>
      </c>
    </row>
    <row r="118" spans="1:8">
      <c r="A118" s="9">
        <v>20</v>
      </c>
      <c r="B118" s="9">
        <v>20</v>
      </c>
      <c r="C118" s="9">
        <v>50</v>
      </c>
      <c r="D118" s="9">
        <v>10</v>
      </c>
      <c r="E118" s="9">
        <v>10</v>
      </c>
      <c r="F118" s="9">
        <v>10</v>
      </c>
      <c r="G118" s="9">
        <v>40</v>
      </c>
      <c r="H118" s="9">
        <v>40</v>
      </c>
    </row>
    <row r="119" spans="1:8">
      <c r="A119" s="5">
        <v>60</v>
      </c>
      <c r="B119" s="5">
        <v>20</v>
      </c>
      <c r="C119" s="5">
        <v>10</v>
      </c>
      <c r="D119" s="5">
        <v>10</v>
      </c>
      <c r="E119" s="5">
        <v>70</v>
      </c>
      <c r="F119" s="5">
        <v>10</v>
      </c>
      <c r="G119" s="5">
        <v>10</v>
      </c>
      <c r="H119" s="5">
        <v>10</v>
      </c>
    </row>
    <row r="120" spans="1:8">
      <c r="A120" s="9">
        <v>50</v>
      </c>
      <c r="B120" s="9">
        <v>10</v>
      </c>
      <c r="C120" s="9">
        <v>20</v>
      </c>
      <c r="D120" s="9">
        <v>20</v>
      </c>
      <c r="E120" s="9">
        <v>50</v>
      </c>
      <c r="F120" s="9">
        <v>10</v>
      </c>
      <c r="G120" s="9">
        <v>20</v>
      </c>
      <c r="H120" s="9">
        <v>20</v>
      </c>
    </row>
    <row r="121" spans="1:8">
      <c r="A121" s="5">
        <v>50</v>
      </c>
      <c r="B121" s="5">
        <v>10</v>
      </c>
      <c r="C121" s="5">
        <v>20</v>
      </c>
      <c r="D121" s="5">
        <v>20</v>
      </c>
      <c r="E121" s="5">
        <v>50</v>
      </c>
      <c r="F121" s="5">
        <v>10</v>
      </c>
      <c r="G121" s="5">
        <v>20</v>
      </c>
      <c r="H121" s="5">
        <v>20</v>
      </c>
    </row>
    <row r="122" spans="1:8">
      <c r="A122" s="9">
        <v>50</v>
      </c>
      <c r="B122" s="9">
        <v>10</v>
      </c>
      <c r="C122" s="9">
        <v>20</v>
      </c>
      <c r="D122" s="9">
        <v>20</v>
      </c>
      <c r="E122" s="9">
        <v>50</v>
      </c>
      <c r="F122" s="9">
        <v>10</v>
      </c>
      <c r="G122" s="9">
        <v>20</v>
      </c>
      <c r="H122" s="9">
        <v>20</v>
      </c>
    </row>
    <row r="123" spans="1:8">
      <c r="A123" s="5">
        <v>50</v>
      </c>
      <c r="B123" s="5">
        <v>10</v>
      </c>
      <c r="C123" s="5">
        <v>20</v>
      </c>
      <c r="D123" s="5">
        <v>20</v>
      </c>
      <c r="E123" s="5">
        <v>50</v>
      </c>
      <c r="F123" s="5">
        <v>10</v>
      </c>
      <c r="G123" s="5">
        <v>30</v>
      </c>
      <c r="H123" s="5">
        <v>10</v>
      </c>
    </row>
    <row r="124" spans="1:8">
      <c r="A124" s="9">
        <v>60</v>
      </c>
      <c r="B124" s="9">
        <v>10</v>
      </c>
      <c r="C124" s="9">
        <v>15</v>
      </c>
      <c r="D124" s="9">
        <v>15</v>
      </c>
      <c r="E124" s="9">
        <v>40</v>
      </c>
      <c r="F124" s="9">
        <v>15</v>
      </c>
      <c r="G124" s="9">
        <v>25</v>
      </c>
      <c r="H124" s="9">
        <v>20</v>
      </c>
    </row>
    <row r="125" spans="1:8">
      <c r="A125" s="5">
        <v>50</v>
      </c>
      <c r="B125" s="5">
        <v>10</v>
      </c>
      <c r="C125" s="5">
        <v>20</v>
      </c>
      <c r="D125" s="5">
        <v>20</v>
      </c>
      <c r="E125" s="5">
        <v>20</v>
      </c>
      <c r="F125" s="5">
        <v>20</v>
      </c>
      <c r="G125" s="5">
        <v>10</v>
      </c>
      <c r="H125" s="5">
        <v>50</v>
      </c>
    </row>
    <row r="126" spans="1:8">
      <c r="A126" s="9">
        <v>50</v>
      </c>
      <c r="B126" s="9">
        <v>20</v>
      </c>
      <c r="C126" s="9">
        <v>10</v>
      </c>
      <c r="D126" s="9">
        <v>20</v>
      </c>
      <c r="E126" s="9">
        <v>50</v>
      </c>
      <c r="F126" s="9">
        <v>20</v>
      </c>
      <c r="G126" s="9">
        <v>10</v>
      </c>
      <c r="H126" s="9">
        <v>20</v>
      </c>
    </row>
    <row r="127" spans="1:8">
      <c r="A127" s="5">
        <v>70</v>
      </c>
      <c r="B127" s="5">
        <v>10</v>
      </c>
      <c r="C127" s="5">
        <v>10</v>
      </c>
      <c r="D127" s="5">
        <v>10</v>
      </c>
      <c r="E127" s="5">
        <v>70</v>
      </c>
      <c r="F127" s="5">
        <v>10</v>
      </c>
      <c r="G127" s="5">
        <v>10</v>
      </c>
      <c r="H127" s="5">
        <v>10</v>
      </c>
    </row>
    <row r="128" spans="1:8">
      <c r="A128" s="9">
        <v>30</v>
      </c>
      <c r="B128" s="9">
        <v>30</v>
      </c>
      <c r="C128" s="9">
        <v>20</v>
      </c>
      <c r="D128" s="9">
        <v>20</v>
      </c>
      <c r="E128" s="9">
        <v>30</v>
      </c>
      <c r="F128" s="9">
        <v>30</v>
      </c>
      <c r="G128" s="9">
        <v>20</v>
      </c>
      <c r="H128" s="9">
        <v>20</v>
      </c>
    </row>
    <row r="129" spans="1:8">
      <c r="A129" s="5">
        <v>20</v>
      </c>
      <c r="B129" s="5">
        <v>30</v>
      </c>
      <c r="C129" s="5">
        <v>30</v>
      </c>
      <c r="D129" s="5">
        <v>20</v>
      </c>
      <c r="E129" s="5">
        <v>20</v>
      </c>
      <c r="F129" s="5">
        <v>30</v>
      </c>
      <c r="G129" s="5">
        <v>30</v>
      </c>
      <c r="H129" s="5">
        <v>20</v>
      </c>
    </row>
    <row r="130" spans="1:8">
      <c r="A130" s="9">
        <v>70</v>
      </c>
      <c r="B130" s="9">
        <v>10</v>
      </c>
      <c r="C130" s="9">
        <v>10</v>
      </c>
      <c r="D130" s="9">
        <v>10</v>
      </c>
      <c r="E130" s="9">
        <v>60</v>
      </c>
      <c r="F130" s="9">
        <v>20</v>
      </c>
      <c r="G130" s="9">
        <v>10</v>
      </c>
      <c r="H130" s="9">
        <v>10</v>
      </c>
    </row>
    <row r="131" spans="1:8">
      <c r="A131" s="5">
        <v>70</v>
      </c>
      <c r="B131" s="5">
        <v>10</v>
      </c>
      <c r="C131" s="5">
        <v>10</v>
      </c>
      <c r="D131" s="5">
        <v>10</v>
      </c>
      <c r="E131" s="5">
        <v>10</v>
      </c>
      <c r="F131" s="5">
        <v>10</v>
      </c>
      <c r="G131" s="5">
        <v>10</v>
      </c>
      <c r="H131" s="5">
        <v>70</v>
      </c>
    </row>
    <row r="132" spans="1:8">
      <c r="A132" s="9">
        <v>60</v>
      </c>
      <c r="B132" s="9">
        <v>20</v>
      </c>
      <c r="C132" s="9">
        <v>10</v>
      </c>
      <c r="D132" s="9">
        <v>10</v>
      </c>
      <c r="E132" s="9">
        <v>40</v>
      </c>
      <c r="F132" s="9">
        <v>20</v>
      </c>
      <c r="G132" s="9">
        <v>20</v>
      </c>
      <c r="H132" s="9">
        <v>20</v>
      </c>
    </row>
    <row r="133" spans="1:8">
      <c r="A133" s="5">
        <v>40</v>
      </c>
      <c r="B133" s="5">
        <v>20</v>
      </c>
      <c r="C133" s="5">
        <v>20</v>
      </c>
      <c r="D133" s="5">
        <v>20</v>
      </c>
      <c r="E133" s="5">
        <v>30</v>
      </c>
      <c r="F133" s="5">
        <v>30</v>
      </c>
      <c r="G133" s="5">
        <v>20</v>
      </c>
      <c r="H133" s="5">
        <v>20</v>
      </c>
    </row>
    <row r="134" spans="1:8">
      <c r="A134" s="9"/>
      <c r="B134" s="9"/>
      <c r="C134" s="9"/>
      <c r="D134" s="9"/>
      <c r="E134" s="9"/>
      <c r="F134" s="9"/>
      <c r="G134" s="9"/>
      <c r="H134" s="9"/>
    </row>
    <row r="135" spans="1:8">
      <c r="A135" s="5"/>
      <c r="B135" s="5"/>
      <c r="C135" s="5"/>
      <c r="D135" s="5"/>
      <c r="E135" s="5"/>
      <c r="F135" s="5"/>
      <c r="G135" s="5"/>
      <c r="H135" s="5"/>
    </row>
    <row r="136" spans="1:8">
      <c r="A136" s="9"/>
      <c r="B136" s="9"/>
      <c r="C136" s="9"/>
      <c r="D136" s="9"/>
      <c r="E136" s="9"/>
      <c r="F136" s="9"/>
      <c r="G136" s="9"/>
      <c r="H136" s="9"/>
    </row>
    <row r="137" spans="1:8">
      <c r="A137" s="5"/>
      <c r="B137" s="5"/>
      <c r="C137" s="5"/>
      <c r="D137" s="5"/>
      <c r="E137" s="5"/>
      <c r="F137" s="5"/>
      <c r="G137" s="5"/>
      <c r="H137" s="5"/>
    </row>
    <row r="138" spans="1:8">
      <c r="A138" s="9"/>
      <c r="B138" s="9"/>
      <c r="C138" s="9"/>
      <c r="D138" s="9"/>
      <c r="E138" s="9"/>
      <c r="F138" s="9"/>
      <c r="G138" s="9"/>
      <c r="H138" s="9"/>
    </row>
    <row r="139" spans="1:8">
      <c r="A139" s="5"/>
      <c r="B139" s="5"/>
      <c r="C139" s="5"/>
      <c r="D139" s="5"/>
      <c r="E139" s="5"/>
      <c r="F139" s="5"/>
      <c r="G139" s="5"/>
      <c r="H139" s="5"/>
    </row>
    <row r="140" spans="1:8">
      <c r="A140" s="9"/>
      <c r="B140" s="9"/>
      <c r="C140" s="9"/>
      <c r="D140" s="9"/>
      <c r="E140" s="9"/>
      <c r="F140" s="9"/>
      <c r="G140" s="9"/>
      <c r="H140" s="9"/>
    </row>
    <row r="141" spans="1:8">
      <c r="A141" s="5"/>
      <c r="B141" s="5"/>
      <c r="C141" s="5"/>
      <c r="D141" s="5"/>
      <c r="E141" s="5"/>
      <c r="F141" s="5"/>
      <c r="G141" s="5"/>
      <c r="H141" s="5"/>
    </row>
    <row r="142" spans="1:8">
      <c r="A142" s="9"/>
      <c r="B142" s="9"/>
      <c r="C142" s="9"/>
      <c r="D142" s="9"/>
      <c r="E142" s="9"/>
      <c r="F142" s="9"/>
      <c r="G142" s="9"/>
      <c r="H142" s="9"/>
    </row>
    <row r="143" spans="1:8">
      <c r="A143" s="5"/>
      <c r="B143" s="5"/>
      <c r="C143" s="5"/>
      <c r="D143" s="5"/>
      <c r="E143" s="5"/>
      <c r="F143" s="5"/>
      <c r="G143" s="5"/>
      <c r="H143" s="5"/>
    </row>
    <row r="144" spans="1:8">
      <c r="A144" s="9"/>
      <c r="B144" s="9"/>
      <c r="C144" s="9"/>
      <c r="D144" s="9"/>
      <c r="E144" s="9"/>
      <c r="F144" s="9"/>
      <c r="G144" s="9"/>
      <c r="H144" s="9"/>
    </row>
    <row r="145" spans="1:8">
      <c r="A145" s="5"/>
      <c r="B145" s="5"/>
      <c r="C145" s="5"/>
      <c r="D145" s="5"/>
      <c r="E145" s="5"/>
      <c r="F145" s="5"/>
      <c r="G145" s="5"/>
      <c r="H145" s="5"/>
    </row>
    <row r="146" spans="1:8">
      <c r="A146" s="9"/>
      <c r="B146" s="9"/>
      <c r="C146" s="9"/>
      <c r="D146" s="9"/>
      <c r="E146" s="9"/>
      <c r="F146" s="9"/>
      <c r="G146" s="9"/>
      <c r="H146" s="9"/>
    </row>
    <row r="147" spans="1:8">
      <c r="A147" s="5"/>
      <c r="B147" s="5"/>
      <c r="C147" s="5"/>
      <c r="D147" s="5"/>
      <c r="E147" s="5"/>
      <c r="F147" s="5"/>
      <c r="G147" s="5"/>
      <c r="H147" s="5"/>
    </row>
    <row r="148" spans="1:8">
      <c r="A148" s="9"/>
      <c r="B148" s="9"/>
      <c r="C148" s="9"/>
      <c r="D148" s="9"/>
      <c r="E148" s="9"/>
      <c r="F148" s="9"/>
      <c r="G148" s="9"/>
      <c r="H148" s="9"/>
    </row>
    <row r="149" spans="1:8">
      <c r="A149" s="5"/>
      <c r="B149" s="5"/>
      <c r="C149" s="5"/>
      <c r="D149" s="5"/>
      <c r="E149" s="5"/>
      <c r="F149" s="5"/>
      <c r="G149" s="5"/>
      <c r="H149" s="5"/>
    </row>
    <row r="150" spans="1:8">
      <c r="A150" s="9"/>
      <c r="B150" s="9"/>
      <c r="C150" s="9"/>
      <c r="D150" s="9"/>
      <c r="E150" s="9"/>
      <c r="F150" s="9"/>
      <c r="G150" s="9"/>
      <c r="H150" s="9"/>
    </row>
    <row r="151" spans="1:8">
      <c r="A151" s="5"/>
      <c r="B151" s="5"/>
      <c r="C151" s="5"/>
      <c r="D151" s="5"/>
      <c r="E151" s="5"/>
      <c r="F151" s="5"/>
      <c r="G151" s="5"/>
      <c r="H151" s="5"/>
    </row>
    <row r="152" spans="1:8">
      <c r="A152" s="9"/>
      <c r="B152" s="9"/>
      <c r="C152" s="9"/>
      <c r="D152" s="9"/>
      <c r="E152" s="9"/>
      <c r="F152" s="9"/>
      <c r="G152" s="9"/>
      <c r="H152" s="9"/>
    </row>
    <row r="153" spans="1:8">
      <c r="A153" s="5"/>
      <c r="B153" s="5"/>
      <c r="C153" s="5"/>
      <c r="D153" s="5"/>
      <c r="E153" s="5"/>
      <c r="F153" s="5"/>
      <c r="G153" s="5"/>
      <c r="H153" s="5"/>
    </row>
    <row r="154" spans="1:8">
      <c r="A154" s="9"/>
      <c r="B154" s="9"/>
      <c r="C154" s="9"/>
      <c r="D154" s="9"/>
      <c r="E154" s="9"/>
      <c r="F154" s="9"/>
      <c r="G154" s="9"/>
      <c r="H154" s="9"/>
    </row>
    <row r="155" spans="1:8">
      <c r="A155" s="5"/>
      <c r="B155" s="5"/>
      <c r="C155" s="5"/>
      <c r="D155" s="5"/>
      <c r="E155" s="5"/>
      <c r="F155" s="5"/>
      <c r="G155" s="5"/>
      <c r="H155" s="5"/>
    </row>
    <row r="156" spans="1:8">
      <c r="A156" s="9"/>
      <c r="B156" s="9"/>
      <c r="C156" s="9"/>
      <c r="D156" s="9"/>
      <c r="E156" s="9"/>
      <c r="F156" s="9"/>
      <c r="G156" s="9"/>
      <c r="H156" s="9"/>
    </row>
    <row r="157" spans="1:8">
      <c r="A157" s="5"/>
      <c r="B157" s="5"/>
      <c r="C157" s="5"/>
      <c r="D157" s="5"/>
      <c r="E157" s="5"/>
      <c r="F157" s="5"/>
      <c r="G157" s="5"/>
      <c r="H157" s="5"/>
    </row>
    <row r="158" spans="1:8">
      <c r="A158" s="9"/>
      <c r="B158" s="9"/>
      <c r="C158" s="9"/>
      <c r="D158" s="9"/>
      <c r="E158" s="9"/>
      <c r="F158" s="9"/>
      <c r="G158" s="9"/>
      <c r="H158" s="9"/>
    </row>
    <row r="159" spans="1:8">
      <c r="A159" s="5"/>
      <c r="B159" s="5"/>
      <c r="C159" s="5"/>
      <c r="D159" s="5"/>
      <c r="E159" s="5"/>
      <c r="F159" s="5"/>
      <c r="G159" s="5"/>
      <c r="H159" s="5"/>
    </row>
    <row r="160" spans="1:8">
      <c r="A160" s="9"/>
      <c r="B160" s="9"/>
      <c r="C160" s="9"/>
      <c r="D160" s="9"/>
      <c r="E160" s="9"/>
      <c r="F160" s="9"/>
      <c r="G160" s="9"/>
      <c r="H160" s="9"/>
    </row>
    <row r="161" spans="1:8">
      <c r="A161" s="5"/>
      <c r="B161" s="5"/>
      <c r="C161" s="5"/>
      <c r="D161" s="5"/>
      <c r="E161" s="5"/>
      <c r="F161" s="5"/>
      <c r="G161" s="5"/>
      <c r="H161" s="5"/>
    </row>
    <row r="162" spans="1:8">
      <c r="A162" s="9"/>
      <c r="B162" s="9"/>
      <c r="C162" s="9"/>
      <c r="D162" s="9"/>
      <c r="E162" s="9"/>
      <c r="F162" s="9"/>
      <c r="G162" s="9"/>
      <c r="H162" s="9"/>
    </row>
    <row r="163" spans="1:8">
      <c r="A163" s="5"/>
      <c r="B163" s="5"/>
      <c r="C163" s="5"/>
      <c r="D163" s="5"/>
      <c r="E163" s="5"/>
      <c r="F163" s="5"/>
      <c r="G163" s="5"/>
      <c r="H163" s="5"/>
    </row>
    <row r="164" spans="1:8">
      <c r="A164" s="9"/>
      <c r="B164" s="9"/>
      <c r="C164" s="9"/>
      <c r="D164" s="9"/>
      <c r="E164" s="9"/>
      <c r="F164" s="9"/>
      <c r="G164" s="9"/>
      <c r="H164" s="9"/>
    </row>
    <row r="165" spans="1:8">
      <c r="A165" s="5"/>
      <c r="B165" s="5"/>
      <c r="C165" s="5"/>
      <c r="D165" s="5"/>
      <c r="E165" s="5"/>
      <c r="F165" s="5"/>
      <c r="G165" s="5"/>
      <c r="H165" s="5"/>
    </row>
    <row r="166" spans="1:8">
      <c r="A166" s="9"/>
      <c r="B166" s="9"/>
      <c r="C166" s="9"/>
      <c r="D166" s="9"/>
      <c r="E166" s="9"/>
      <c r="F166" s="9"/>
      <c r="G166" s="9"/>
      <c r="H166" s="9"/>
    </row>
    <row r="167" spans="1:8">
      <c r="A167" s="5"/>
      <c r="B167" s="5"/>
      <c r="C167" s="5"/>
      <c r="D167" s="5"/>
      <c r="E167" s="5"/>
      <c r="F167" s="5"/>
      <c r="G167" s="5"/>
      <c r="H167" s="5"/>
    </row>
    <row r="168" spans="1:8">
      <c r="A168" s="9"/>
      <c r="B168" s="9"/>
      <c r="C168" s="9"/>
      <c r="D168" s="9"/>
      <c r="E168" s="9"/>
      <c r="F168" s="9"/>
      <c r="G168" s="9"/>
      <c r="H168" s="9"/>
    </row>
    <row r="169" spans="1:8">
      <c r="A169" s="5"/>
      <c r="B169" s="5"/>
      <c r="C169" s="5"/>
      <c r="D169" s="5"/>
      <c r="E169" s="5"/>
      <c r="F169" s="5"/>
      <c r="G169" s="5"/>
      <c r="H169" s="5"/>
    </row>
    <row r="170" spans="1:8">
      <c r="A170" s="9"/>
      <c r="B170" s="9"/>
      <c r="C170" s="9"/>
      <c r="D170" s="9"/>
      <c r="E170" s="9"/>
      <c r="F170" s="9"/>
      <c r="G170" s="9"/>
      <c r="H170" s="9"/>
    </row>
    <row r="171" spans="1:8">
      <c r="A171" s="5"/>
      <c r="B171" s="5"/>
      <c r="C171" s="5"/>
      <c r="D171" s="5"/>
      <c r="E171" s="5"/>
      <c r="F171" s="5"/>
      <c r="G171" s="5"/>
      <c r="H171" s="5"/>
    </row>
    <row r="172" spans="1:8">
      <c r="A172" s="9"/>
      <c r="B172" s="9"/>
      <c r="C172" s="9"/>
      <c r="D172" s="9"/>
      <c r="E172" s="9"/>
      <c r="F172" s="9"/>
      <c r="G172" s="9"/>
      <c r="H172" s="9"/>
    </row>
    <row r="173" spans="1:8">
      <c r="A173" s="5"/>
      <c r="B173" s="5"/>
      <c r="C173" s="5"/>
      <c r="D173" s="5"/>
      <c r="E173" s="5"/>
      <c r="F173" s="5"/>
      <c r="G173" s="5"/>
      <c r="H173" s="5"/>
    </row>
    <row r="174" spans="1:8">
      <c r="A174" s="9"/>
      <c r="B174" s="9"/>
      <c r="C174" s="9"/>
      <c r="D174" s="9"/>
      <c r="E174" s="9"/>
      <c r="F174" s="9"/>
      <c r="G174" s="9"/>
      <c r="H174" s="9"/>
    </row>
    <row r="175" spans="1:8">
      <c r="A175" s="5"/>
      <c r="B175" s="5"/>
      <c r="C175" s="5"/>
      <c r="D175" s="5"/>
      <c r="E175" s="5"/>
      <c r="F175" s="5"/>
      <c r="G175" s="5"/>
      <c r="H175" s="5"/>
    </row>
    <row r="176" spans="1:8">
      <c r="A176" s="9"/>
      <c r="B176" s="9"/>
      <c r="C176" s="9"/>
      <c r="D176" s="9"/>
      <c r="E176" s="9"/>
      <c r="F176" s="9"/>
      <c r="G176" s="9"/>
      <c r="H176" s="9"/>
    </row>
    <row r="177" spans="1:8">
      <c r="A177" s="5"/>
      <c r="B177" s="5"/>
      <c r="C177" s="5"/>
      <c r="D177" s="5"/>
      <c r="E177" s="5"/>
      <c r="F177" s="5"/>
      <c r="G177" s="5"/>
      <c r="H177" s="5"/>
    </row>
    <row r="178" spans="1:8">
      <c r="A178" s="9"/>
      <c r="B178" s="9"/>
      <c r="C178" s="9"/>
      <c r="D178" s="9"/>
      <c r="E178" s="9"/>
      <c r="F178" s="9"/>
      <c r="G178" s="9"/>
      <c r="H178" s="9"/>
    </row>
    <row r="179" spans="1:8">
      <c r="A179" s="5"/>
      <c r="B179" s="5"/>
      <c r="C179" s="5"/>
      <c r="D179" s="5"/>
      <c r="E179" s="5"/>
      <c r="F179" s="5"/>
      <c r="G179" s="5"/>
      <c r="H179" s="5"/>
    </row>
    <row r="180" spans="1:8">
      <c r="A180" s="9"/>
      <c r="B180" s="9"/>
      <c r="C180" s="9"/>
      <c r="D180" s="9"/>
      <c r="E180" s="9"/>
      <c r="F180" s="9"/>
      <c r="G180" s="9"/>
      <c r="H180" s="9"/>
    </row>
    <row r="181" spans="1:8">
      <c r="A181" s="5"/>
      <c r="B181" s="5"/>
      <c r="C181" s="5"/>
      <c r="D181" s="5"/>
      <c r="E181" s="5"/>
      <c r="F181" s="5"/>
      <c r="G181" s="5"/>
      <c r="H181" s="5"/>
    </row>
    <row r="182" spans="1:8">
      <c r="A182" s="9"/>
      <c r="B182" s="9"/>
      <c r="C182" s="9"/>
      <c r="D182" s="9"/>
      <c r="E182" s="9"/>
      <c r="F182" s="9"/>
      <c r="G182" s="9"/>
      <c r="H182" s="9"/>
    </row>
    <row r="183" spans="1:8">
      <c r="A183" s="38"/>
      <c r="B183" s="38"/>
      <c r="C183" s="38"/>
      <c r="D183" s="38"/>
      <c r="E183" s="38"/>
      <c r="F183" s="38"/>
      <c r="G183" s="38"/>
      <c r="H183" s="38"/>
    </row>
    <row r="186" spans="1:8">
      <c r="A186" s="42"/>
      <c r="B186" s="42"/>
      <c r="C186" s="42"/>
      <c r="D186" s="42"/>
      <c r="E186" s="42"/>
      <c r="F186" s="42"/>
      <c r="G186" s="42"/>
      <c r="H186" s="42"/>
    </row>
  </sheetData>
  <mergeCells count="2">
    <mergeCell ref="A1:D1"/>
    <mergeCell ref="E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Sosiometri</vt:lpstr>
      <vt:lpstr>Kepemimpinan</vt:lpstr>
      <vt:lpstr>Budaya Organisasi</vt:lpstr>
      <vt:lpstr>Karakteristik yang Dominan</vt:lpstr>
      <vt:lpstr>Kepemimpinan dalam Rumah Sakit</vt:lpstr>
      <vt:lpstr>Pengelolaan Pegawai</vt:lpstr>
      <vt:lpstr>Perekat Rumah Sakit</vt:lpstr>
      <vt:lpstr>Strategi yang Ditekankan</vt:lpstr>
      <vt:lpstr>Kriteria dari Kesuksesan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2025-03-17T02:58:27Z</dcterms:created>
  <dcterms:modified xsi:type="dcterms:W3CDTF">2025-03-17T15:29:15Z</dcterms:modified>
</cp:coreProperties>
</file>