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MAB ROS\Tesis\terbaru\"/>
    </mc:Choice>
  </mc:AlternateContent>
  <xr:revisionPtr revIDLastSave="0" documentId="13_ncr:1_{8F4190A2-A995-4599-A90F-01E98189D8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  <sheet name="Sheet1" sheetId="5" r:id="rId2"/>
    <sheet name="Sheet 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Q117" i="1" l="1"/>
  <c r="CP117" i="1"/>
  <c r="U53" i="4"/>
  <c r="U110" i="4"/>
  <c r="U67" i="4"/>
  <c r="U12" i="4"/>
  <c r="U111" i="4"/>
  <c r="U41" i="4"/>
  <c r="U97" i="4"/>
  <c r="U62" i="4"/>
  <c r="U27" i="4"/>
  <c r="U117" i="4"/>
  <c r="U44" i="4"/>
  <c r="U34" i="4"/>
  <c r="U47" i="4"/>
  <c r="U93" i="4"/>
  <c r="U64" i="4"/>
  <c r="U2" i="4"/>
  <c r="U54" i="4"/>
  <c r="U40" i="4"/>
  <c r="U59" i="4"/>
  <c r="U39" i="4"/>
  <c r="U114" i="4"/>
  <c r="U22" i="4"/>
  <c r="U109" i="4"/>
  <c r="U81" i="4"/>
  <c r="U58" i="4"/>
  <c r="U120" i="4"/>
  <c r="U52" i="4"/>
  <c r="U129" i="4"/>
  <c r="U31" i="4"/>
  <c r="U50" i="4"/>
  <c r="U61" i="4"/>
  <c r="U66" i="4"/>
  <c r="U30" i="4"/>
  <c r="U4" i="4"/>
  <c r="U107" i="4"/>
  <c r="U63" i="4"/>
  <c r="U26" i="4"/>
  <c r="U24" i="4"/>
  <c r="U94" i="4"/>
  <c r="U73" i="4"/>
  <c r="U122" i="4"/>
  <c r="U102" i="4"/>
  <c r="U99" i="4"/>
  <c r="U121" i="4"/>
  <c r="U57" i="4"/>
  <c r="U130" i="4"/>
  <c r="U125" i="4"/>
  <c r="U119" i="4"/>
  <c r="U74" i="4"/>
  <c r="U116" i="4"/>
  <c r="U91" i="4"/>
  <c r="U5" i="4"/>
  <c r="U128" i="4"/>
  <c r="U103" i="4"/>
  <c r="U95" i="4"/>
  <c r="U72" i="4"/>
  <c r="U65" i="4"/>
  <c r="U49" i="4"/>
  <c r="U38" i="4"/>
  <c r="U6" i="4"/>
  <c r="U84" i="4"/>
  <c r="U51" i="4"/>
  <c r="U60" i="4"/>
  <c r="U118" i="4"/>
  <c r="U98" i="4"/>
  <c r="U7" i="4"/>
  <c r="U127" i="4"/>
  <c r="U48" i="4"/>
  <c r="U76" i="4"/>
  <c r="U77" i="4"/>
  <c r="U29" i="4"/>
  <c r="U96" i="4"/>
  <c r="U68" i="4"/>
  <c r="U13" i="4"/>
  <c r="U88" i="4"/>
  <c r="U45" i="4"/>
  <c r="U16" i="4"/>
  <c r="U23" i="4"/>
  <c r="U86" i="4"/>
  <c r="U106" i="4"/>
  <c r="U11" i="4"/>
  <c r="U87" i="4"/>
  <c r="U46" i="4"/>
  <c r="U112" i="4"/>
  <c r="U32" i="4"/>
  <c r="U35" i="4"/>
  <c r="U33" i="4"/>
  <c r="U82" i="4"/>
  <c r="U56" i="4"/>
  <c r="U21" i="4"/>
  <c r="U25" i="4"/>
  <c r="U71" i="4"/>
  <c r="U92" i="4"/>
  <c r="U18" i="4"/>
  <c r="U28" i="4"/>
  <c r="U124" i="4"/>
  <c r="U132" i="4"/>
  <c r="U19" i="4"/>
  <c r="U126" i="4"/>
  <c r="U105" i="4"/>
  <c r="U8" i="4"/>
  <c r="U78" i="4"/>
  <c r="U14" i="4"/>
  <c r="U42" i="4"/>
  <c r="U75" i="4"/>
  <c r="U115" i="4"/>
  <c r="U9" i="4"/>
  <c r="U3" i="4"/>
  <c r="U123" i="4"/>
  <c r="U15" i="4"/>
  <c r="U83" i="4"/>
  <c r="U85" i="4"/>
  <c r="U89" i="4"/>
  <c r="U90" i="4"/>
  <c r="U113" i="4"/>
  <c r="U100" i="4"/>
  <c r="U79" i="4"/>
  <c r="U70" i="4"/>
  <c r="U37" i="4"/>
  <c r="U69" i="4"/>
  <c r="U17" i="4"/>
  <c r="U131" i="4"/>
  <c r="U20" i="4"/>
  <c r="U108" i="4"/>
  <c r="U10" i="4"/>
  <c r="U101" i="4"/>
  <c r="U104" i="4"/>
  <c r="U80" i="4"/>
  <c r="U36" i="4"/>
  <c r="U55" i="4"/>
  <c r="CQ15" i="1"/>
  <c r="CQ19" i="1"/>
  <c r="CQ121" i="1"/>
  <c r="CQ129" i="1"/>
  <c r="CQ133" i="1"/>
  <c r="CQ137" i="1"/>
  <c r="CQ145" i="1"/>
  <c r="CQ149" i="1"/>
  <c r="CQ153" i="1"/>
  <c r="CQ161" i="1"/>
  <c r="CQ165" i="1"/>
  <c r="CQ169" i="1"/>
  <c r="CQ177" i="1"/>
  <c r="CQ181" i="1"/>
  <c r="CP4" i="1"/>
  <c r="CQ4" i="1" s="1"/>
  <c r="CP5" i="1"/>
  <c r="CQ5" i="1" s="1"/>
  <c r="CP6" i="1"/>
  <c r="CQ6" i="1" s="1"/>
  <c r="CP7" i="1"/>
  <c r="CQ7" i="1" s="1"/>
  <c r="CP8" i="1"/>
  <c r="CQ8" i="1" s="1"/>
  <c r="CP9" i="1"/>
  <c r="CQ9" i="1" s="1"/>
  <c r="CP10" i="1"/>
  <c r="CQ10" i="1" s="1"/>
  <c r="CP11" i="1"/>
  <c r="CQ11" i="1" s="1"/>
  <c r="CP12" i="1"/>
  <c r="CQ12" i="1" s="1"/>
  <c r="CP13" i="1"/>
  <c r="CQ13" i="1" s="1"/>
  <c r="CP14" i="1"/>
  <c r="CQ14" i="1" s="1"/>
  <c r="CP15" i="1"/>
  <c r="CP16" i="1"/>
  <c r="CQ16" i="1" s="1"/>
  <c r="CP17" i="1"/>
  <c r="CQ17" i="1" s="1"/>
  <c r="CP18" i="1"/>
  <c r="CQ18" i="1" s="1"/>
  <c r="CP19" i="1"/>
  <c r="CP20" i="1"/>
  <c r="CQ20" i="1" s="1"/>
  <c r="CP21" i="1"/>
  <c r="CQ21" i="1" s="1"/>
  <c r="CP22" i="1"/>
  <c r="CQ22" i="1" s="1"/>
  <c r="CP23" i="1"/>
  <c r="CQ23" i="1" s="1"/>
  <c r="CP24" i="1"/>
  <c r="CQ24" i="1" s="1"/>
  <c r="CP25" i="1"/>
  <c r="CQ25" i="1" s="1"/>
  <c r="CP26" i="1"/>
  <c r="CQ26" i="1" s="1"/>
  <c r="CP27" i="1"/>
  <c r="CQ27" i="1" s="1"/>
  <c r="CP28" i="1"/>
  <c r="CQ28" i="1" s="1"/>
  <c r="CP29" i="1"/>
  <c r="CQ29" i="1" s="1"/>
  <c r="CP30" i="1"/>
  <c r="CQ30" i="1" s="1"/>
  <c r="CP31" i="1"/>
  <c r="CQ31" i="1" s="1"/>
  <c r="CP32" i="1"/>
  <c r="CQ32" i="1" s="1"/>
  <c r="CP33" i="1"/>
  <c r="CQ33" i="1" s="1"/>
  <c r="CP34" i="1"/>
  <c r="CQ34" i="1" s="1"/>
  <c r="CP35" i="1"/>
  <c r="CQ35" i="1" s="1"/>
  <c r="CP36" i="1"/>
  <c r="CQ36" i="1" s="1"/>
  <c r="CP37" i="1"/>
  <c r="CQ37" i="1" s="1"/>
  <c r="CP38" i="1"/>
  <c r="CQ38" i="1" s="1"/>
  <c r="CP39" i="1"/>
  <c r="CQ39" i="1" s="1"/>
  <c r="CP40" i="1"/>
  <c r="CQ40" i="1" s="1"/>
  <c r="CP41" i="1"/>
  <c r="CQ41" i="1" s="1"/>
  <c r="CP42" i="1"/>
  <c r="CQ42" i="1" s="1"/>
  <c r="CP43" i="1"/>
  <c r="CQ43" i="1" s="1"/>
  <c r="CP44" i="1"/>
  <c r="CQ44" i="1" s="1"/>
  <c r="CP45" i="1"/>
  <c r="CQ45" i="1" s="1"/>
  <c r="CP46" i="1"/>
  <c r="CQ46" i="1" s="1"/>
  <c r="CP47" i="1"/>
  <c r="CQ47" i="1" s="1"/>
  <c r="CP48" i="1"/>
  <c r="CQ48" i="1" s="1"/>
  <c r="CP49" i="1"/>
  <c r="CQ49" i="1" s="1"/>
  <c r="CP50" i="1"/>
  <c r="CQ50" i="1" s="1"/>
  <c r="CP51" i="1"/>
  <c r="CQ51" i="1" s="1"/>
  <c r="CP52" i="1"/>
  <c r="CQ52" i="1" s="1"/>
  <c r="CP53" i="1"/>
  <c r="CQ53" i="1" s="1"/>
  <c r="CP54" i="1"/>
  <c r="CQ54" i="1" s="1"/>
  <c r="CP55" i="1"/>
  <c r="CQ55" i="1" s="1"/>
  <c r="CP56" i="1"/>
  <c r="CQ56" i="1" s="1"/>
  <c r="CP57" i="1"/>
  <c r="CQ57" i="1" s="1"/>
  <c r="CP58" i="1"/>
  <c r="CQ58" i="1" s="1"/>
  <c r="CP59" i="1"/>
  <c r="CQ59" i="1" s="1"/>
  <c r="CP60" i="1"/>
  <c r="CQ60" i="1" s="1"/>
  <c r="CP61" i="1"/>
  <c r="CQ61" i="1" s="1"/>
  <c r="CP62" i="1"/>
  <c r="CQ62" i="1" s="1"/>
  <c r="CP63" i="1"/>
  <c r="CQ63" i="1" s="1"/>
  <c r="CP64" i="1"/>
  <c r="CQ64" i="1" s="1"/>
  <c r="CP65" i="1"/>
  <c r="CQ65" i="1" s="1"/>
  <c r="CP66" i="1"/>
  <c r="CQ66" i="1" s="1"/>
  <c r="CP67" i="1"/>
  <c r="CQ67" i="1" s="1"/>
  <c r="CP68" i="1"/>
  <c r="CQ68" i="1" s="1"/>
  <c r="CP69" i="1"/>
  <c r="CQ69" i="1" s="1"/>
  <c r="CP70" i="1"/>
  <c r="CQ70" i="1" s="1"/>
  <c r="CP71" i="1"/>
  <c r="CQ71" i="1" s="1"/>
  <c r="CP72" i="1"/>
  <c r="CQ72" i="1" s="1"/>
  <c r="CP73" i="1"/>
  <c r="CQ73" i="1" s="1"/>
  <c r="CP74" i="1"/>
  <c r="CQ74" i="1" s="1"/>
  <c r="CP75" i="1"/>
  <c r="CQ75" i="1" s="1"/>
  <c r="CP76" i="1"/>
  <c r="CQ76" i="1" s="1"/>
  <c r="CP77" i="1"/>
  <c r="CQ77" i="1" s="1"/>
  <c r="CP78" i="1"/>
  <c r="CQ78" i="1" s="1"/>
  <c r="CP79" i="1"/>
  <c r="CQ79" i="1" s="1"/>
  <c r="CP80" i="1"/>
  <c r="CQ80" i="1" s="1"/>
  <c r="CP81" i="1"/>
  <c r="CQ81" i="1" s="1"/>
  <c r="CP82" i="1"/>
  <c r="CQ82" i="1" s="1"/>
  <c r="CP83" i="1"/>
  <c r="CQ83" i="1" s="1"/>
  <c r="CP84" i="1"/>
  <c r="CQ84" i="1" s="1"/>
  <c r="CP85" i="1"/>
  <c r="CQ85" i="1" s="1"/>
  <c r="CP86" i="1"/>
  <c r="CQ86" i="1" s="1"/>
  <c r="CP87" i="1"/>
  <c r="CQ87" i="1" s="1"/>
  <c r="CP88" i="1"/>
  <c r="CQ88" i="1" s="1"/>
  <c r="CP89" i="1"/>
  <c r="CQ89" i="1" s="1"/>
  <c r="CP90" i="1"/>
  <c r="CQ90" i="1" s="1"/>
  <c r="CP91" i="1"/>
  <c r="CQ91" i="1" s="1"/>
  <c r="CP92" i="1"/>
  <c r="CQ92" i="1" s="1"/>
  <c r="CP93" i="1"/>
  <c r="CQ93" i="1" s="1"/>
  <c r="CP94" i="1"/>
  <c r="CQ94" i="1" s="1"/>
  <c r="CP95" i="1"/>
  <c r="CQ95" i="1" s="1"/>
  <c r="CP96" i="1"/>
  <c r="CQ96" i="1" s="1"/>
  <c r="CP97" i="1"/>
  <c r="CQ97" i="1" s="1"/>
  <c r="CP98" i="1"/>
  <c r="CQ98" i="1" s="1"/>
  <c r="CP99" i="1"/>
  <c r="CQ99" i="1" s="1"/>
  <c r="CP100" i="1"/>
  <c r="CQ100" i="1" s="1"/>
  <c r="CP101" i="1"/>
  <c r="CQ101" i="1" s="1"/>
  <c r="CP102" i="1"/>
  <c r="CQ102" i="1" s="1"/>
  <c r="CP103" i="1"/>
  <c r="CQ103" i="1" s="1"/>
  <c r="CP104" i="1"/>
  <c r="CQ104" i="1" s="1"/>
  <c r="CP105" i="1"/>
  <c r="CQ105" i="1" s="1"/>
  <c r="CP106" i="1"/>
  <c r="CQ106" i="1" s="1"/>
  <c r="CP107" i="1"/>
  <c r="CQ107" i="1" s="1"/>
  <c r="CP108" i="1"/>
  <c r="CQ108" i="1" s="1"/>
  <c r="CP109" i="1"/>
  <c r="CQ109" i="1" s="1"/>
  <c r="CP110" i="1"/>
  <c r="CQ110" i="1" s="1"/>
  <c r="CP111" i="1"/>
  <c r="CQ111" i="1" s="1"/>
  <c r="CP112" i="1"/>
  <c r="CQ112" i="1" s="1"/>
  <c r="CP113" i="1"/>
  <c r="CQ113" i="1" s="1"/>
  <c r="CP114" i="1"/>
  <c r="CP115" i="1"/>
  <c r="CQ115" i="1" s="1"/>
  <c r="CP116" i="1"/>
  <c r="CP118" i="1"/>
  <c r="CQ118" i="1" s="1"/>
  <c r="CP119" i="1"/>
  <c r="CQ119" i="1" s="1"/>
  <c r="CP120" i="1"/>
  <c r="CQ120" i="1" s="1"/>
  <c r="CP121" i="1"/>
  <c r="CP122" i="1"/>
  <c r="CQ122" i="1" s="1"/>
  <c r="CP123" i="1"/>
  <c r="CQ123" i="1" s="1"/>
  <c r="CP124" i="1"/>
  <c r="CQ124" i="1" s="1"/>
  <c r="CP125" i="1"/>
  <c r="CQ125" i="1" s="1"/>
  <c r="CP126" i="1"/>
  <c r="CQ126" i="1" s="1"/>
  <c r="CP127" i="1"/>
  <c r="CQ127" i="1" s="1"/>
  <c r="CP128" i="1"/>
  <c r="CQ128" i="1" s="1"/>
  <c r="CP129" i="1"/>
  <c r="CP130" i="1"/>
  <c r="CQ130" i="1" s="1"/>
  <c r="CP131" i="1"/>
  <c r="CQ131" i="1" s="1"/>
  <c r="CP132" i="1"/>
  <c r="CQ132" i="1" s="1"/>
  <c r="CP133" i="1"/>
  <c r="CP134" i="1"/>
  <c r="CQ134" i="1" s="1"/>
  <c r="CP135" i="1"/>
  <c r="CQ135" i="1" s="1"/>
  <c r="CP136" i="1"/>
  <c r="CQ136" i="1" s="1"/>
  <c r="CP137" i="1"/>
  <c r="CP138" i="1"/>
  <c r="CQ138" i="1" s="1"/>
  <c r="CP139" i="1"/>
  <c r="CQ139" i="1" s="1"/>
  <c r="CP140" i="1"/>
  <c r="CQ140" i="1" s="1"/>
  <c r="CP141" i="1"/>
  <c r="CQ141" i="1" s="1"/>
  <c r="CP142" i="1"/>
  <c r="CQ142" i="1" s="1"/>
  <c r="CP143" i="1"/>
  <c r="CQ143" i="1" s="1"/>
  <c r="CP144" i="1"/>
  <c r="CQ144" i="1" s="1"/>
  <c r="CP145" i="1"/>
  <c r="CP146" i="1"/>
  <c r="CQ146" i="1" s="1"/>
  <c r="CP147" i="1"/>
  <c r="CQ147" i="1" s="1"/>
  <c r="CP148" i="1"/>
  <c r="CQ148" i="1" s="1"/>
  <c r="CP149" i="1"/>
  <c r="CP150" i="1"/>
  <c r="CQ150" i="1" s="1"/>
  <c r="CP151" i="1"/>
  <c r="CQ151" i="1" s="1"/>
  <c r="CP152" i="1"/>
  <c r="CQ152" i="1" s="1"/>
  <c r="CP153" i="1"/>
  <c r="CP154" i="1"/>
  <c r="CQ154" i="1" s="1"/>
  <c r="CP155" i="1"/>
  <c r="CQ155" i="1" s="1"/>
  <c r="CP156" i="1"/>
  <c r="CQ156" i="1" s="1"/>
  <c r="CP157" i="1"/>
  <c r="CQ157" i="1" s="1"/>
  <c r="CP158" i="1"/>
  <c r="CQ158" i="1" s="1"/>
  <c r="CP159" i="1"/>
  <c r="CQ159" i="1" s="1"/>
  <c r="CP160" i="1"/>
  <c r="CQ160" i="1" s="1"/>
  <c r="CP161" i="1"/>
  <c r="CP162" i="1"/>
  <c r="CQ162" i="1" s="1"/>
  <c r="CP163" i="1"/>
  <c r="CQ163" i="1" s="1"/>
  <c r="CP164" i="1"/>
  <c r="CQ164" i="1" s="1"/>
  <c r="CP165" i="1"/>
  <c r="CP166" i="1"/>
  <c r="CQ166" i="1" s="1"/>
  <c r="CP167" i="1"/>
  <c r="CQ167" i="1" s="1"/>
  <c r="CP168" i="1"/>
  <c r="CQ168" i="1" s="1"/>
  <c r="CP169" i="1"/>
  <c r="CP170" i="1"/>
  <c r="CQ170" i="1" s="1"/>
  <c r="CP171" i="1"/>
  <c r="CQ171" i="1" s="1"/>
  <c r="CP172" i="1"/>
  <c r="CQ172" i="1" s="1"/>
  <c r="CP173" i="1"/>
  <c r="CQ173" i="1" s="1"/>
  <c r="CP174" i="1"/>
  <c r="CQ174" i="1" s="1"/>
  <c r="CP175" i="1"/>
  <c r="CQ175" i="1" s="1"/>
  <c r="CP176" i="1"/>
  <c r="CQ176" i="1" s="1"/>
  <c r="CP177" i="1"/>
  <c r="CP178" i="1"/>
  <c r="CQ178" i="1" s="1"/>
  <c r="CP179" i="1"/>
  <c r="CQ179" i="1" s="1"/>
  <c r="CP180" i="1"/>
  <c r="CQ180" i="1" s="1"/>
  <c r="CP181" i="1"/>
  <c r="CP182" i="1"/>
  <c r="CQ182" i="1" s="1"/>
  <c r="CP183" i="1"/>
  <c r="CQ183" i="1" s="1"/>
  <c r="CP3" i="1"/>
  <c r="CQ3" i="1" s="1"/>
  <c r="AG3" i="1"/>
  <c r="BA186" i="1"/>
  <c r="AV186" i="1"/>
  <c r="CJ183" i="1"/>
  <c r="CE183" i="1"/>
  <c r="BZ183" i="1"/>
  <c r="BU183" i="1"/>
  <c r="BP183" i="1"/>
  <c r="BK183" i="1"/>
  <c r="BF183" i="1"/>
  <c r="BA183" i="1"/>
  <c r="AV183" i="1"/>
  <c r="CJ182" i="1"/>
  <c r="CE182" i="1"/>
  <c r="BZ182" i="1"/>
  <c r="BU182" i="1"/>
  <c r="BP182" i="1"/>
  <c r="BK182" i="1"/>
  <c r="BF182" i="1"/>
  <c r="BA182" i="1"/>
  <c r="AV182" i="1"/>
  <c r="CJ181" i="1"/>
  <c r="CE181" i="1"/>
  <c r="BZ181" i="1"/>
  <c r="BU181" i="1"/>
  <c r="BP181" i="1"/>
  <c r="BK181" i="1"/>
  <c r="BF181" i="1"/>
  <c r="BA181" i="1"/>
  <c r="AV181" i="1"/>
  <c r="CJ180" i="1"/>
  <c r="CE180" i="1"/>
  <c r="BZ180" i="1"/>
  <c r="BU180" i="1"/>
  <c r="BP180" i="1"/>
  <c r="BK180" i="1"/>
  <c r="BF180" i="1"/>
  <c r="BA180" i="1"/>
  <c r="AV180" i="1"/>
  <c r="CJ179" i="1"/>
  <c r="CE179" i="1"/>
  <c r="BZ179" i="1"/>
  <c r="BU179" i="1"/>
  <c r="BP179" i="1"/>
  <c r="BK179" i="1"/>
  <c r="BF179" i="1"/>
  <c r="BA179" i="1"/>
  <c r="AV179" i="1"/>
  <c r="CJ178" i="1"/>
  <c r="CE178" i="1"/>
  <c r="BZ178" i="1"/>
  <c r="BU178" i="1"/>
  <c r="BP178" i="1"/>
  <c r="BK178" i="1"/>
  <c r="BF178" i="1"/>
  <c r="BA178" i="1"/>
  <c r="AV178" i="1"/>
  <c r="CJ177" i="1"/>
  <c r="CE177" i="1"/>
  <c r="BZ177" i="1"/>
  <c r="BU177" i="1"/>
  <c r="BP177" i="1"/>
  <c r="BK177" i="1"/>
  <c r="BF177" i="1"/>
  <c r="BA177" i="1"/>
  <c r="AV177" i="1"/>
  <c r="CJ176" i="1"/>
  <c r="CE176" i="1"/>
  <c r="BZ176" i="1"/>
  <c r="BU176" i="1"/>
  <c r="BP176" i="1"/>
  <c r="BK176" i="1"/>
  <c r="BF176" i="1"/>
  <c r="BA176" i="1"/>
  <c r="AV176" i="1"/>
  <c r="CJ175" i="1"/>
  <c r="CE175" i="1"/>
  <c r="BZ175" i="1"/>
  <c r="BU175" i="1"/>
  <c r="BP175" i="1"/>
  <c r="BK175" i="1"/>
  <c r="BF175" i="1"/>
  <c r="BA175" i="1"/>
  <c r="AV175" i="1"/>
  <c r="CJ174" i="1"/>
  <c r="CE174" i="1"/>
  <c r="BZ174" i="1"/>
  <c r="BU174" i="1"/>
  <c r="BP174" i="1"/>
  <c r="BK174" i="1"/>
  <c r="BF174" i="1"/>
  <c r="BA174" i="1"/>
  <c r="AV174" i="1"/>
  <c r="CJ173" i="1"/>
  <c r="CE173" i="1"/>
  <c r="BZ173" i="1"/>
  <c r="BU173" i="1"/>
  <c r="BP173" i="1"/>
  <c r="BK173" i="1"/>
  <c r="BF173" i="1"/>
  <c r="BA173" i="1"/>
  <c r="AV173" i="1"/>
  <c r="CJ172" i="1"/>
  <c r="CE172" i="1"/>
  <c r="BZ172" i="1"/>
  <c r="BU172" i="1"/>
  <c r="BP172" i="1"/>
  <c r="BK172" i="1"/>
  <c r="BF172" i="1"/>
  <c r="BA172" i="1"/>
  <c r="AV172" i="1"/>
  <c r="CJ171" i="1"/>
  <c r="CE171" i="1"/>
  <c r="BZ171" i="1"/>
  <c r="BU171" i="1"/>
  <c r="BP171" i="1"/>
  <c r="BK171" i="1"/>
  <c r="BF171" i="1"/>
  <c r="BA171" i="1"/>
  <c r="AV171" i="1"/>
  <c r="CJ170" i="1"/>
  <c r="CE170" i="1"/>
  <c r="BZ170" i="1"/>
  <c r="BU170" i="1"/>
  <c r="BP170" i="1"/>
  <c r="BK170" i="1"/>
  <c r="BF170" i="1"/>
  <c r="BA170" i="1"/>
  <c r="AV170" i="1"/>
  <c r="CJ169" i="1"/>
  <c r="CE169" i="1"/>
  <c r="BZ169" i="1"/>
  <c r="BU169" i="1"/>
  <c r="BP169" i="1"/>
  <c r="BK169" i="1"/>
  <c r="BF169" i="1"/>
  <c r="BA169" i="1"/>
  <c r="AV169" i="1"/>
  <c r="CJ168" i="1"/>
  <c r="CE168" i="1"/>
  <c r="BZ168" i="1"/>
  <c r="BU168" i="1"/>
  <c r="BP168" i="1"/>
  <c r="BK168" i="1"/>
  <c r="BF168" i="1"/>
  <c r="BA168" i="1"/>
  <c r="AV168" i="1"/>
  <c r="CJ167" i="1"/>
  <c r="CE167" i="1"/>
  <c r="BZ167" i="1"/>
  <c r="BU167" i="1"/>
  <c r="BP167" i="1"/>
  <c r="BK167" i="1"/>
  <c r="BF167" i="1"/>
  <c r="BA167" i="1"/>
  <c r="AV167" i="1"/>
  <c r="CJ166" i="1"/>
  <c r="CE166" i="1"/>
  <c r="BZ166" i="1"/>
  <c r="BU166" i="1"/>
  <c r="BP166" i="1"/>
  <c r="BK166" i="1"/>
  <c r="BF166" i="1"/>
  <c r="BA166" i="1"/>
  <c r="AV166" i="1"/>
  <c r="CJ165" i="1"/>
  <c r="CE165" i="1"/>
  <c r="BZ165" i="1"/>
  <c r="BU165" i="1"/>
  <c r="BP165" i="1"/>
  <c r="BK165" i="1"/>
  <c r="BF165" i="1"/>
  <c r="BA165" i="1"/>
  <c r="AV165" i="1"/>
  <c r="CJ164" i="1"/>
  <c r="CE164" i="1"/>
  <c r="BZ164" i="1"/>
  <c r="BU164" i="1"/>
  <c r="BP164" i="1"/>
  <c r="BK164" i="1"/>
  <c r="BF164" i="1"/>
  <c r="BA164" i="1"/>
  <c r="AV164" i="1"/>
  <c r="CJ163" i="1"/>
  <c r="CE163" i="1"/>
  <c r="BZ163" i="1"/>
  <c r="BU163" i="1"/>
  <c r="BP163" i="1"/>
  <c r="BK163" i="1"/>
  <c r="BF163" i="1"/>
  <c r="BA163" i="1"/>
  <c r="AV163" i="1"/>
  <c r="CJ162" i="1"/>
  <c r="CE162" i="1"/>
  <c r="BZ162" i="1"/>
  <c r="BU162" i="1"/>
  <c r="BP162" i="1"/>
  <c r="BK162" i="1"/>
  <c r="BF162" i="1"/>
  <c r="BA162" i="1"/>
  <c r="AV162" i="1"/>
  <c r="CJ161" i="1"/>
  <c r="CE161" i="1"/>
  <c r="BZ161" i="1"/>
  <c r="BU161" i="1"/>
  <c r="BP161" i="1"/>
  <c r="BK161" i="1"/>
  <c r="BF161" i="1"/>
  <c r="BA161" i="1"/>
  <c r="AV161" i="1"/>
  <c r="CJ160" i="1"/>
  <c r="CE160" i="1"/>
  <c r="BZ160" i="1"/>
  <c r="BU160" i="1"/>
  <c r="BP160" i="1"/>
  <c r="BK160" i="1"/>
  <c r="BF160" i="1"/>
  <c r="BA160" i="1"/>
  <c r="AV160" i="1"/>
  <c r="CJ159" i="1"/>
  <c r="CE159" i="1"/>
  <c r="BZ159" i="1"/>
  <c r="BU159" i="1"/>
  <c r="BP159" i="1"/>
  <c r="BK159" i="1"/>
  <c r="BF159" i="1"/>
  <c r="BA159" i="1"/>
  <c r="AV159" i="1"/>
  <c r="CJ158" i="1"/>
  <c r="CE158" i="1"/>
  <c r="BZ158" i="1"/>
  <c r="BU158" i="1"/>
  <c r="BP158" i="1"/>
  <c r="BK158" i="1"/>
  <c r="BF158" i="1"/>
  <c r="BA158" i="1"/>
  <c r="AV158" i="1"/>
  <c r="CJ157" i="1"/>
  <c r="CE157" i="1"/>
  <c r="BZ157" i="1"/>
  <c r="BU157" i="1"/>
  <c r="BP157" i="1"/>
  <c r="BK157" i="1"/>
  <c r="BF157" i="1"/>
  <c r="BA157" i="1"/>
  <c r="AV157" i="1"/>
  <c r="CJ156" i="1"/>
  <c r="CE156" i="1"/>
  <c r="BZ156" i="1"/>
  <c r="BU156" i="1"/>
  <c r="BP156" i="1"/>
  <c r="BK156" i="1"/>
  <c r="BF156" i="1"/>
  <c r="BA156" i="1"/>
  <c r="AV156" i="1"/>
  <c r="CJ155" i="1"/>
  <c r="CE155" i="1"/>
  <c r="BZ155" i="1"/>
  <c r="BU155" i="1"/>
  <c r="BP155" i="1"/>
  <c r="BK155" i="1"/>
  <c r="BF155" i="1"/>
  <c r="BA155" i="1"/>
  <c r="AV155" i="1"/>
  <c r="CJ154" i="1"/>
  <c r="CE154" i="1"/>
  <c r="BZ154" i="1"/>
  <c r="BU154" i="1"/>
  <c r="BP154" i="1"/>
  <c r="BK154" i="1"/>
  <c r="BF154" i="1"/>
  <c r="BA154" i="1"/>
  <c r="AV154" i="1"/>
  <c r="CJ153" i="1"/>
  <c r="CE153" i="1"/>
  <c r="BZ153" i="1"/>
  <c r="BU153" i="1"/>
  <c r="BP153" i="1"/>
  <c r="BK153" i="1"/>
  <c r="BF153" i="1"/>
  <c r="BA153" i="1"/>
  <c r="AV153" i="1"/>
  <c r="CJ152" i="1"/>
  <c r="CE152" i="1"/>
  <c r="BZ152" i="1"/>
  <c r="BU152" i="1"/>
  <c r="BP152" i="1"/>
  <c r="BK152" i="1"/>
  <c r="BF152" i="1"/>
  <c r="BA152" i="1"/>
  <c r="AV152" i="1"/>
  <c r="CJ151" i="1"/>
  <c r="CE151" i="1"/>
  <c r="BZ151" i="1"/>
  <c r="BU151" i="1"/>
  <c r="BP151" i="1"/>
  <c r="BK151" i="1"/>
  <c r="BF151" i="1"/>
  <c r="BA151" i="1"/>
  <c r="AV151" i="1"/>
  <c r="CJ150" i="1"/>
  <c r="CE150" i="1"/>
  <c r="BZ150" i="1"/>
  <c r="BU150" i="1"/>
  <c r="BP150" i="1"/>
  <c r="BK150" i="1"/>
  <c r="BF150" i="1"/>
  <c r="BA150" i="1"/>
  <c r="AV150" i="1"/>
  <c r="CJ149" i="1"/>
  <c r="CE149" i="1"/>
  <c r="BZ149" i="1"/>
  <c r="BU149" i="1"/>
  <c r="BP149" i="1"/>
  <c r="BK149" i="1"/>
  <c r="BF149" i="1"/>
  <c r="BA149" i="1"/>
  <c r="AV149" i="1"/>
  <c r="CJ148" i="1"/>
  <c r="CE148" i="1"/>
  <c r="BZ148" i="1"/>
  <c r="BU148" i="1"/>
  <c r="BP148" i="1"/>
  <c r="BK148" i="1"/>
  <c r="BF148" i="1"/>
  <c r="BA148" i="1"/>
  <c r="AV148" i="1"/>
  <c r="CJ147" i="1"/>
  <c r="CE147" i="1"/>
  <c r="BZ147" i="1"/>
  <c r="BU147" i="1"/>
  <c r="BP147" i="1"/>
  <c r="BK147" i="1"/>
  <c r="BF147" i="1"/>
  <c r="BA147" i="1"/>
  <c r="AV147" i="1"/>
  <c r="CJ146" i="1"/>
  <c r="CE146" i="1"/>
  <c r="BZ146" i="1"/>
  <c r="BU146" i="1"/>
  <c r="BP146" i="1"/>
  <c r="BK146" i="1"/>
  <c r="BF146" i="1"/>
  <c r="BA146" i="1"/>
  <c r="AV146" i="1"/>
  <c r="CJ145" i="1"/>
  <c r="CE145" i="1"/>
  <c r="BZ145" i="1"/>
  <c r="BU145" i="1"/>
  <c r="BP145" i="1"/>
  <c r="BK145" i="1"/>
  <c r="BF145" i="1"/>
  <c r="BA145" i="1"/>
  <c r="AV145" i="1"/>
  <c r="CJ144" i="1"/>
  <c r="CE144" i="1"/>
  <c r="BZ144" i="1"/>
  <c r="BU144" i="1"/>
  <c r="BP144" i="1"/>
  <c r="BK144" i="1"/>
  <c r="BF144" i="1"/>
  <c r="BA144" i="1"/>
  <c r="AV144" i="1"/>
  <c r="CJ143" i="1"/>
  <c r="CE143" i="1"/>
  <c r="BZ143" i="1"/>
  <c r="BU143" i="1"/>
  <c r="BP143" i="1"/>
  <c r="BK143" i="1"/>
  <c r="BF143" i="1"/>
  <c r="BA143" i="1"/>
  <c r="AV143" i="1"/>
  <c r="CJ142" i="1"/>
  <c r="CE142" i="1"/>
  <c r="BZ142" i="1"/>
  <c r="BU142" i="1"/>
  <c r="BP142" i="1"/>
  <c r="BK142" i="1"/>
  <c r="BF142" i="1"/>
  <c r="BA142" i="1"/>
  <c r="AV142" i="1"/>
  <c r="CJ141" i="1"/>
  <c r="CE141" i="1"/>
  <c r="BZ141" i="1"/>
  <c r="BU141" i="1"/>
  <c r="BP141" i="1"/>
  <c r="BK141" i="1"/>
  <c r="BF141" i="1"/>
  <c r="BA141" i="1"/>
  <c r="AV141" i="1"/>
  <c r="CJ140" i="1"/>
  <c r="CE140" i="1"/>
  <c r="BZ140" i="1"/>
  <c r="BU140" i="1"/>
  <c r="BP140" i="1"/>
  <c r="BK140" i="1"/>
  <c r="BF140" i="1"/>
  <c r="BA140" i="1"/>
  <c r="AV140" i="1"/>
  <c r="CJ139" i="1"/>
  <c r="CE139" i="1"/>
  <c r="BZ139" i="1"/>
  <c r="BU139" i="1"/>
  <c r="BP139" i="1"/>
  <c r="BK139" i="1"/>
  <c r="BF139" i="1"/>
  <c r="BA139" i="1"/>
  <c r="AV139" i="1"/>
  <c r="CJ138" i="1"/>
  <c r="CE138" i="1"/>
  <c r="BZ138" i="1"/>
  <c r="BU138" i="1"/>
  <c r="BP138" i="1"/>
  <c r="BK138" i="1"/>
  <c r="BF138" i="1"/>
  <c r="BA138" i="1"/>
  <c r="AV138" i="1"/>
  <c r="CJ137" i="1"/>
  <c r="CE137" i="1"/>
  <c r="BZ137" i="1"/>
  <c r="BU137" i="1"/>
  <c r="BP137" i="1"/>
  <c r="BK137" i="1"/>
  <c r="BF137" i="1"/>
  <c r="BA137" i="1"/>
  <c r="AV137" i="1"/>
  <c r="CJ136" i="1"/>
  <c r="CE136" i="1"/>
  <c r="BZ136" i="1"/>
  <c r="BU136" i="1"/>
  <c r="BP136" i="1"/>
  <c r="BK136" i="1"/>
  <c r="BF136" i="1"/>
  <c r="BA136" i="1"/>
  <c r="AV136" i="1"/>
  <c r="CJ135" i="1"/>
  <c r="CE135" i="1"/>
  <c r="BZ135" i="1"/>
  <c r="BU135" i="1"/>
  <c r="BP135" i="1"/>
  <c r="BK135" i="1"/>
  <c r="BF135" i="1"/>
  <c r="BA135" i="1"/>
  <c r="AV135" i="1"/>
  <c r="CJ134" i="1"/>
  <c r="CE134" i="1"/>
  <c r="BZ134" i="1"/>
  <c r="BU134" i="1"/>
  <c r="BP134" i="1"/>
  <c r="BK134" i="1"/>
  <c r="BF134" i="1"/>
  <c r="BA134" i="1"/>
  <c r="AV134" i="1"/>
  <c r="CJ133" i="1"/>
  <c r="CE133" i="1"/>
  <c r="BZ133" i="1"/>
  <c r="BU133" i="1"/>
  <c r="BP133" i="1"/>
  <c r="BK133" i="1"/>
  <c r="BF133" i="1"/>
  <c r="BA133" i="1"/>
  <c r="AV133" i="1"/>
  <c r="AQ133" i="1"/>
  <c r="AL133" i="1"/>
  <c r="AG133" i="1"/>
  <c r="CJ132" i="1"/>
  <c r="CE132" i="1"/>
  <c r="BZ132" i="1"/>
  <c r="BU132" i="1"/>
  <c r="BP132" i="1"/>
  <c r="BK132" i="1"/>
  <c r="BF132" i="1"/>
  <c r="BA132" i="1"/>
  <c r="AV132" i="1"/>
  <c r="AQ132" i="1"/>
  <c r="AL132" i="1"/>
  <c r="AG132" i="1"/>
  <c r="CJ131" i="1"/>
  <c r="CE131" i="1"/>
  <c r="BZ131" i="1"/>
  <c r="BU131" i="1"/>
  <c r="BP131" i="1"/>
  <c r="BK131" i="1"/>
  <c r="BF131" i="1"/>
  <c r="BA131" i="1"/>
  <c r="AV131" i="1"/>
  <c r="AQ131" i="1"/>
  <c r="AL131" i="1"/>
  <c r="AG131" i="1"/>
  <c r="CJ130" i="1"/>
  <c r="CE130" i="1"/>
  <c r="BZ130" i="1"/>
  <c r="BU130" i="1"/>
  <c r="BP130" i="1"/>
  <c r="BK130" i="1"/>
  <c r="BF130" i="1"/>
  <c r="BA130" i="1"/>
  <c r="AV130" i="1"/>
  <c r="AQ130" i="1"/>
  <c r="AL130" i="1"/>
  <c r="AG130" i="1"/>
  <c r="CJ129" i="1"/>
  <c r="CE129" i="1"/>
  <c r="BZ129" i="1"/>
  <c r="BU129" i="1"/>
  <c r="BP129" i="1"/>
  <c r="BK129" i="1"/>
  <c r="BF129" i="1"/>
  <c r="BA129" i="1"/>
  <c r="AV129" i="1"/>
  <c r="AQ129" i="1"/>
  <c r="AL129" i="1"/>
  <c r="AG129" i="1"/>
  <c r="CJ128" i="1"/>
  <c r="CE128" i="1"/>
  <c r="BZ128" i="1"/>
  <c r="BU128" i="1"/>
  <c r="BP128" i="1"/>
  <c r="BK128" i="1"/>
  <c r="BF128" i="1"/>
  <c r="BA128" i="1"/>
  <c r="AV128" i="1"/>
  <c r="AQ128" i="1"/>
  <c r="AL128" i="1"/>
  <c r="AG128" i="1"/>
  <c r="CJ127" i="1"/>
  <c r="CE127" i="1"/>
  <c r="BZ127" i="1"/>
  <c r="BU127" i="1"/>
  <c r="BP127" i="1"/>
  <c r="BK127" i="1"/>
  <c r="BF127" i="1"/>
  <c r="BA127" i="1"/>
  <c r="AV127" i="1"/>
  <c r="AQ127" i="1"/>
  <c r="AL127" i="1"/>
  <c r="AG127" i="1"/>
  <c r="CJ126" i="1"/>
  <c r="CE126" i="1"/>
  <c r="BZ126" i="1"/>
  <c r="BU126" i="1"/>
  <c r="BP126" i="1"/>
  <c r="BK126" i="1"/>
  <c r="BF126" i="1"/>
  <c r="BA126" i="1"/>
  <c r="AV126" i="1"/>
  <c r="AQ126" i="1"/>
  <c r="AL126" i="1"/>
  <c r="AG126" i="1"/>
  <c r="CJ125" i="1"/>
  <c r="CE125" i="1"/>
  <c r="BZ125" i="1"/>
  <c r="BU125" i="1"/>
  <c r="BP125" i="1"/>
  <c r="BK125" i="1"/>
  <c r="BF125" i="1"/>
  <c r="BA125" i="1"/>
  <c r="AV125" i="1"/>
  <c r="AQ125" i="1"/>
  <c r="AL125" i="1"/>
  <c r="AG125" i="1"/>
  <c r="CJ124" i="1"/>
  <c r="CE124" i="1"/>
  <c r="BZ124" i="1"/>
  <c r="BU124" i="1"/>
  <c r="BP124" i="1"/>
  <c r="BK124" i="1"/>
  <c r="BF124" i="1"/>
  <c r="BA124" i="1"/>
  <c r="AV124" i="1"/>
  <c r="AQ124" i="1"/>
  <c r="AL124" i="1"/>
  <c r="AG124" i="1"/>
  <c r="CJ123" i="1"/>
  <c r="CE123" i="1"/>
  <c r="BZ123" i="1"/>
  <c r="BU123" i="1"/>
  <c r="BP123" i="1"/>
  <c r="BK123" i="1"/>
  <c r="BF123" i="1"/>
  <c r="BA123" i="1"/>
  <c r="AV123" i="1"/>
  <c r="AQ123" i="1"/>
  <c r="AL123" i="1"/>
  <c r="AG123" i="1"/>
  <c r="CJ122" i="1"/>
  <c r="CE122" i="1"/>
  <c r="BZ122" i="1"/>
  <c r="BU122" i="1"/>
  <c r="BP122" i="1"/>
  <c r="BK122" i="1"/>
  <c r="BF122" i="1"/>
  <c r="BA122" i="1"/>
  <c r="AV122" i="1"/>
  <c r="AQ122" i="1"/>
  <c r="AL122" i="1"/>
  <c r="AG122" i="1"/>
  <c r="CJ121" i="1"/>
  <c r="CE121" i="1"/>
  <c r="BZ121" i="1"/>
  <c r="BU121" i="1"/>
  <c r="BP121" i="1"/>
  <c r="BK121" i="1"/>
  <c r="BF121" i="1"/>
  <c r="BA121" i="1"/>
  <c r="AV121" i="1"/>
  <c r="AQ121" i="1"/>
  <c r="AL121" i="1"/>
  <c r="AG121" i="1"/>
  <c r="CJ120" i="1"/>
  <c r="CE120" i="1"/>
  <c r="BZ120" i="1"/>
  <c r="BU120" i="1"/>
  <c r="BP120" i="1"/>
  <c r="BK120" i="1"/>
  <c r="BF120" i="1"/>
  <c r="BA120" i="1"/>
  <c r="AV120" i="1"/>
  <c r="AQ120" i="1"/>
  <c r="AL120" i="1"/>
  <c r="AG120" i="1"/>
  <c r="CJ119" i="1"/>
  <c r="CE119" i="1"/>
  <c r="BZ119" i="1"/>
  <c r="BU119" i="1"/>
  <c r="BP119" i="1"/>
  <c r="BK119" i="1"/>
  <c r="BF119" i="1"/>
  <c r="BA119" i="1"/>
  <c r="AV119" i="1"/>
  <c r="AQ119" i="1"/>
  <c r="AL119" i="1"/>
  <c r="AG119" i="1"/>
  <c r="CJ118" i="1"/>
  <c r="CE118" i="1"/>
  <c r="BZ118" i="1"/>
  <c r="BU118" i="1"/>
  <c r="BP118" i="1"/>
  <c r="BK118" i="1"/>
  <c r="BF118" i="1"/>
  <c r="BA118" i="1"/>
  <c r="AV118" i="1"/>
  <c r="AQ118" i="1"/>
  <c r="AL118" i="1"/>
  <c r="AG118" i="1"/>
  <c r="CJ117" i="1"/>
  <c r="CE117" i="1"/>
  <c r="BZ117" i="1"/>
  <c r="BU117" i="1"/>
  <c r="BP117" i="1"/>
  <c r="BK117" i="1"/>
  <c r="BF117" i="1"/>
  <c r="BA117" i="1"/>
  <c r="AV117" i="1"/>
  <c r="AQ117" i="1"/>
  <c r="AL117" i="1"/>
  <c r="AG117" i="1"/>
  <c r="CJ116" i="1"/>
  <c r="CE116" i="1"/>
  <c r="BZ116" i="1"/>
  <c r="BU116" i="1"/>
  <c r="BP116" i="1"/>
  <c r="BK116" i="1"/>
  <c r="BF116" i="1"/>
  <c r="BA116" i="1"/>
  <c r="AV116" i="1"/>
  <c r="AQ116" i="1"/>
  <c r="AL116" i="1"/>
  <c r="AG116" i="1"/>
  <c r="CJ115" i="1"/>
  <c r="CE115" i="1"/>
  <c r="BZ115" i="1"/>
  <c r="BU115" i="1"/>
  <c r="BP115" i="1"/>
  <c r="BK115" i="1"/>
  <c r="BF115" i="1"/>
  <c r="BA115" i="1"/>
  <c r="AV115" i="1"/>
  <c r="AQ115" i="1"/>
  <c r="AL115" i="1"/>
  <c r="AG115" i="1"/>
  <c r="CJ114" i="1"/>
  <c r="CE114" i="1"/>
  <c r="BZ114" i="1"/>
  <c r="BU114" i="1"/>
  <c r="BP114" i="1"/>
  <c r="BK114" i="1"/>
  <c r="BF114" i="1"/>
  <c r="BA114" i="1"/>
  <c r="AV114" i="1"/>
  <c r="AQ114" i="1"/>
  <c r="AL114" i="1"/>
  <c r="AG114" i="1"/>
  <c r="CJ113" i="1"/>
  <c r="CE113" i="1"/>
  <c r="BZ113" i="1"/>
  <c r="BU113" i="1"/>
  <c r="BP113" i="1"/>
  <c r="BK113" i="1"/>
  <c r="BF113" i="1"/>
  <c r="BA113" i="1"/>
  <c r="AV113" i="1"/>
  <c r="AQ113" i="1"/>
  <c r="AL113" i="1"/>
  <c r="AG113" i="1"/>
  <c r="CJ112" i="1"/>
  <c r="CE112" i="1"/>
  <c r="BZ112" i="1"/>
  <c r="BU112" i="1"/>
  <c r="BP112" i="1"/>
  <c r="BK112" i="1"/>
  <c r="BF112" i="1"/>
  <c r="BA112" i="1"/>
  <c r="AV112" i="1"/>
  <c r="AQ112" i="1"/>
  <c r="AL112" i="1"/>
  <c r="AG112" i="1"/>
  <c r="CJ111" i="1"/>
  <c r="CE111" i="1"/>
  <c r="BZ111" i="1"/>
  <c r="BU111" i="1"/>
  <c r="BP111" i="1"/>
  <c r="BK111" i="1"/>
  <c r="BF111" i="1"/>
  <c r="BA111" i="1"/>
  <c r="AV111" i="1"/>
  <c r="AQ111" i="1"/>
  <c r="AL111" i="1"/>
  <c r="AG111" i="1"/>
  <c r="CJ110" i="1"/>
  <c r="CE110" i="1"/>
  <c r="BZ110" i="1"/>
  <c r="BU110" i="1"/>
  <c r="BP110" i="1"/>
  <c r="BK110" i="1"/>
  <c r="BF110" i="1"/>
  <c r="BA110" i="1"/>
  <c r="AV110" i="1"/>
  <c r="AQ110" i="1"/>
  <c r="AL110" i="1"/>
  <c r="AG110" i="1"/>
  <c r="CJ109" i="1"/>
  <c r="CE109" i="1"/>
  <c r="BZ109" i="1"/>
  <c r="BU109" i="1"/>
  <c r="BP109" i="1"/>
  <c r="BK109" i="1"/>
  <c r="BF109" i="1"/>
  <c r="BA109" i="1"/>
  <c r="AV109" i="1"/>
  <c r="AQ109" i="1"/>
  <c r="AL109" i="1"/>
  <c r="AG109" i="1"/>
  <c r="CJ108" i="1"/>
  <c r="CE108" i="1"/>
  <c r="BZ108" i="1"/>
  <c r="BU108" i="1"/>
  <c r="BP108" i="1"/>
  <c r="BK108" i="1"/>
  <c r="BF108" i="1"/>
  <c r="BA108" i="1"/>
  <c r="AV108" i="1"/>
  <c r="AQ108" i="1"/>
  <c r="AL108" i="1"/>
  <c r="AG108" i="1"/>
  <c r="CJ107" i="1"/>
  <c r="CE107" i="1"/>
  <c r="BZ107" i="1"/>
  <c r="BU107" i="1"/>
  <c r="BP107" i="1"/>
  <c r="BK107" i="1"/>
  <c r="BF107" i="1"/>
  <c r="BA107" i="1"/>
  <c r="AV107" i="1"/>
  <c r="AQ107" i="1"/>
  <c r="AL107" i="1"/>
  <c r="AG107" i="1"/>
  <c r="CJ106" i="1"/>
  <c r="CE106" i="1"/>
  <c r="BZ106" i="1"/>
  <c r="BU106" i="1"/>
  <c r="BP106" i="1"/>
  <c r="BK106" i="1"/>
  <c r="BF106" i="1"/>
  <c r="BA106" i="1"/>
  <c r="AV106" i="1"/>
  <c r="AQ106" i="1"/>
  <c r="AL106" i="1"/>
  <c r="AG106" i="1"/>
  <c r="CJ105" i="1"/>
  <c r="CE105" i="1"/>
  <c r="BZ105" i="1"/>
  <c r="BU105" i="1"/>
  <c r="BP105" i="1"/>
  <c r="BK105" i="1"/>
  <c r="BF105" i="1"/>
  <c r="BA105" i="1"/>
  <c r="AV105" i="1"/>
  <c r="AQ105" i="1"/>
  <c r="AL105" i="1"/>
  <c r="AG105" i="1"/>
  <c r="CJ104" i="1"/>
  <c r="CE104" i="1"/>
  <c r="BZ104" i="1"/>
  <c r="BU104" i="1"/>
  <c r="BP104" i="1"/>
  <c r="BK104" i="1"/>
  <c r="BF104" i="1"/>
  <c r="BA104" i="1"/>
  <c r="AV104" i="1"/>
  <c r="AQ104" i="1"/>
  <c r="AL104" i="1"/>
  <c r="AG104" i="1"/>
  <c r="CJ103" i="1"/>
  <c r="CE103" i="1"/>
  <c r="BZ103" i="1"/>
  <c r="BU103" i="1"/>
  <c r="BP103" i="1"/>
  <c r="BK103" i="1"/>
  <c r="BF103" i="1"/>
  <c r="BA103" i="1"/>
  <c r="AV103" i="1"/>
  <c r="AQ103" i="1"/>
  <c r="AL103" i="1"/>
  <c r="AG103" i="1"/>
  <c r="CJ102" i="1"/>
  <c r="CE102" i="1"/>
  <c r="BZ102" i="1"/>
  <c r="BU102" i="1"/>
  <c r="BP102" i="1"/>
  <c r="BK102" i="1"/>
  <c r="BF102" i="1"/>
  <c r="BA102" i="1"/>
  <c r="AV102" i="1"/>
  <c r="AQ102" i="1"/>
  <c r="AL102" i="1"/>
  <c r="AG102" i="1"/>
  <c r="CJ101" i="1"/>
  <c r="CE101" i="1"/>
  <c r="BZ101" i="1"/>
  <c r="BU101" i="1"/>
  <c r="BP101" i="1"/>
  <c r="BK101" i="1"/>
  <c r="BF101" i="1"/>
  <c r="BA101" i="1"/>
  <c r="AV101" i="1"/>
  <c r="AQ101" i="1"/>
  <c r="AL101" i="1"/>
  <c r="AG101" i="1"/>
  <c r="CJ100" i="1"/>
  <c r="CE100" i="1"/>
  <c r="BZ100" i="1"/>
  <c r="BU100" i="1"/>
  <c r="BP100" i="1"/>
  <c r="BK100" i="1"/>
  <c r="BF100" i="1"/>
  <c r="BA100" i="1"/>
  <c r="AV100" i="1"/>
  <c r="AQ100" i="1"/>
  <c r="AL100" i="1"/>
  <c r="AG100" i="1"/>
  <c r="CJ99" i="1"/>
  <c r="CE99" i="1"/>
  <c r="BZ99" i="1"/>
  <c r="BU99" i="1"/>
  <c r="BP99" i="1"/>
  <c r="BK99" i="1"/>
  <c r="BF99" i="1"/>
  <c r="BA99" i="1"/>
  <c r="AV99" i="1"/>
  <c r="AQ99" i="1"/>
  <c r="AL99" i="1"/>
  <c r="AG99" i="1"/>
  <c r="CJ98" i="1"/>
  <c r="CE98" i="1"/>
  <c r="BZ98" i="1"/>
  <c r="BU98" i="1"/>
  <c r="BP98" i="1"/>
  <c r="BK98" i="1"/>
  <c r="BF98" i="1"/>
  <c r="BA98" i="1"/>
  <c r="AV98" i="1"/>
  <c r="AQ98" i="1"/>
  <c r="AL98" i="1"/>
  <c r="AG98" i="1"/>
  <c r="CJ97" i="1"/>
  <c r="CE97" i="1"/>
  <c r="BZ97" i="1"/>
  <c r="BU97" i="1"/>
  <c r="BP97" i="1"/>
  <c r="BK97" i="1"/>
  <c r="BF97" i="1"/>
  <c r="BA97" i="1"/>
  <c r="AV97" i="1"/>
  <c r="AQ97" i="1"/>
  <c r="AL97" i="1"/>
  <c r="AG97" i="1"/>
  <c r="CJ96" i="1"/>
  <c r="CE96" i="1"/>
  <c r="BZ96" i="1"/>
  <c r="BU96" i="1"/>
  <c r="BP96" i="1"/>
  <c r="BK96" i="1"/>
  <c r="BF96" i="1"/>
  <c r="BA96" i="1"/>
  <c r="AV96" i="1"/>
  <c r="AQ96" i="1"/>
  <c r="AL96" i="1"/>
  <c r="AG96" i="1"/>
  <c r="CJ95" i="1"/>
  <c r="CE95" i="1"/>
  <c r="BZ95" i="1"/>
  <c r="BU95" i="1"/>
  <c r="BP95" i="1"/>
  <c r="BK95" i="1"/>
  <c r="BF95" i="1"/>
  <c r="BA95" i="1"/>
  <c r="AV95" i="1"/>
  <c r="AQ95" i="1"/>
  <c r="AL95" i="1"/>
  <c r="AG95" i="1"/>
  <c r="CJ94" i="1"/>
  <c r="CE94" i="1"/>
  <c r="BZ94" i="1"/>
  <c r="BU94" i="1"/>
  <c r="BP94" i="1"/>
  <c r="BK94" i="1"/>
  <c r="BF94" i="1"/>
  <c r="BA94" i="1"/>
  <c r="AV94" i="1"/>
  <c r="AQ94" i="1"/>
  <c r="AL94" i="1"/>
  <c r="AG94" i="1"/>
  <c r="CJ93" i="1"/>
  <c r="CE93" i="1"/>
  <c r="BZ93" i="1"/>
  <c r="BU93" i="1"/>
  <c r="BP93" i="1"/>
  <c r="BK93" i="1"/>
  <c r="BF93" i="1"/>
  <c r="BA93" i="1"/>
  <c r="AV93" i="1"/>
  <c r="AQ93" i="1"/>
  <c r="AL93" i="1"/>
  <c r="AG93" i="1"/>
  <c r="CJ92" i="1"/>
  <c r="CE92" i="1"/>
  <c r="BZ92" i="1"/>
  <c r="BU92" i="1"/>
  <c r="BP92" i="1"/>
  <c r="BK92" i="1"/>
  <c r="BF92" i="1"/>
  <c r="BA92" i="1"/>
  <c r="AV92" i="1"/>
  <c r="AQ92" i="1"/>
  <c r="AL92" i="1"/>
  <c r="AG92" i="1"/>
  <c r="CJ91" i="1"/>
  <c r="CE91" i="1"/>
  <c r="BZ91" i="1"/>
  <c r="BU91" i="1"/>
  <c r="BP91" i="1"/>
  <c r="BK91" i="1"/>
  <c r="BF91" i="1"/>
  <c r="BA91" i="1"/>
  <c r="AV91" i="1"/>
  <c r="AQ91" i="1"/>
  <c r="AL91" i="1"/>
  <c r="AG91" i="1"/>
  <c r="CJ90" i="1"/>
  <c r="CE90" i="1"/>
  <c r="BZ90" i="1"/>
  <c r="BU90" i="1"/>
  <c r="BP90" i="1"/>
  <c r="BK90" i="1"/>
  <c r="BF90" i="1"/>
  <c r="BA90" i="1"/>
  <c r="AV90" i="1"/>
  <c r="AQ90" i="1"/>
  <c r="AL90" i="1"/>
  <c r="AG90" i="1"/>
  <c r="CJ89" i="1"/>
  <c r="CE89" i="1"/>
  <c r="BZ89" i="1"/>
  <c r="BU89" i="1"/>
  <c r="BP89" i="1"/>
  <c r="BK89" i="1"/>
  <c r="BF89" i="1"/>
  <c r="BA89" i="1"/>
  <c r="AV89" i="1"/>
  <c r="AQ89" i="1"/>
  <c r="AL89" i="1"/>
  <c r="AG89" i="1"/>
  <c r="CJ88" i="1"/>
  <c r="CE88" i="1"/>
  <c r="BZ88" i="1"/>
  <c r="BU88" i="1"/>
  <c r="BP88" i="1"/>
  <c r="BK88" i="1"/>
  <c r="BF88" i="1"/>
  <c r="BA88" i="1"/>
  <c r="AV88" i="1"/>
  <c r="AQ88" i="1"/>
  <c r="AL88" i="1"/>
  <c r="AG88" i="1"/>
  <c r="CJ87" i="1"/>
  <c r="CE87" i="1"/>
  <c r="BZ87" i="1"/>
  <c r="BU87" i="1"/>
  <c r="BP87" i="1"/>
  <c r="BK87" i="1"/>
  <c r="BF87" i="1"/>
  <c r="BA87" i="1"/>
  <c r="AV87" i="1"/>
  <c r="AQ87" i="1"/>
  <c r="AL87" i="1"/>
  <c r="AG87" i="1"/>
  <c r="CJ86" i="1"/>
  <c r="CE86" i="1"/>
  <c r="BZ86" i="1"/>
  <c r="BU86" i="1"/>
  <c r="BP86" i="1"/>
  <c r="BK86" i="1"/>
  <c r="BF86" i="1"/>
  <c r="BA86" i="1"/>
  <c r="AV86" i="1"/>
  <c r="AQ86" i="1"/>
  <c r="AL86" i="1"/>
  <c r="AG86" i="1"/>
  <c r="CJ85" i="1"/>
  <c r="CE85" i="1"/>
  <c r="BZ85" i="1"/>
  <c r="BU85" i="1"/>
  <c r="BP85" i="1"/>
  <c r="BK85" i="1"/>
  <c r="BF85" i="1"/>
  <c r="BA85" i="1"/>
  <c r="AV85" i="1"/>
  <c r="AQ85" i="1"/>
  <c r="AL85" i="1"/>
  <c r="AG85" i="1"/>
  <c r="CJ84" i="1"/>
  <c r="CE84" i="1"/>
  <c r="BZ84" i="1"/>
  <c r="BU84" i="1"/>
  <c r="BP84" i="1"/>
  <c r="BK84" i="1"/>
  <c r="BF84" i="1"/>
  <c r="BA84" i="1"/>
  <c r="AV84" i="1"/>
  <c r="AQ84" i="1"/>
  <c r="AL84" i="1"/>
  <c r="AG84" i="1"/>
  <c r="CJ83" i="1"/>
  <c r="CE83" i="1"/>
  <c r="BZ83" i="1"/>
  <c r="BU83" i="1"/>
  <c r="BP83" i="1"/>
  <c r="BK83" i="1"/>
  <c r="BF83" i="1"/>
  <c r="BA83" i="1"/>
  <c r="AV83" i="1"/>
  <c r="AQ83" i="1"/>
  <c r="AL83" i="1"/>
  <c r="AG83" i="1"/>
  <c r="CJ82" i="1"/>
  <c r="CE82" i="1"/>
  <c r="BZ82" i="1"/>
  <c r="BU82" i="1"/>
  <c r="BP82" i="1"/>
  <c r="BK82" i="1"/>
  <c r="BF82" i="1"/>
  <c r="BA82" i="1"/>
  <c r="AV82" i="1"/>
  <c r="AQ82" i="1"/>
  <c r="AL82" i="1"/>
  <c r="AG82" i="1"/>
  <c r="CJ81" i="1"/>
  <c r="CE81" i="1"/>
  <c r="BZ81" i="1"/>
  <c r="BU81" i="1"/>
  <c r="BP81" i="1"/>
  <c r="BK81" i="1"/>
  <c r="BF81" i="1"/>
  <c r="BA81" i="1"/>
  <c r="AV81" i="1"/>
  <c r="AQ81" i="1"/>
  <c r="AL81" i="1"/>
  <c r="AG81" i="1"/>
  <c r="CJ80" i="1"/>
  <c r="CE80" i="1"/>
  <c r="BZ80" i="1"/>
  <c r="BU80" i="1"/>
  <c r="BP80" i="1"/>
  <c r="BK80" i="1"/>
  <c r="BF80" i="1"/>
  <c r="BA80" i="1"/>
  <c r="AV80" i="1"/>
  <c r="AQ80" i="1"/>
  <c r="AL80" i="1"/>
  <c r="AG80" i="1"/>
  <c r="CJ79" i="1"/>
  <c r="CE79" i="1"/>
  <c r="BZ79" i="1"/>
  <c r="BU79" i="1"/>
  <c r="BP79" i="1"/>
  <c r="BK79" i="1"/>
  <c r="BF79" i="1"/>
  <c r="BA79" i="1"/>
  <c r="AV79" i="1"/>
  <c r="AQ79" i="1"/>
  <c r="AL79" i="1"/>
  <c r="AG79" i="1"/>
  <c r="CJ78" i="1"/>
  <c r="CE78" i="1"/>
  <c r="BZ78" i="1"/>
  <c r="BU78" i="1"/>
  <c r="BP78" i="1"/>
  <c r="BK78" i="1"/>
  <c r="BF78" i="1"/>
  <c r="BA78" i="1"/>
  <c r="AV78" i="1"/>
  <c r="AQ78" i="1"/>
  <c r="AL78" i="1"/>
  <c r="AG78" i="1"/>
  <c r="CJ77" i="1"/>
  <c r="CE77" i="1"/>
  <c r="BZ77" i="1"/>
  <c r="BU77" i="1"/>
  <c r="BP77" i="1"/>
  <c r="BK77" i="1"/>
  <c r="BF77" i="1"/>
  <c r="BA77" i="1"/>
  <c r="AV77" i="1"/>
  <c r="AQ77" i="1"/>
  <c r="AL77" i="1"/>
  <c r="AG77" i="1"/>
  <c r="CJ76" i="1"/>
  <c r="CE76" i="1"/>
  <c r="BZ76" i="1"/>
  <c r="BU76" i="1"/>
  <c r="BP76" i="1"/>
  <c r="BK76" i="1"/>
  <c r="BF76" i="1"/>
  <c r="BA76" i="1"/>
  <c r="AV76" i="1"/>
  <c r="AQ76" i="1"/>
  <c r="AL76" i="1"/>
  <c r="AG76" i="1"/>
  <c r="CJ75" i="1"/>
  <c r="CE75" i="1"/>
  <c r="BZ75" i="1"/>
  <c r="BU75" i="1"/>
  <c r="BP75" i="1"/>
  <c r="BK75" i="1"/>
  <c r="BF75" i="1"/>
  <c r="BA75" i="1"/>
  <c r="AV75" i="1"/>
  <c r="AQ75" i="1"/>
  <c r="AL75" i="1"/>
  <c r="AG75" i="1"/>
  <c r="CJ74" i="1"/>
  <c r="CE74" i="1"/>
  <c r="BZ74" i="1"/>
  <c r="BU74" i="1"/>
  <c r="BP74" i="1"/>
  <c r="BK74" i="1"/>
  <c r="BF74" i="1"/>
  <c r="BA74" i="1"/>
  <c r="AV74" i="1"/>
  <c r="AQ74" i="1"/>
  <c r="AL74" i="1"/>
  <c r="AG74" i="1"/>
  <c r="CJ73" i="1"/>
  <c r="CE73" i="1"/>
  <c r="BZ73" i="1"/>
  <c r="BU73" i="1"/>
  <c r="BP73" i="1"/>
  <c r="BK73" i="1"/>
  <c r="BF73" i="1"/>
  <c r="BA73" i="1"/>
  <c r="AV73" i="1"/>
  <c r="AQ73" i="1"/>
  <c r="AL73" i="1"/>
  <c r="AG73" i="1"/>
  <c r="CJ72" i="1"/>
  <c r="CE72" i="1"/>
  <c r="BZ72" i="1"/>
  <c r="BU72" i="1"/>
  <c r="BP72" i="1"/>
  <c r="BK72" i="1"/>
  <c r="BF72" i="1"/>
  <c r="BA72" i="1"/>
  <c r="AV72" i="1"/>
  <c r="AQ72" i="1"/>
  <c r="AL72" i="1"/>
  <c r="AG72" i="1"/>
  <c r="CJ71" i="1"/>
  <c r="CE71" i="1"/>
  <c r="BZ71" i="1"/>
  <c r="BU71" i="1"/>
  <c r="BP71" i="1"/>
  <c r="BK71" i="1"/>
  <c r="BF71" i="1"/>
  <c r="BA71" i="1"/>
  <c r="AV71" i="1"/>
  <c r="AQ71" i="1"/>
  <c r="AL71" i="1"/>
  <c r="AG71" i="1"/>
  <c r="CJ70" i="1"/>
  <c r="CE70" i="1"/>
  <c r="BZ70" i="1"/>
  <c r="BU70" i="1"/>
  <c r="BP70" i="1"/>
  <c r="BK70" i="1"/>
  <c r="BF70" i="1"/>
  <c r="BA70" i="1"/>
  <c r="AV70" i="1"/>
  <c r="AQ70" i="1"/>
  <c r="AL70" i="1"/>
  <c r="AG70" i="1"/>
  <c r="CJ69" i="1"/>
  <c r="CE69" i="1"/>
  <c r="BZ69" i="1"/>
  <c r="BU69" i="1"/>
  <c r="BP69" i="1"/>
  <c r="BK69" i="1"/>
  <c r="BF69" i="1"/>
  <c r="BA69" i="1"/>
  <c r="AV69" i="1"/>
  <c r="AQ69" i="1"/>
  <c r="AL69" i="1"/>
  <c r="AG69" i="1"/>
  <c r="CJ68" i="1"/>
  <c r="CE68" i="1"/>
  <c r="BZ68" i="1"/>
  <c r="BU68" i="1"/>
  <c r="BP68" i="1"/>
  <c r="BK68" i="1"/>
  <c r="BF68" i="1"/>
  <c r="BA68" i="1"/>
  <c r="AV68" i="1"/>
  <c r="AQ68" i="1"/>
  <c r="AL68" i="1"/>
  <c r="AG68" i="1"/>
  <c r="CJ67" i="1"/>
  <c r="CE67" i="1"/>
  <c r="BZ67" i="1"/>
  <c r="BU67" i="1"/>
  <c r="BP67" i="1"/>
  <c r="BK67" i="1"/>
  <c r="BF67" i="1"/>
  <c r="BA67" i="1"/>
  <c r="AV67" i="1"/>
  <c r="AQ67" i="1"/>
  <c r="AL67" i="1"/>
  <c r="AG67" i="1"/>
  <c r="CJ66" i="1"/>
  <c r="CE66" i="1"/>
  <c r="BZ66" i="1"/>
  <c r="BU66" i="1"/>
  <c r="BP66" i="1"/>
  <c r="BK66" i="1"/>
  <c r="BF66" i="1"/>
  <c r="BA66" i="1"/>
  <c r="AV66" i="1"/>
  <c r="AQ66" i="1"/>
  <c r="AL66" i="1"/>
  <c r="AG66" i="1"/>
  <c r="CJ65" i="1"/>
  <c r="CE65" i="1"/>
  <c r="BZ65" i="1"/>
  <c r="BU65" i="1"/>
  <c r="BP65" i="1"/>
  <c r="BK65" i="1"/>
  <c r="BF65" i="1"/>
  <c r="BA65" i="1"/>
  <c r="AV65" i="1"/>
  <c r="AQ65" i="1"/>
  <c r="AL65" i="1"/>
  <c r="AG65" i="1"/>
  <c r="CJ64" i="1"/>
  <c r="CE64" i="1"/>
  <c r="BZ64" i="1"/>
  <c r="BU64" i="1"/>
  <c r="BP64" i="1"/>
  <c r="BK64" i="1"/>
  <c r="BF64" i="1"/>
  <c r="BA64" i="1"/>
  <c r="AV64" i="1"/>
  <c r="AQ64" i="1"/>
  <c r="AL64" i="1"/>
  <c r="AG64" i="1"/>
  <c r="CJ63" i="1"/>
  <c r="CE63" i="1"/>
  <c r="BZ63" i="1"/>
  <c r="BU63" i="1"/>
  <c r="BP63" i="1"/>
  <c r="BK63" i="1"/>
  <c r="BF63" i="1"/>
  <c r="BA63" i="1"/>
  <c r="AV63" i="1"/>
  <c r="AQ63" i="1"/>
  <c r="AL63" i="1"/>
  <c r="AG63" i="1"/>
  <c r="CJ62" i="1"/>
  <c r="CE62" i="1"/>
  <c r="BZ62" i="1"/>
  <c r="BU62" i="1"/>
  <c r="BP62" i="1"/>
  <c r="BK62" i="1"/>
  <c r="BF62" i="1"/>
  <c r="BA62" i="1"/>
  <c r="AV62" i="1"/>
  <c r="AQ62" i="1"/>
  <c r="AL62" i="1"/>
  <c r="AG62" i="1"/>
  <c r="CJ61" i="1"/>
  <c r="CE61" i="1"/>
  <c r="BZ61" i="1"/>
  <c r="BU61" i="1"/>
  <c r="BP61" i="1"/>
  <c r="BK61" i="1"/>
  <c r="BF61" i="1"/>
  <c r="BA61" i="1"/>
  <c r="AV61" i="1"/>
  <c r="AQ61" i="1"/>
  <c r="AL61" i="1"/>
  <c r="AG61" i="1"/>
  <c r="CJ60" i="1"/>
  <c r="CE60" i="1"/>
  <c r="BZ60" i="1"/>
  <c r="BU60" i="1"/>
  <c r="BP60" i="1"/>
  <c r="BK60" i="1"/>
  <c r="BF60" i="1"/>
  <c r="BA60" i="1"/>
  <c r="AV60" i="1"/>
  <c r="AQ60" i="1"/>
  <c r="AL60" i="1"/>
  <c r="AG60" i="1"/>
  <c r="CJ59" i="1"/>
  <c r="CE59" i="1"/>
  <c r="BZ59" i="1"/>
  <c r="BU59" i="1"/>
  <c r="BP59" i="1"/>
  <c r="BK59" i="1"/>
  <c r="BF59" i="1"/>
  <c r="BA59" i="1"/>
  <c r="AV59" i="1"/>
  <c r="AQ59" i="1"/>
  <c r="AL59" i="1"/>
  <c r="AG59" i="1"/>
  <c r="CJ58" i="1"/>
  <c r="CE58" i="1"/>
  <c r="BZ58" i="1"/>
  <c r="BU58" i="1"/>
  <c r="BP58" i="1"/>
  <c r="BK58" i="1"/>
  <c r="BF58" i="1"/>
  <c r="BA58" i="1"/>
  <c r="AV58" i="1"/>
  <c r="AQ58" i="1"/>
  <c r="AL58" i="1"/>
  <c r="AG58" i="1"/>
  <c r="CJ57" i="1"/>
  <c r="CE57" i="1"/>
  <c r="BZ57" i="1"/>
  <c r="BU57" i="1"/>
  <c r="BP57" i="1"/>
  <c r="BK57" i="1"/>
  <c r="BF57" i="1"/>
  <c r="BA57" i="1"/>
  <c r="AV57" i="1"/>
  <c r="AQ57" i="1"/>
  <c r="AL57" i="1"/>
  <c r="AG57" i="1"/>
  <c r="CJ56" i="1"/>
  <c r="CE56" i="1"/>
  <c r="BZ56" i="1"/>
  <c r="BU56" i="1"/>
  <c r="BP56" i="1"/>
  <c r="BK56" i="1"/>
  <c r="BF56" i="1"/>
  <c r="BA56" i="1"/>
  <c r="AV56" i="1"/>
  <c r="AQ56" i="1"/>
  <c r="AL56" i="1"/>
  <c r="AG56" i="1"/>
  <c r="CJ55" i="1"/>
  <c r="CE55" i="1"/>
  <c r="BZ55" i="1"/>
  <c r="BU55" i="1"/>
  <c r="BP55" i="1"/>
  <c r="BK55" i="1"/>
  <c r="BF55" i="1"/>
  <c r="BA55" i="1"/>
  <c r="AV55" i="1"/>
  <c r="AQ55" i="1"/>
  <c r="AL55" i="1"/>
  <c r="AG55" i="1"/>
  <c r="CJ54" i="1"/>
  <c r="CE54" i="1"/>
  <c r="BZ54" i="1"/>
  <c r="BU54" i="1"/>
  <c r="BP54" i="1"/>
  <c r="BK54" i="1"/>
  <c r="BF54" i="1"/>
  <c r="BA54" i="1"/>
  <c r="AV54" i="1"/>
  <c r="AQ54" i="1"/>
  <c r="AL54" i="1"/>
  <c r="AG54" i="1"/>
  <c r="CJ53" i="1"/>
  <c r="CE53" i="1"/>
  <c r="BZ53" i="1"/>
  <c r="BU53" i="1"/>
  <c r="BP53" i="1"/>
  <c r="BK53" i="1"/>
  <c r="BF53" i="1"/>
  <c r="BA53" i="1"/>
  <c r="AV53" i="1"/>
  <c r="AQ53" i="1"/>
  <c r="AL53" i="1"/>
  <c r="AG53" i="1"/>
  <c r="CJ52" i="1"/>
  <c r="CE52" i="1"/>
  <c r="BZ52" i="1"/>
  <c r="BU52" i="1"/>
  <c r="BP52" i="1"/>
  <c r="BK52" i="1"/>
  <c r="BF52" i="1"/>
  <c r="BA52" i="1"/>
  <c r="AV52" i="1"/>
  <c r="AQ52" i="1"/>
  <c r="AL52" i="1"/>
  <c r="AG52" i="1"/>
  <c r="CJ51" i="1"/>
  <c r="CE51" i="1"/>
  <c r="BZ51" i="1"/>
  <c r="BU51" i="1"/>
  <c r="BP51" i="1"/>
  <c r="BK51" i="1"/>
  <c r="BF51" i="1"/>
  <c r="BA51" i="1"/>
  <c r="AV51" i="1"/>
  <c r="AQ51" i="1"/>
  <c r="AL51" i="1"/>
  <c r="AG51" i="1"/>
  <c r="CJ50" i="1"/>
  <c r="CE50" i="1"/>
  <c r="BZ50" i="1"/>
  <c r="BU50" i="1"/>
  <c r="BP50" i="1"/>
  <c r="BK50" i="1"/>
  <c r="BF50" i="1"/>
  <c r="BA50" i="1"/>
  <c r="AV50" i="1"/>
  <c r="AQ50" i="1"/>
  <c r="AL50" i="1"/>
  <c r="AG50" i="1"/>
  <c r="CJ49" i="1"/>
  <c r="CE49" i="1"/>
  <c r="BZ49" i="1"/>
  <c r="BU49" i="1"/>
  <c r="BP49" i="1"/>
  <c r="BK49" i="1"/>
  <c r="BF49" i="1"/>
  <c r="BA49" i="1"/>
  <c r="AV49" i="1"/>
  <c r="AQ49" i="1"/>
  <c r="AL49" i="1"/>
  <c r="AG49" i="1"/>
  <c r="CJ48" i="1"/>
  <c r="CE48" i="1"/>
  <c r="BZ48" i="1"/>
  <c r="BU48" i="1"/>
  <c r="BP48" i="1"/>
  <c r="BK48" i="1"/>
  <c r="BF48" i="1"/>
  <c r="BA48" i="1"/>
  <c r="AV48" i="1"/>
  <c r="AQ48" i="1"/>
  <c r="AL48" i="1"/>
  <c r="AG48" i="1"/>
  <c r="CJ47" i="1"/>
  <c r="CE47" i="1"/>
  <c r="BZ47" i="1"/>
  <c r="BU47" i="1"/>
  <c r="BP47" i="1"/>
  <c r="BK47" i="1"/>
  <c r="BF47" i="1"/>
  <c r="BA47" i="1"/>
  <c r="AV47" i="1"/>
  <c r="AQ47" i="1"/>
  <c r="AL47" i="1"/>
  <c r="AG47" i="1"/>
  <c r="CJ46" i="1"/>
  <c r="CE46" i="1"/>
  <c r="BZ46" i="1"/>
  <c r="BU46" i="1"/>
  <c r="BP46" i="1"/>
  <c r="BK46" i="1"/>
  <c r="BF46" i="1"/>
  <c r="BA46" i="1"/>
  <c r="AV46" i="1"/>
  <c r="AQ46" i="1"/>
  <c r="AL46" i="1"/>
  <c r="AG46" i="1"/>
  <c r="CJ45" i="1"/>
  <c r="CE45" i="1"/>
  <c r="BZ45" i="1"/>
  <c r="BU45" i="1"/>
  <c r="BP45" i="1"/>
  <c r="BK45" i="1"/>
  <c r="BF45" i="1"/>
  <c r="BA45" i="1"/>
  <c r="AV45" i="1"/>
  <c r="AQ45" i="1"/>
  <c r="AL45" i="1"/>
  <c r="AG45" i="1"/>
  <c r="CJ44" i="1"/>
  <c r="CE44" i="1"/>
  <c r="BZ44" i="1"/>
  <c r="BU44" i="1"/>
  <c r="BP44" i="1"/>
  <c r="BK44" i="1"/>
  <c r="BF44" i="1"/>
  <c r="BA44" i="1"/>
  <c r="AV44" i="1"/>
  <c r="AQ44" i="1"/>
  <c r="AL44" i="1"/>
  <c r="AG44" i="1"/>
  <c r="CJ43" i="1"/>
  <c r="CE43" i="1"/>
  <c r="BZ43" i="1"/>
  <c r="BU43" i="1"/>
  <c r="BP43" i="1"/>
  <c r="BK43" i="1"/>
  <c r="BF43" i="1"/>
  <c r="BA43" i="1"/>
  <c r="AV43" i="1"/>
  <c r="AQ43" i="1"/>
  <c r="AL43" i="1"/>
  <c r="AG43" i="1"/>
  <c r="CJ42" i="1"/>
  <c r="CE42" i="1"/>
  <c r="BZ42" i="1"/>
  <c r="BU42" i="1"/>
  <c r="BP42" i="1"/>
  <c r="BK42" i="1"/>
  <c r="BF42" i="1"/>
  <c r="BA42" i="1"/>
  <c r="AV42" i="1"/>
  <c r="AQ42" i="1"/>
  <c r="AL42" i="1"/>
  <c r="AG42" i="1"/>
  <c r="CJ41" i="1"/>
  <c r="CE41" i="1"/>
  <c r="BZ41" i="1"/>
  <c r="BU41" i="1"/>
  <c r="BP41" i="1"/>
  <c r="BK41" i="1"/>
  <c r="BF41" i="1"/>
  <c r="BA41" i="1"/>
  <c r="AV41" i="1"/>
  <c r="AQ41" i="1"/>
  <c r="AL41" i="1"/>
  <c r="AG41" i="1"/>
  <c r="CJ40" i="1"/>
  <c r="CE40" i="1"/>
  <c r="BZ40" i="1"/>
  <c r="BU40" i="1"/>
  <c r="BP40" i="1"/>
  <c r="BK40" i="1"/>
  <c r="BF40" i="1"/>
  <c r="BA40" i="1"/>
  <c r="AV40" i="1"/>
  <c r="AQ40" i="1"/>
  <c r="AL40" i="1"/>
  <c r="AG40" i="1"/>
  <c r="CJ39" i="1"/>
  <c r="CE39" i="1"/>
  <c r="BZ39" i="1"/>
  <c r="BU39" i="1"/>
  <c r="BP39" i="1"/>
  <c r="BK39" i="1"/>
  <c r="BF39" i="1"/>
  <c r="BA39" i="1"/>
  <c r="AV39" i="1"/>
  <c r="AQ39" i="1"/>
  <c r="AL39" i="1"/>
  <c r="AG39" i="1"/>
  <c r="CJ38" i="1"/>
  <c r="CE38" i="1"/>
  <c r="BZ38" i="1"/>
  <c r="BU38" i="1"/>
  <c r="BP38" i="1"/>
  <c r="BK38" i="1"/>
  <c r="BF38" i="1"/>
  <c r="BA38" i="1"/>
  <c r="AV38" i="1"/>
  <c r="AQ38" i="1"/>
  <c r="AL38" i="1"/>
  <c r="AG38" i="1"/>
  <c r="CJ37" i="1"/>
  <c r="CE37" i="1"/>
  <c r="BZ37" i="1"/>
  <c r="BU37" i="1"/>
  <c r="BP37" i="1"/>
  <c r="BK37" i="1"/>
  <c r="BF37" i="1"/>
  <c r="BA37" i="1"/>
  <c r="AV37" i="1"/>
  <c r="AQ37" i="1"/>
  <c r="AL37" i="1"/>
  <c r="AG37" i="1"/>
  <c r="CJ36" i="1"/>
  <c r="CE36" i="1"/>
  <c r="BZ36" i="1"/>
  <c r="BU36" i="1"/>
  <c r="BP36" i="1"/>
  <c r="BK36" i="1"/>
  <c r="BF36" i="1"/>
  <c r="BA36" i="1"/>
  <c r="AV36" i="1"/>
  <c r="AQ36" i="1"/>
  <c r="AL36" i="1"/>
  <c r="AG36" i="1"/>
  <c r="CJ35" i="1"/>
  <c r="CE35" i="1"/>
  <c r="BZ35" i="1"/>
  <c r="BU35" i="1"/>
  <c r="BP35" i="1"/>
  <c r="BK35" i="1"/>
  <c r="BF35" i="1"/>
  <c r="BA35" i="1"/>
  <c r="AV35" i="1"/>
  <c r="AQ35" i="1"/>
  <c r="AL35" i="1"/>
  <c r="AG35" i="1"/>
  <c r="CJ34" i="1"/>
  <c r="CE34" i="1"/>
  <c r="BZ34" i="1"/>
  <c r="BU34" i="1"/>
  <c r="BP34" i="1"/>
  <c r="BK34" i="1"/>
  <c r="BF34" i="1"/>
  <c r="BA34" i="1"/>
  <c r="AV34" i="1"/>
  <c r="AQ34" i="1"/>
  <c r="AL34" i="1"/>
  <c r="AG34" i="1"/>
  <c r="CJ33" i="1"/>
  <c r="CE33" i="1"/>
  <c r="BZ33" i="1"/>
  <c r="BU33" i="1"/>
  <c r="BP33" i="1"/>
  <c r="BK33" i="1"/>
  <c r="BF33" i="1"/>
  <c r="BA33" i="1"/>
  <c r="AV33" i="1"/>
  <c r="AQ33" i="1"/>
  <c r="AL33" i="1"/>
  <c r="AG33" i="1"/>
  <c r="CJ32" i="1"/>
  <c r="CE32" i="1"/>
  <c r="BZ32" i="1"/>
  <c r="BU32" i="1"/>
  <c r="BP32" i="1"/>
  <c r="BK32" i="1"/>
  <c r="BF32" i="1"/>
  <c r="BA32" i="1"/>
  <c r="AV32" i="1"/>
  <c r="AQ32" i="1"/>
  <c r="AL32" i="1"/>
  <c r="AG32" i="1"/>
  <c r="CJ31" i="1"/>
  <c r="CE31" i="1"/>
  <c r="BZ31" i="1"/>
  <c r="BU31" i="1"/>
  <c r="BP31" i="1"/>
  <c r="BK31" i="1"/>
  <c r="BF31" i="1"/>
  <c r="BA31" i="1"/>
  <c r="AV31" i="1"/>
  <c r="AQ31" i="1"/>
  <c r="AL31" i="1"/>
  <c r="AG31" i="1"/>
  <c r="CJ30" i="1"/>
  <c r="CE30" i="1"/>
  <c r="BZ30" i="1"/>
  <c r="BU30" i="1"/>
  <c r="BP30" i="1"/>
  <c r="BK30" i="1"/>
  <c r="BF30" i="1"/>
  <c r="BA30" i="1"/>
  <c r="AV30" i="1"/>
  <c r="AQ30" i="1"/>
  <c r="AL30" i="1"/>
  <c r="AG30" i="1"/>
  <c r="CJ29" i="1"/>
  <c r="CE29" i="1"/>
  <c r="BZ29" i="1"/>
  <c r="BU29" i="1"/>
  <c r="BP29" i="1"/>
  <c r="BK29" i="1"/>
  <c r="BF29" i="1"/>
  <c r="BA29" i="1"/>
  <c r="AV29" i="1"/>
  <c r="AQ29" i="1"/>
  <c r="AL29" i="1"/>
  <c r="AG29" i="1"/>
  <c r="CJ28" i="1"/>
  <c r="CE28" i="1"/>
  <c r="BZ28" i="1"/>
  <c r="BU28" i="1"/>
  <c r="BP28" i="1"/>
  <c r="BK28" i="1"/>
  <c r="BF28" i="1"/>
  <c r="BA28" i="1"/>
  <c r="AV28" i="1"/>
  <c r="AQ28" i="1"/>
  <c r="AL28" i="1"/>
  <c r="AG28" i="1"/>
  <c r="CJ27" i="1"/>
  <c r="CE27" i="1"/>
  <c r="BZ27" i="1"/>
  <c r="BU27" i="1"/>
  <c r="BP27" i="1"/>
  <c r="BK27" i="1"/>
  <c r="BF27" i="1"/>
  <c r="BA27" i="1"/>
  <c r="AV27" i="1"/>
  <c r="AQ27" i="1"/>
  <c r="AL27" i="1"/>
  <c r="AG27" i="1"/>
  <c r="CJ26" i="1"/>
  <c r="CE26" i="1"/>
  <c r="BZ26" i="1"/>
  <c r="BU26" i="1"/>
  <c r="BP26" i="1"/>
  <c r="BK26" i="1"/>
  <c r="BF26" i="1"/>
  <c r="BA26" i="1"/>
  <c r="AV26" i="1"/>
  <c r="AQ26" i="1"/>
  <c r="AL26" i="1"/>
  <c r="AG26" i="1"/>
  <c r="CJ25" i="1"/>
  <c r="CE25" i="1"/>
  <c r="BZ25" i="1"/>
  <c r="BU25" i="1"/>
  <c r="BP25" i="1"/>
  <c r="BK25" i="1"/>
  <c r="BF25" i="1"/>
  <c r="BA25" i="1"/>
  <c r="AV25" i="1"/>
  <c r="AQ25" i="1"/>
  <c r="AL25" i="1"/>
  <c r="AG25" i="1"/>
  <c r="CJ24" i="1"/>
  <c r="CE24" i="1"/>
  <c r="BZ24" i="1"/>
  <c r="BU24" i="1"/>
  <c r="BP24" i="1"/>
  <c r="BK24" i="1"/>
  <c r="BF24" i="1"/>
  <c r="BA24" i="1"/>
  <c r="AV24" i="1"/>
  <c r="AQ24" i="1"/>
  <c r="AL24" i="1"/>
  <c r="AG24" i="1"/>
  <c r="CJ23" i="1"/>
  <c r="CE23" i="1"/>
  <c r="BZ23" i="1"/>
  <c r="BU23" i="1"/>
  <c r="BP23" i="1"/>
  <c r="BK23" i="1"/>
  <c r="BF23" i="1"/>
  <c r="BA23" i="1"/>
  <c r="AV23" i="1"/>
  <c r="AQ23" i="1"/>
  <c r="AL23" i="1"/>
  <c r="AG23" i="1"/>
  <c r="CJ22" i="1"/>
  <c r="CE22" i="1"/>
  <c r="BZ22" i="1"/>
  <c r="BU22" i="1"/>
  <c r="BP22" i="1"/>
  <c r="BK22" i="1"/>
  <c r="BF22" i="1"/>
  <c r="BA22" i="1"/>
  <c r="AV22" i="1"/>
  <c r="AQ22" i="1"/>
  <c r="AL22" i="1"/>
  <c r="AG22" i="1"/>
  <c r="CJ21" i="1"/>
  <c r="CE21" i="1"/>
  <c r="BZ21" i="1"/>
  <c r="BU21" i="1"/>
  <c r="BP21" i="1"/>
  <c r="BK21" i="1"/>
  <c r="BF21" i="1"/>
  <c r="BA21" i="1"/>
  <c r="AV21" i="1"/>
  <c r="AQ21" i="1"/>
  <c r="AL21" i="1"/>
  <c r="AG21" i="1"/>
  <c r="CJ20" i="1"/>
  <c r="CE20" i="1"/>
  <c r="BZ20" i="1"/>
  <c r="BU20" i="1"/>
  <c r="BP20" i="1"/>
  <c r="BK20" i="1"/>
  <c r="BF20" i="1"/>
  <c r="BA20" i="1"/>
  <c r="AV20" i="1"/>
  <c r="AQ20" i="1"/>
  <c r="AL20" i="1"/>
  <c r="AG20" i="1"/>
  <c r="CJ19" i="1"/>
  <c r="CE19" i="1"/>
  <c r="BZ19" i="1"/>
  <c r="BU19" i="1"/>
  <c r="BP19" i="1"/>
  <c r="BK19" i="1"/>
  <c r="BF19" i="1"/>
  <c r="BA19" i="1"/>
  <c r="AV19" i="1"/>
  <c r="AQ19" i="1"/>
  <c r="AL19" i="1"/>
  <c r="AG19" i="1"/>
  <c r="CJ18" i="1"/>
  <c r="CE18" i="1"/>
  <c r="BZ18" i="1"/>
  <c r="BU18" i="1"/>
  <c r="BP18" i="1"/>
  <c r="BK18" i="1"/>
  <c r="BF18" i="1"/>
  <c r="BA18" i="1"/>
  <c r="AV18" i="1"/>
  <c r="AQ18" i="1"/>
  <c r="AL18" i="1"/>
  <c r="AG18" i="1"/>
  <c r="CJ17" i="1"/>
  <c r="CE17" i="1"/>
  <c r="BZ17" i="1"/>
  <c r="BU17" i="1"/>
  <c r="BP17" i="1"/>
  <c r="BK17" i="1"/>
  <c r="BF17" i="1"/>
  <c r="BA17" i="1"/>
  <c r="AV17" i="1"/>
  <c r="AQ17" i="1"/>
  <c r="AL17" i="1"/>
  <c r="AG17" i="1"/>
  <c r="CJ16" i="1"/>
  <c r="CE16" i="1"/>
  <c r="BZ16" i="1"/>
  <c r="BU16" i="1"/>
  <c r="BP16" i="1"/>
  <c r="BK16" i="1"/>
  <c r="BF16" i="1"/>
  <c r="BA16" i="1"/>
  <c r="AV16" i="1"/>
  <c r="AQ16" i="1"/>
  <c r="AL16" i="1"/>
  <c r="AG16" i="1"/>
  <c r="CJ15" i="1"/>
  <c r="CE15" i="1"/>
  <c r="BZ15" i="1"/>
  <c r="BU15" i="1"/>
  <c r="BP15" i="1"/>
  <c r="BK15" i="1"/>
  <c r="BF15" i="1"/>
  <c r="BA15" i="1"/>
  <c r="AV15" i="1"/>
  <c r="AQ15" i="1"/>
  <c r="AL15" i="1"/>
  <c r="AG15" i="1"/>
  <c r="CJ14" i="1"/>
  <c r="CE14" i="1"/>
  <c r="BZ14" i="1"/>
  <c r="BU14" i="1"/>
  <c r="BP14" i="1"/>
  <c r="BK14" i="1"/>
  <c r="BF14" i="1"/>
  <c r="BA14" i="1"/>
  <c r="AV14" i="1"/>
  <c r="AQ14" i="1"/>
  <c r="AL14" i="1"/>
  <c r="AG14" i="1"/>
  <c r="CJ13" i="1"/>
  <c r="CE13" i="1"/>
  <c r="BZ13" i="1"/>
  <c r="BU13" i="1"/>
  <c r="BP13" i="1"/>
  <c r="BK13" i="1"/>
  <c r="BF13" i="1"/>
  <c r="BA13" i="1"/>
  <c r="AV13" i="1"/>
  <c r="AQ13" i="1"/>
  <c r="AL13" i="1"/>
  <c r="AG13" i="1"/>
  <c r="CJ12" i="1"/>
  <c r="CE12" i="1"/>
  <c r="BZ12" i="1"/>
  <c r="BU12" i="1"/>
  <c r="BP12" i="1"/>
  <c r="BK12" i="1"/>
  <c r="BF12" i="1"/>
  <c r="BA12" i="1"/>
  <c r="AV12" i="1"/>
  <c r="AQ12" i="1"/>
  <c r="AL12" i="1"/>
  <c r="AG12" i="1"/>
  <c r="CJ11" i="1"/>
  <c r="CE11" i="1"/>
  <c r="BZ11" i="1"/>
  <c r="BU11" i="1"/>
  <c r="BP11" i="1"/>
  <c r="BK11" i="1"/>
  <c r="BF11" i="1"/>
  <c r="BA11" i="1"/>
  <c r="AV11" i="1"/>
  <c r="AQ11" i="1"/>
  <c r="AL11" i="1"/>
  <c r="AG11" i="1"/>
  <c r="CJ10" i="1"/>
  <c r="CE10" i="1"/>
  <c r="BZ10" i="1"/>
  <c r="BU10" i="1"/>
  <c r="BP10" i="1"/>
  <c r="BK10" i="1"/>
  <c r="BF10" i="1"/>
  <c r="BA10" i="1"/>
  <c r="AV10" i="1"/>
  <c r="AQ10" i="1"/>
  <c r="AL10" i="1"/>
  <c r="AG10" i="1"/>
  <c r="CJ9" i="1"/>
  <c r="CE9" i="1"/>
  <c r="BZ9" i="1"/>
  <c r="BU9" i="1"/>
  <c r="BP9" i="1"/>
  <c r="BK9" i="1"/>
  <c r="BF9" i="1"/>
  <c r="BA9" i="1"/>
  <c r="AV9" i="1"/>
  <c r="AQ9" i="1"/>
  <c r="AL9" i="1"/>
  <c r="AG9" i="1"/>
  <c r="CJ8" i="1"/>
  <c r="CE8" i="1"/>
  <c r="BZ8" i="1"/>
  <c r="BU8" i="1"/>
  <c r="BP8" i="1"/>
  <c r="BK8" i="1"/>
  <c r="BF8" i="1"/>
  <c r="BA8" i="1"/>
  <c r="AV8" i="1"/>
  <c r="AQ8" i="1"/>
  <c r="AL8" i="1"/>
  <c r="AG8" i="1"/>
  <c r="CJ7" i="1"/>
  <c r="CE7" i="1"/>
  <c r="BZ7" i="1"/>
  <c r="BU7" i="1"/>
  <c r="BP7" i="1"/>
  <c r="BK7" i="1"/>
  <c r="BF7" i="1"/>
  <c r="BA7" i="1"/>
  <c r="AV7" i="1"/>
  <c r="AQ7" i="1"/>
  <c r="AL7" i="1"/>
  <c r="AG7" i="1"/>
  <c r="CJ6" i="1"/>
  <c r="CE6" i="1"/>
  <c r="BZ6" i="1"/>
  <c r="BU6" i="1"/>
  <c r="BP6" i="1"/>
  <c r="BK6" i="1"/>
  <c r="BF6" i="1"/>
  <c r="BA6" i="1"/>
  <c r="AV6" i="1"/>
  <c r="AQ6" i="1"/>
  <c r="AL6" i="1"/>
  <c r="AG6" i="1"/>
  <c r="CJ5" i="1"/>
  <c r="CE5" i="1"/>
  <c r="BZ5" i="1"/>
  <c r="BU5" i="1"/>
  <c r="BP5" i="1"/>
  <c r="BK5" i="1"/>
  <c r="BF5" i="1"/>
  <c r="BA5" i="1"/>
  <c r="AV5" i="1"/>
  <c r="AQ5" i="1"/>
  <c r="AL5" i="1"/>
  <c r="AG5" i="1"/>
  <c r="CJ4" i="1"/>
  <c r="CE4" i="1"/>
  <c r="BZ4" i="1"/>
  <c r="BU4" i="1"/>
  <c r="BP4" i="1"/>
  <c r="BK4" i="1"/>
  <c r="BF4" i="1"/>
  <c r="BA4" i="1"/>
  <c r="AV4" i="1"/>
  <c r="AQ4" i="1"/>
  <c r="AL4" i="1"/>
  <c r="AG4" i="1"/>
  <c r="CJ3" i="1"/>
  <c r="CE3" i="1"/>
  <c r="BZ3" i="1"/>
  <c r="BU3" i="1"/>
  <c r="BP3" i="1"/>
  <c r="BK3" i="1"/>
  <c r="BF3" i="1"/>
  <c r="BA3" i="1"/>
  <c r="AV3" i="1"/>
  <c r="AQ3" i="1"/>
  <c r="AL3" i="1"/>
  <c r="U43" i="4" l="1"/>
</calcChain>
</file>

<file path=xl/sharedStrings.xml><?xml version="1.0" encoding="utf-8"?>
<sst xmlns="http://schemas.openxmlformats.org/spreadsheetml/2006/main" count="1825" uniqueCount="283">
  <si>
    <t>Timestamp</t>
  </si>
  <si>
    <t>Score</t>
  </si>
  <si>
    <t>Alamat Email</t>
  </si>
  <si>
    <t>Jenis Kelamin</t>
  </si>
  <si>
    <t>Usia</t>
  </si>
  <si>
    <t>Pendidikan Terakhir</t>
  </si>
  <si>
    <t>Lama Bekerja</t>
  </si>
  <si>
    <t>Jabatan</t>
  </si>
  <si>
    <t>Cara pimpinan menjadi contoh dalam pelayanan pasien</t>
  </si>
  <si>
    <t>Konsistensi pimpinan dalam menerapkan standar etika Charitas Hospital Kenten</t>
  </si>
  <si>
    <t>Kesesuaian antara ucapan dan tindakan pimpinan dalam mengelola rumah sakit</t>
  </si>
  <si>
    <t>Cara pimpinan menumbuhkan kebanggaan karyawan terhadap Charitas Hospital Kenten</t>
  </si>
  <si>
    <t>Cara pimpinan membangun rasa hormat dari para karyawan Charitas Hospital Kenten</t>
  </si>
  <si>
    <t>Cara pimpinan mengkomunikasikan visi Charitas Hospital Kenten kepada karyawan</t>
  </si>
  <si>
    <t>Cara pimpinan menyampaikan target pelayanan Charitas Hospital Kenten</t>
  </si>
  <si>
    <t>Cara pimpinan menyampaikan keyakinan terhadap pencapaian tujuan Charitas Hospital Kenten</t>
  </si>
  <si>
    <t>Cara pimpinan mendorong karyawan untuk meningkatkan kualitas pelayanan</t>
  </si>
  <si>
    <t>Cara pimpinan menggunakan visi Charitas Hospital Kenten untuk memfokuskan upaya karyawan</t>
  </si>
  <si>
    <t>Cara pimpinan mendorong karyawan untuk menyelesaikan masalah pelayanan Charitas Hospital Kenten</t>
  </si>
  <si>
    <t>Cara pimpinan menyarankan metode baru dalam pelayanan pasien</t>
  </si>
  <si>
    <t>Cara pimpinan mendorong pemikiran baru dalam pemecahan masalah yang ada di Charitas Hospital Kenten</t>
  </si>
  <si>
    <t>Cara pimpinan mengevaluasi prosedur kerja yang sudah ada di Charitas Hospital Kenten</t>
  </si>
  <si>
    <t>Cara pimpinan merespon ide-ide baru dari karyawan untuk peningkatan layanan</t>
  </si>
  <si>
    <t>Perhatian pimpinan terhadap kebutuhan individual karyawan Charitas Hospital Kenten</t>
  </si>
  <si>
    <t>Upaya pimpinan dalam mengembangkan kemampuan karyawan Charitas Hospital Kenten</t>
  </si>
  <si>
    <t>Cara pimpinan menangani keragaman kemampuan karyawan Charitas Hospital Kenten</t>
  </si>
  <si>
    <t>Kesediaan pimpinan untuk membimbing karyawan dalam pelayanan Charitas Hospital Kenten</t>
  </si>
  <si>
    <t>Cara pimpinan mendengarkan masukan dari karyawan terkait operasional Charitas Hospital Kenten</t>
  </si>
  <si>
    <t>Bagaimana Anda berharap karakteristik dominan budaya organisasi anda di masa depan ( Harapan anda ) ?   Apakah total poin Anda ( A+B+C+D) sudah 100 ? " [A.Rumah Sakit adalah tempat pribadi yang menyenangkan, seperti suatu keluarga. Pegawai saling berbagi cerita tentang keadaan mereka.]</t>
  </si>
  <si>
    <t>Bagaimana Anda berharap karakteristik dominan budaya organisasi anda di masa depan ( Harapan anda ) ?   Apakah total poin Anda ( A+B+C+D) sudah 100 ? " [B.Rumah Sakit adalah tempat yang sangat dinamis dan memberi kesempatan kepada pegawai unuk berpikir seperti seorang pengusaha. Pegawainya giat bekerja dan berani mengambil resiko.]</t>
  </si>
  <si>
    <t>Bagaimana Anda berharap karakteristik dominan budaya organisasi anda di masa depan ( Harapan anda ) ?   Apakah total poin Anda ( A+B+C+D) sudah 100 ? " [C. Rumah Sakit lebih berorientasi pada pencapaian hasil kerja. Perhatian terutama tertuju pada penyelesaian tugas. Pegawainya bersaing dengan ketat dan selalu mengutamakan hasil yang ingin dicapai.]</t>
  </si>
  <si>
    <t>Bagaimana Anda berharap karakteristik dominan budaya organisasi anda di masa depan ( Harapan anda ) ?   Apakah total poin Anda ( A+B+C+D) sudah 100 ? " [D. Rumah Sakit adalah tempat yang terstruktur dengan baik disertai dengan pengawasan yang sangat ketat. Prosedur formal menentukan apa yang harus dilakukan oleh pegawainya.]</t>
  </si>
  <si>
    <t>jumlah 1</t>
  </si>
  <si>
    <t>Bagaimana Anda menilai karakteristik dominan budaya organisasi Anda saat ini?
"  Apakah total poin Anda ( A+B+C+D) sudah 100 ? " [A.Rumah Sakit adalah tempat pribadi yang menyenangkan, seperti suatu keluarga. Pegawai saling berbagi cerita tentang keadaan mereka.]</t>
  </si>
  <si>
    <t>Bagaimana Anda menilai karakteristik dominan budaya organisasi Anda saat ini?
"  Apakah total poin Anda ( A+B+C+D) sudah 100 ? " [B.Rumah Sakit adalah tempat yang sangat dinamis dan memberi kesempatan kepada pegawai unuk berpikir seperti seorang pengusaha. Pegawainya giat bekerja dan berani mengambil resiko.]</t>
  </si>
  <si>
    <t>Bagaimana Anda menilai karakteristik dominan budaya organisasi Anda saat ini?
"  Apakah total poin Anda ( A+B+C+D) sudah 100 ? " [C. Rumah Sakit lebih berorientasi pada pencapaian hasil kerja. Perhatian terutama tertuju pada penyelesaian tugas. Pegawainya bersaing dengan ketat dan selalu mengutamakan hasil yang ingin dicapai.]</t>
  </si>
  <si>
    <t>Bagaimana Anda menilai karakteristik dominan budaya organisasi Anda saat ini?
"  Apakah total poin Anda ( A+B+C+D) sudah 100 ? " [D. Rumah Sakit adalah tempat yang terstruktur dengan baik disertai dengan pengawasan yang sangat ketat. Prosedur formal menentukan apa yang harus dilakukan oleh pegawainya.]</t>
  </si>
  <si>
    <t>Jumlah 2</t>
  </si>
  <si>
    <t>Bagaimana Anda menilai Kepemimpinan Rumah Sakit anda di masa depan ( Harapan anda)?
"  Apakah total poin Anda ( A+B+C+D) sudah 100 ? " [A.Kepemimpinan dalam Rumah Sakit merupakan teladan dalam hal pemberian coaching, mentoring dan konselling.]</t>
  </si>
  <si>
    <t>Bagaimana Anda menilai Kepemimpinan Rumah Sakit anda di masa depan ( Harapan anda)?
"  Apakah total poin Anda ( A+B+C+D) sudah 100 ? " [B.Kepemimpinan dalam Rumah Sakit merupakan teladan dalam hal entrepreneurship, inovasi, dan pengambilan resiko.]</t>
  </si>
  <si>
    <t>Bagaimana Anda menilai Kepemimpinan Rumah Sakit anda di masa depan ( Harapan anda)?
"  Apakah total poin Anda ( A+B+C+D) sudah 100 ? " [C. Kepemimpinan dalam Rumah Sakit sangat menekankan pada hasil nyata]</t>
  </si>
  <si>
    <t>Bagaimana Anda menilai Kepemimpinan Rumah Sakit anda di masa depan ( Harapan anda)?
"  Apakah total poin Anda ( A+B+C+D) sudah 100 ? " [D. Kepemimpinan dalam Rumah Sakitmenekan-kan pada aspek koordinasi, pengorganisasian, dan efisiensi yang berjalan dengan baik.]</t>
  </si>
  <si>
    <t>jumlah 3</t>
  </si>
  <si>
    <t>Bagaimana Anda menilai Kepemimpinan Rumah Sakit anda saat ini?
"  Apakah total poin Anda ( A+B+C+D) sudah 100 ? " [A.Kepemimpinan dalam Rumah Sakit merupakan teladan dalam hal pemberian coaching, mentoring dan konselling.]</t>
  </si>
  <si>
    <t>Bagaimana Anda menilai Kepemimpinan Rumah Sakit anda saat ini?
"  Apakah total poin Anda ( A+B+C+D) sudah 100 ? " [B.Kepemimpinan dalam Rumah Sakit merupakan teladan dalam hal entrepreneurship, inovasi, dan pengambilan resiko.]</t>
  </si>
  <si>
    <t>Bagaimana Anda menilai Kepemimpinan Rumah Sakit anda saat ini?
"  Apakah total poin Anda ( A+B+C+D) sudah 100 ? " [C. Kepemimpinan dalam Rumah Sakit sangat menekankan pada hasil nyata]</t>
  </si>
  <si>
    <t>Bagaimana Anda menilai Kepemimpinan Rumah Sakit anda saat ini?
"  Apakah total poin Anda ( A+B+C+D) sudah 100 ? " [D. Kepemimpinan dalam Rumah Sakitmenekan-kan pada aspek koordinasi, pengorganisasian, dan efisiensi yang berjalan dengan baik]</t>
  </si>
  <si>
    <t>Jumlah 4</t>
  </si>
  <si>
    <t>Bagaimana Anda menilai Pengelolaan Pegawai Rumah Sakit  anda di masa depan ( Harapan anda)  ?
"  Apakah total poin Anda ( A+B+C+D) sudah 100 ? " [A.Gaya manajemen SDM banyak dipengaruhi oleh kelompok, konsensus dan partisipasi]</t>
  </si>
  <si>
    <t>Bagaimana Anda menilai Pengelolaan Pegawai Rumah Sakit  anda di masa depan ( Harapan anda)  ?
"  Apakah total poin Anda ( A+B+C+D) sudah 100 ? " [B.Gaya manajemen SDM banyak dipengaruhi oleh pengambilan risiko pribadi, inovasi, kebebasan, dan keunikan]</t>
  </si>
  <si>
    <t>Bagaimana Anda menilai Pengelolaan Pegawai Rumah Sakit  anda di masa depan ( Harapan anda)  ?
"  Apakah total poin Anda ( A+B+C+D) sudah 100 ? " [C. Gaya manajemen SDM banyak dipengaruhi oleh dorongan kuat persaingan, permintaan yang tinggi dan pencapaian hasil akhir]</t>
  </si>
  <si>
    <t>Bagaimana Anda menilai Pengelolaan Pegawai Rumah Sakit  anda di masa depan ( Harapan anda)  ?
"  Apakah total poin Anda ( A+B+C+D) sudah 100 ? " [D. Gaya manajemen SDM banyak dipengaruhi oleh keamanan pekerjaan, penyesuaian diri antar pegawai dan stabilitas dalam hubungan antar pegawai]</t>
  </si>
  <si>
    <t>Jumlah 5</t>
  </si>
  <si>
    <t>Bagaimana Anda menilai Pengelolaan Pegawai Rumah Sakit  anda saat ini  ?
"  Apakah total poin Anda ( A+B+C+D) sudah 100 ? " [A.Gaya manajemen SDM banyak dipengaruhi oleh kelompok, konsensus dan partisipasi]</t>
  </si>
  <si>
    <t>Bagaimana Anda menilai Pengelolaan Pegawai Rumah Sakit  anda saat ini  ?
"  Apakah total poin Anda ( A+B+C+D) sudah 100 ? " [B.Gaya manajemen SDM banyak dipengaruhi oleh pengambilan risiko pribadi, inovasi, kebebasan, dan keunikan]</t>
  </si>
  <si>
    <t>Bagaimana Anda menilai Pengelolaan Pegawai Rumah Sakit  anda saat ini  ?
"  Apakah total poin Anda ( A+B+C+D) sudah 100 ? " [C. Gaya manajemen SDM banyak dipengaruhi oleh dorongan kuat persaingan, permintaan yang tinggi dan pencapaian hasil akhir]</t>
  </si>
  <si>
    <t>Bagaimana Anda menilai Pengelolaan Pegawai Rumah Sakit  anda saat ini  ?
"  Apakah total poin Anda ( A+B+C+D) sudah 100 ? " [D. Gaya manajemen SDM banyak dipengaruhi oleh keamanan pekerjaan, penyesuaian diri antar pegawai dan stabilitas dalam hubungan antar pegawai]</t>
  </si>
  <si>
    <t>jumlah 6</t>
  </si>
  <si>
    <t>Bagaimana Anda menilai Perekat di Rumah Sakit  anda di masa depan ( Harapan Anda)  ?
"  Apakah total poin Anda ( A+B+C+D) sudah 100 ? " [A.Perekat yang menjadi pemersatu Rumah Sakit adalah kesetiaan dan saling percaya. Komitmen terhadap Rumah Sakit sangat tinggi]</t>
  </si>
  <si>
    <t>Bagaimana Anda menilai Perekat di Rumah Sakit  anda di masa depan ( Harapan Anda)  ?
"  Apakah total poin Anda ( A+B+C+D) sudah 100 ? " [B.Perekat yang menjadi pemersatu Rumah Sakit adalah komitmen untuk berinovasi dan melakukan pengembangan. Sangat ditekankan untuk menjadi yang terdepan dalam inovasi]</t>
  </si>
  <si>
    <t>Bagaimana Anda menilai Perekat di Rumah Sakit  anda di masa depan ( Harapan Anda)  ?
"  Apakah total poin Anda ( A+B+C+D) sudah 100 ? " [C. Perekat yang menjadi pemersatu Rumah Sakit adalah penekanan pada pencapaian hasil dan tujuan perusahaan. Sikap agresif dan menjadi pemenang adalah tema umum]</t>
  </si>
  <si>
    <t>Bagaimana Anda menilai Perekat di Rumah Sakit  anda di masa depan ( Harapan Anda)  ?
"  Apakah total poin Anda ( A+B+C+D) sudah 100 ? " [D. Perekat yang menjadi pemersatu Rumah Sakit adalah aturan-aturan resmi dan kebijakan-kebijakan. Mempertahankan Rumah Sakityang berjalan lancar adalah penting.]</t>
  </si>
  <si>
    <t>Jumlah 7</t>
  </si>
  <si>
    <t>Bagaimana Anda menilai Perekat di Rumah Sakit anda saat ini  ?
"  Apakah total poin Anda ( A+B+C+D) sudah 100 ? " [A.Perekat yang menjadi pemersatu Rumah Sakit adalah kesetiaan dan saling percaya. Komitmen terhadap Rumah Sakit sangat tinggi]</t>
  </si>
  <si>
    <t>Bagaimana Anda menilai Perekat di Rumah Sakit anda saat ini  ?
"  Apakah total poin Anda ( A+B+C+D) sudah 100 ? " [B.Perekat yang menjadi pemersatu Rumah Sakit adalah komitmen untuk berinovasi dan melakukan pengembangan. Sangat ditekankan untuk menjadi yang terdepan dalam inovasi]</t>
  </si>
  <si>
    <t>Bagaimana Anda menilai Perekat di Rumah Sakit anda saat ini  ?
"  Apakah total poin Anda ( A+B+C+D) sudah 100 ? " [C. Perekat yang menjadi pemersatu Rumah Sakit adalah penekanan pada pencapaian hasil dan tujuan perusahaan. Sikap agresif dan menjadi pemenang adalah tema umum]</t>
  </si>
  <si>
    <t>Bagaimana Anda menilai Perekat di Rumah Sakit anda saat ini  ?
"  Apakah total poin Anda ( A+B+C+D) sudah 100 ? " [D. Perekat yang menjadi pemersatu Rumah Sakit adalah aturan-aturan resmi dan kebijakan-kebijakan. Mempertahankan Rumah Sakityang berjalan lancar adalah penting.]</t>
  </si>
  <si>
    <t>jumlah 8</t>
  </si>
  <si>
    <t>Bagaimana Anda menilai strategi yang ditekankan di Rumah Sakit di masa depan ( harapan anda )?
"  Apakah total poin Anda ( A+B+C+D) sudah 100 ? " [A.Rumah Sakit menekankan pada pengem-bangan manusia]</t>
  </si>
  <si>
    <t>Bagaimana Anda menilai strategi yang ditekankan di Rumah Sakit di masa depan ( harapan anda )?
"  Apakah total poin Anda ( A+B+C+D) sudah 100 ? " [B.Rumah Sakit menekankan pentingnya untuk mendapatkan sumber-sumber daya baru dan menciptakan tantangan –tantangan baru. Mencoba sesuatu yang baru dan mencari kesempatan baru sangat dihargai]</t>
  </si>
  <si>
    <t>Bagaimana Anda menilai strategi yang ditekankan di Rumah Sakit di masa depan ( harapan anda )?
"  Apakah total poin Anda ( A+B+C+D) sudah 100 ? " [C. Rumah Sakit menekankan pada tindakan-tindakan persaingan dan pencapaian hasil. Mencapai sasaran yang tinggi dan unggul di antara Rumah Sakit pemerintah adalah hal yang penting]</t>
  </si>
  <si>
    <t>Bagaimana Anda menilai strategi yang ditekankan di Rumah Sakit di masa depan ( harapan anda )?
"  Apakah total poin Anda ( A+B+C+D) sudah 100 ? " [D. Rumah Sakit menekankan pada stabilitas, efisiensi, kontrol dan kelancaran operasi]</t>
  </si>
  <si>
    <t>jumlah 9</t>
  </si>
  <si>
    <t>Bagaimana Anda menilai strategi yang ditekankan di Rumah Sakit saat ini?
"  Apakah total poin Anda ( A+B+C+D) sudah 100 ? " [A.Rumah Sakit menekankan pada pengem-bangan manusia]</t>
  </si>
  <si>
    <t>Bagaimana Anda menilai strategi yang ditekankan di Rumah Sakit saat ini?
"  Apakah total poin Anda ( A+B+C+D) sudah 100 ? " [B.Rumah Sakit menekankan pentingnya untuk mendapatkan sumber-sumber daya baru dan menciptakan tantangan –tantangan baru. Mencoba sesuatu yang baru dan mencari kesempatan baru sangat dihargai]</t>
  </si>
  <si>
    <t>Bagaimana Anda menilai strategi yang ditekankan di Rumah Sakit saat ini?
"  Apakah total poin Anda ( A+B+C+D) sudah 100 ? " [C. Rumah Sakit menekankan pada tindakan-tindakan persaingan dan pencapaian hasil. Mencapai sasaran yang tinggi dan unggul di antara Rumah Sakit pemerintah adalah hal yang penting]</t>
  </si>
  <si>
    <t>Bagaimana Anda menilai strategi yang ditekankan di Rumah Sakit saat ini?
"  Apakah total poin Anda ( A+B+C+D) sudah 100 ? " [D. Rumah Sakit menekankan pada stabilitas, efisiensi, kontrol dan kelancaran operasi]</t>
  </si>
  <si>
    <t xml:space="preserve">jumlah </t>
  </si>
  <si>
    <t>Bagaimana Anda menilai kriteria dari kesuksesan di Rumah Sakit di masa depan ( Harapan anda)?
"  Apakah total poin Anda ( A+B+C+D) sudah 100 ? " [A.Rumah Sakit mendefinisikan kesuksesan ber-dasarkan pengembangan sumber daya manusia, kerjasama kelompok, komitmen pegawai dan tanggung jawab terhadap masyarakat]</t>
  </si>
  <si>
    <t>Bagaimana Anda menilai kriteria dari kesuksesan di Rumah Sakit di masa depan ( Harapan anda)?
"  Apakah total poin Anda ( A+B+C+D) sudah 100 ? " [B.Rumah Sakit mendefinisikan kesuksesan ber-dasarkan pada ada tidaknya produk terbaru atau terunik]</t>
  </si>
  <si>
    <t>Bagaimana Anda menilai kriteria dari kesuksesan di Rumah Sakit di masa depan ( Harapan anda)?
"  Apakah total poin Anda ( A+B+C+D) sudah 100 ? " [C. Rumah Sakit mendefinisikan kesuksesan ber-dasarkan keunggulan di industri mekanika elektrik]</t>
  </si>
  <si>
    <t>Bagaimana Anda menilai kriteria dari kesuksesan di Rumah Sakit di masa depan ( Harapan anda)?
"  Apakah total poin Anda ( A+B+C+D) sudah 100 ? " [D. Rumah Sakit mendefinisikan kesuksesan berdasarkan efisiensi. Kehandalan dalam bidang mekanika elektrik sangatlah penting]</t>
  </si>
  <si>
    <t>jumlah</t>
  </si>
  <si>
    <t>Bagaimana Anda menilai kriteria dari kesuksesan di Rumah Sakit saat ini?
"  Apakah total poin Anda ( A+B+C+D) sudah 100 ? " [A.Rumah Sakit mendefinisikan kesuksesan ber-dasarkan pengembangan sumber daya manusia, kerjasama kelompok, komitmen pegawai dan tanggung jawab terhadap masyarakat]</t>
  </si>
  <si>
    <t>Bagaimana Anda menilai kriteria dari kesuksesan di Rumah Sakit saat ini?
"  Apakah total poin Anda ( A+B+C+D) sudah 100 ? " [B.Rumah Sakit mendefinisikan kesuksesan ber-dasarkan pada ada tidaknya produk terbaru atau terunik]</t>
  </si>
  <si>
    <t>Bagaimana Anda menilai kriteria dari kesuksesan di Rumah Sakit saat ini?
"  Apakah total poin Anda ( A+B+C+D) sudah 100 ? " [C. Rumah Sakit mendefinisikan kesuksesan ber-dasarkan keunggulan di industri mekanika elektrik]</t>
  </si>
  <si>
    <t>Bagaimana Anda menilai kriteria dari kesuksesan di Rumah Sakit saat ini?
"  Apakah total poin Anda ( A+B+C+D) sudah 100 ? " [D. Rumah Sakit mendefinisikan kesuksesan berdasarkan efisiensi. Kehandalan dalam bidang mekanika elektrik sangatlah penting]</t>
  </si>
  <si>
    <t>jumlah 10</t>
  </si>
  <si>
    <t>Nilai 2023</t>
  </si>
  <si>
    <t>Bobot</t>
  </si>
  <si>
    <t>Nilai 2024</t>
  </si>
  <si>
    <t>Column 93</t>
  </si>
  <si>
    <t>qrosma@gmail.com</t>
  </si>
  <si>
    <t>Perempuan</t>
  </si>
  <si>
    <t>41-50 tahun</t>
  </si>
  <si>
    <t>S1</t>
  </si>
  <si>
    <t>&gt; 5 tahun</t>
  </si>
  <si>
    <t>Level 2</t>
  </si>
  <si>
    <t>B</t>
  </si>
  <si>
    <t>dwiputripanjaitan68@gmail.com</t>
  </si>
  <si>
    <t>31-40 tahun</t>
  </si>
  <si>
    <t>D3</t>
  </si>
  <si>
    <t>Staf Pelaksana</t>
  </si>
  <si>
    <t>elnakukuhkurnia92@gmail.com</t>
  </si>
  <si>
    <t>Level 3</t>
  </si>
  <si>
    <t>dewikayatri179@gmail.com</t>
  </si>
  <si>
    <t>daenghasan27@gmail.com</t>
  </si>
  <si>
    <t>Laki-Laki</t>
  </si>
  <si>
    <t>51-60 tahun</t>
  </si>
  <si>
    <t>&gt;3-5 tahun</t>
  </si>
  <si>
    <t xml:space="preserve"> </t>
  </si>
  <si>
    <t>rizkyalparizi2001@gmail.com</t>
  </si>
  <si>
    <t>21-30 tahun</t>
  </si>
  <si>
    <t>&lt;1 tahun</t>
  </si>
  <si>
    <t>indriyani010416@gmail.com</t>
  </si>
  <si>
    <t>revisofia0231@gmail.com</t>
  </si>
  <si>
    <t>renaldicool908@gmail.com</t>
  </si>
  <si>
    <t>C</t>
  </si>
  <si>
    <t>Andyxzpribadi@gmail.com</t>
  </si>
  <si>
    <t>cantikatasti04@gmail.com</t>
  </si>
  <si>
    <t>Koordinator</t>
  </si>
  <si>
    <t>A</t>
  </si>
  <si>
    <t>sucikhairunnisa21@gmail.com</t>
  </si>
  <si>
    <t>1-3 tahun</t>
  </si>
  <si>
    <t>izudinandri25@gmail.com</t>
  </si>
  <si>
    <t>lusianapaisal99@gmail.com</t>
  </si>
  <si>
    <t>Fitri12409@gmail.com</t>
  </si>
  <si>
    <t>tridinastiti01@gmail.com</t>
  </si>
  <si>
    <t>Widyaanggraini758@gmail.com</t>
  </si>
  <si>
    <t>Itanatalia1980@gmail.com</t>
  </si>
  <si>
    <t>SMA/SMK/SPK</t>
  </si>
  <si>
    <t>iinparlina143@gmail.com</t>
  </si>
  <si>
    <t>Davidganda57@gmail.com</t>
  </si>
  <si>
    <t>seraphin707@gmail.com</t>
  </si>
  <si>
    <t>dinapuspitasari600@gmail.com</t>
  </si>
  <si>
    <t>lilimanda27@gmail.com</t>
  </si>
  <si>
    <t>Sherlockian28eva@gmail.com</t>
  </si>
  <si>
    <t>Rikasantika1999@gmail.com</t>
  </si>
  <si>
    <t>ahrd2479@gmail.com</t>
  </si>
  <si>
    <t>herdi</t>
  </si>
  <si>
    <t>ekothomas89@gmail.com</t>
  </si>
  <si>
    <t>dekywinata11@gmail.com</t>
  </si>
  <si>
    <t>dspatricia04@gmail.com</t>
  </si>
  <si>
    <t>dariw3106@gmail.com</t>
  </si>
  <si>
    <t>wulandari</t>
  </si>
  <si>
    <t>Nova Apriani</t>
  </si>
  <si>
    <t>Matmario168@gmail.com</t>
  </si>
  <si>
    <t>matius edi</t>
  </si>
  <si>
    <t>d3si.aryani@gmail.com</t>
  </si>
  <si>
    <t>Awengfmunawir@gmail.com</t>
  </si>
  <si>
    <t>paskaliskevin999@gmail.com</t>
  </si>
  <si>
    <t>rahmadalvin600@gmail.com</t>
  </si>
  <si>
    <t>andilelar@gmail.com</t>
  </si>
  <si>
    <t>Kandidias elnadus</t>
  </si>
  <si>
    <t>Clarissafebrianti99@gmail.com</t>
  </si>
  <si>
    <t>Mariadianmaria@gmail.com</t>
  </si>
  <si>
    <t>romintan.boru.sinaga@gmail.com</t>
  </si>
  <si>
    <t>dessystuti1998@gmail.com</t>
  </si>
  <si>
    <t>katarinahutagalung26@gmail.com</t>
  </si>
  <si>
    <t>Irma.atmojo@ovi.com</t>
  </si>
  <si>
    <t>kppi.chk@gmail.com</t>
  </si>
  <si>
    <t>fsyah8795@gmail.com</t>
  </si>
  <si>
    <t>@gresensiavalery@gmail.com</t>
  </si>
  <si>
    <t>Theresiasri2@gmail.com</t>
  </si>
  <si>
    <t>Novitasarigultom18@gmail.com</t>
  </si>
  <si>
    <t>diklatcharitashospitalkenten@gmail.com</t>
  </si>
  <si>
    <t>tutisri218@gmail.com</t>
  </si>
  <si>
    <t>sandyoka2802@gmail.com</t>
  </si>
  <si>
    <t>Logistik _CHK logistik.chk01@gmail.com</t>
  </si>
  <si>
    <t>Juntriitaherefa@gmail.com</t>
  </si>
  <si>
    <t>viavalinza09@gmail.com</t>
  </si>
  <si>
    <t>aw3053829@gmail.com</t>
  </si>
  <si>
    <t>Robby</t>
  </si>
  <si>
    <t>anita230998@gmail.com</t>
  </si>
  <si>
    <t>Titusadi.pabel@gmail.com</t>
  </si>
  <si>
    <t>rosaerizona8@gmail.com</t>
  </si>
  <si>
    <t>fransiskusdenny07@gmail.com</t>
  </si>
  <si>
    <t>eritarufekso09@gmail.com</t>
  </si>
  <si>
    <t xml:space="preserve">madesuryaniplg22@gmail.com </t>
  </si>
  <si>
    <t>yohanesdidik88@gmail.com</t>
  </si>
  <si>
    <t>politeman_dr@yahoo.com</t>
  </si>
  <si>
    <t>S2</t>
  </si>
  <si>
    <t>dr. Dahlan</t>
  </si>
  <si>
    <t>agustindinaa1@gmail.com</t>
  </si>
  <si>
    <t>mariaendita@gmail.com</t>
  </si>
  <si>
    <t>grethafch@gmail.com</t>
  </si>
  <si>
    <t>amita22232534@gmail.com</t>
  </si>
  <si>
    <t>yulihartantimeka@gmail.com</t>
  </si>
  <si>
    <t>ichaandrain@gmail.com</t>
  </si>
  <si>
    <t>ayy.ajh27@gmail.com</t>
  </si>
  <si>
    <t>anastasiaregina249@gmail.com</t>
  </si>
  <si>
    <t>farhanrahmadi34@gmail.com</t>
  </si>
  <si>
    <t>krisanty30@gmail</t>
  </si>
  <si>
    <t>pranandasupit97@gmail.com</t>
  </si>
  <si>
    <t>emeliapuspitasari99@gmail.com</t>
  </si>
  <si>
    <t>adhityawan49@gmail.com</t>
  </si>
  <si>
    <t>aishaeko53@gmail.com</t>
  </si>
  <si>
    <t>eko poli</t>
  </si>
  <si>
    <t>fransiskakristela15@gmail.com</t>
  </si>
  <si>
    <t>Arnilatika@gmail.com</t>
  </si>
  <si>
    <t>yulitamartiwi@gmail.com</t>
  </si>
  <si>
    <t>wendynadya@gmail.com</t>
  </si>
  <si>
    <t>elseputri1208@gmail.com</t>
  </si>
  <si>
    <t>eniw5750@gmail.com</t>
  </si>
  <si>
    <t>rexysepta59@gmail.com</t>
  </si>
  <si>
    <t>elisabetindahc@gmail.com</t>
  </si>
  <si>
    <t>verrennatasyaa@gmail.com</t>
  </si>
  <si>
    <t>Pratiwigita206@gmail.com</t>
  </si>
  <si>
    <t>nurbettysidebang10@gmail. Com</t>
  </si>
  <si>
    <t>Marchelina2806@gmail.com</t>
  </si>
  <si>
    <t>arzoey31@gmail.com</t>
  </si>
  <si>
    <t>ebong</t>
  </si>
  <si>
    <t>sudewiyun150615@gmail.com</t>
  </si>
  <si>
    <t>beniirawan420@gmail.com</t>
  </si>
  <si>
    <t>merwinferdy@gmail.com</t>
  </si>
  <si>
    <t>Gregoriusjodie99@gmail.cm</t>
  </si>
  <si>
    <t>sucisubairi93@gmail.com</t>
  </si>
  <si>
    <t>nurincallista@gmail.com</t>
  </si>
  <si>
    <t>Gabi</t>
  </si>
  <si>
    <t>pratamariezky10@gmail.com</t>
  </si>
  <si>
    <t>vitus risdianto</t>
  </si>
  <si>
    <t>arisandisandy94@gmail.com</t>
  </si>
  <si>
    <t>Dermawanteguh132@gmail.com</t>
  </si>
  <si>
    <t>aadethioputra@gmail.com</t>
  </si>
  <si>
    <t>pram71041@gmail.com</t>
  </si>
  <si>
    <t>agnsdhlia@gmail.com</t>
  </si>
  <si>
    <t>glenyscindy@gmail.com</t>
  </si>
  <si>
    <t>violantinalinardi10@gmail.con</t>
  </si>
  <si>
    <t>irayeremia6@gmail.com</t>
  </si>
  <si>
    <t>Rizkaayuramdhini@gmail.com</t>
  </si>
  <si>
    <t>efrentina02@gmail.com</t>
  </si>
  <si>
    <t>ochayulina99@gmail.com</t>
  </si>
  <si>
    <t>simbahlanang7@gmail.com</t>
  </si>
  <si>
    <t>Level2</t>
  </si>
  <si>
    <t>dr. Sopan</t>
  </si>
  <si>
    <t>margaretadewi1971@gmail.com</t>
  </si>
  <si>
    <t>dionsetra.pratama@gmail.com</t>
  </si>
  <si>
    <t>Angriani yusuf</t>
  </si>
  <si>
    <t>angelbertha0201@gmail.com</t>
  </si>
  <si>
    <t xml:space="preserve"> chairunnisyanabila@gmail.con</t>
  </si>
  <si>
    <t>manswaarca@gmail.com</t>
  </si>
  <si>
    <t>Manual</t>
  </si>
  <si>
    <t>Dellafonda@gmail.com</t>
  </si>
  <si>
    <t>intansarimurti28@gmail.com</t>
  </si>
  <si>
    <t>syafranms70@gmail.com</t>
  </si>
  <si>
    <t>agnesleorina1@gmail.com</t>
  </si>
  <si>
    <t>mariachristin8@gmail.com</t>
  </si>
  <si>
    <t>adolfmarsola@gmail.com</t>
  </si>
  <si>
    <t>mariaanne42603@gmail.com</t>
  </si>
  <si>
    <t>Anayuli8450@gmail.com</t>
  </si>
  <si>
    <t>megafelicitas926@gmail.com</t>
  </si>
  <si>
    <t>nataliatri@gmail.com</t>
  </si>
  <si>
    <t>AgnesRatri1@gmail.com</t>
  </si>
  <si>
    <t>mulyani12@gmail.com</t>
  </si>
  <si>
    <t>yossiSulas@gmail.com</t>
  </si>
  <si>
    <t>Tsum23@gmail.com</t>
  </si>
  <si>
    <t>D4</t>
  </si>
  <si>
    <t>RubbyYanti@gmail.com</t>
  </si>
  <si>
    <t>Kepemimpinan</t>
  </si>
  <si>
    <t>Budaya Organisasi</t>
  </si>
  <si>
    <t>Y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</si>
  <si>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</si>
  <si>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</si>
  <si>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</si>
  <si>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</si>
  <si>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</si>
  <si>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</si>
  <si>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</si>
  <si>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</si>
  <si>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</si>
  <si>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</si>
  <si>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</si>
  <si>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</si>
  <si>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</si>
  <si>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</si>
  <si>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</si>
  <si>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</si>
  <si>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</si>
  <si>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</si>
  <si>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</si>
  <si>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</si>
  <si>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Total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</si>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</sst>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2"/>
      <color rgb="FF000000"/>
      <name val="&quot;Times New Roman&quot;"/>
    </font>
    <font>
      <sz val="11"/>
      <color rgb="FF000000"/>
      <name val="&quot;Times New Roman&quot;"/>
    </font>
    <font>
      <sz val="12"/>
      <color theme="1"/>
      <name val="&quot;Times New Roman&quot;"/>
    </font>
    <font>
      <sz val="11"/>
      <color theme="1"/>
      <name val="Calibri"/>
      <family val="2"/>
    </font>
    <font>
      <sz val="9"/>
      <color rgb="FF1F1F1F"/>
      <name val="&quot;Google Sans&quot;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00"/>
      </left>
      <right style="thin">
        <color rgb="FFFFFF00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6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1" fillId="0" borderId="9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4" fillId="0" borderId="10" xfId="0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5" fillId="0" borderId="6" xfId="0" applyFont="1" applyBorder="1"/>
    <xf numFmtId="0" fontId="5" fillId="0" borderId="8" xfId="0" applyFont="1" applyBorder="1"/>
    <xf numFmtId="0" fontId="2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164" fontId="1" fillId="0" borderId="13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6" fillId="3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1" fillId="2" borderId="0" xfId="0" applyFont="1" applyFill="1"/>
    <xf numFmtId="164" fontId="1" fillId="0" borderId="0" xfId="0" applyNumberFormat="1" applyFont="1"/>
    <xf numFmtId="0" fontId="1" fillId="0" borderId="0" xfId="0" applyFont="1"/>
    <xf numFmtId="0" fontId="6" fillId="3" borderId="0" xfId="0" applyFont="1" applyFill="1"/>
    <xf numFmtId="0" fontId="7" fillId="0" borderId="0" xfId="0" applyFont="1"/>
    <xf numFmtId="0" fontId="7" fillId="4" borderId="0" xfId="0" applyFont="1" applyFill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2:CR183" headerRowCount="0">
  <tableColumns count="9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  <tableColumn id="59" xr3:uid="{00000000-0010-0000-0000-00003B000000}" name="Column59"/>
    <tableColumn id="60" xr3:uid="{00000000-0010-0000-0000-00003C000000}" name="Column60"/>
    <tableColumn id="61" xr3:uid="{00000000-0010-0000-0000-00003D000000}" name="Column61"/>
    <tableColumn id="62" xr3:uid="{00000000-0010-0000-0000-00003E000000}" name="Column62"/>
    <tableColumn id="63" xr3:uid="{00000000-0010-0000-0000-00003F000000}" name="Column63"/>
    <tableColumn id="64" xr3:uid="{00000000-0010-0000-0000-000040000000}" name="Column64"/>
    <tableColumn id="65" xr3:uid="{00000000-0010-0000-0000-000041000000}" name="Column65"/>
    <tableColumn id="66" xr3:uid="{00000000-0010-0000-0000-000042000000}" name="Column66"/>
    <tableColumn id="67" xr3:uid="{00000000-0010-0000-0000-000043000000}" name="Column67"/>
    <tableColumn id="68" xr3:uid="{00000000-0010-0000-0000-000044000000}" name="Column68"/>
    <tableColumn id="69" xr3:uid="{00000000-0010-0000-0000-000045000000}" name="Column69"/>
    <tableColumn id="70" xr3:uid="{00000000-0010-0000-0000-000046000000}" name="Column70"/>
    <tableColumn id="71" xr3:uid="{00000000-0010-0000-0000-000047000000}" name="Column71"/>
    <tableColumn id="72" xr3:uid="{00000000-0010-0000-0000-000048000000}" name="Column72"/>
    <tableColumn id="73" xr3:uid="{00000000-0010-0000-0000-000049000000}" name="Column73"/>
    <tableColumn id="74" xr3:uid="{00000000-0010-0000-0000-00004A000000}" name="Column74"/>
    <tableColumn id="75" xr3:uid="{00000000-0010-0000-0000-00004B000000}" name="Column75"/>
    <tableColumn id="76" xr3:uid="{00000000-0010-0000-0000-00004C000000}" name="Column76"/>
    <tableColumn id="77" xr3:uid="{00000000-0010-0000-0000-00004D000000}" name="Column77"/>
    <tableColumn id="78" xr3:uid="{00000000-0010-0000-0000-00004E000000}" name="Column78"/>
    <tableColumn id="79" xr3:uid="{00000000-0010-0000-0000-00004F000000}" name="Column79"/>
    <tableColumn id="80" xr3:uid="{00000000-0010-0000-0000-000050000000}" name="Column80"/>
    <tableColumn id="81" xr3:uid="{00000000-0010-0000-0000-000051000000}" name="Column81"/>
    <tableColumn id="82" xr3:uid="{00000000-0010-0000-0000-000052000000}" name="Column82"/>
    <tableColumn id="83" xr3:uid="{00000000-0010-0000-0000-000053000000}" name="Column83"/>
    <tableColumn id="84" xr3:uid="{00000000-0010-0000-0000-000054000000}" name="Column84"/>
    <tableColumn id="85" xr3:uid="{00000000-0010-0000-0000-000055000000}" name="Column85"/>
    <tableColumn id="86" xr3:uid="{00000000-0010-0000-0000-000056000000}" name="Column86"/>
    <tableColumn id="87" xr3:uid="{00000000-0010-0000-0000-000057000000}" name="Column87"/>
    <tableColumn id="88" xr3:uid="{00000000-0010-0000-0000-000058000000}" name="Column88"/>
    <tableColumn id="89" xr3:uid="{00000000-0010-0000-0000-000059000000}" name="Column89"/>
    <tableColumn id="90" xr3:uid="{00000000-0010-0000-0000-00005A000000}" name="Column90"/>
    <tableColumn id="91" xr3:uid="{00000000-0010-0000-0000-00005B000000}" name="Column91"/>
    <tableColumn id="92" xr3:uid="{00000000-0010-0000-0000-00005C000000}" name="Column92"/>
    <tableColumn id="93" xr3:uid="{00000000-0010-0000-0000-00005D000000}" name="Column93"/>
    <tableColumn id="94" xr3:uid="{230ECC04-D054-40D6-A32A-29D9883793CA}" name="Column94"/>
    <tableColumn id="95" xr3:uid="{A7303195-5191-48CB-BE07-DCE23D008A26}" name="Column95"/>
    <tableColumn id="96" xr3:uid="{385862C3-8191-4C19-8525-70FCD55A93C3}" name="Column96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R237"/>
  <sheetViews>
    <sheetView tabSelected="1" topLeftCell="CI1" workbookViewId="0">
      <pane ySplit="2" topLeftCell="A102" activePane="bottomLeft" state="frozen"/>
      <selection pane="bottomLeft" activeCell="CP91" sqref="CP91"/>
    </sheetView>
  </sheetViews>
  <sheetFormatPr defaultColWidth="12.5703125" defaultRowHeight="15.75" customHeight="1"/>
  <cols>
    <col min="1" max="1" width="18.85546875" customWidth="1"/>
    <col min="2" max="2" width="8.7109375" customWidth="1"/>
    <col min="3" max="3" width="30.5703125" customWidth="1"/>
    <col min="4" max="5" width="18.85546875" customWidth="1"/>
    <col min="6" max="6" width="9.42578125" customWidth="1"/>
    <col min="7" max="8" width="18.85546875" customWidth="1"/>
    <col min="9" max="32" width="37.5703125" customWidth="1"/>
    <col min="33" max="33" width="11.140625" customWidth="1"/>
    <col min="34" max="37" width="37.5703125" customWidth="1"/>
    <col min="38" max="38" width="13.42578125" customWidth="1"/>
    <col min="39" max="42" width="37.5703125" customWidth="1"/>
    <col min="43" max="43" width="9.140625" customWidth="1"/>
    <col min="44" max="47" width="37.5703125" customWidth="1"/>
    <col min="48" max="48" width="10.5703125" customWidth="1"/>
    <col min="49" max="52" width="37.5703125" customWidth="1"/>
    <col min="53" max="53" width="12.140625" customWidth="1"/>
    <col min="54" max="57" width="37.5703125" customWidth="1"/>
    <col min="58" max="58" width="9.85546875" customWidth="1"/>
    <col min="59" max="62" width="37.5703125" customWidth="1"/>
    <col min="63" max="63" width="10.5703125" customWidth="1"/>
    <col min="64" max="67" width="37.5703125" customWidth="1"/>
    <col min="68" max="68" width="11.42578125" customWidth="1"/>
    <col min="69" max="72" width="37.5703125" customWidth="1"/>
    <col min="73" max="73" width="10" customWidth="1"/>
    <col min="74" max="77" width="37.5703125" customWidth="1"/>
    <col min="78" max="78" width="11.7109375" customWidth="1"/>
    <col min="79" max="82" width="37.5703125" customWidth="1"/>
    <col min="83" max="83" width="12.140625" customWidth="1"/>
    <col min="84" max="87" width="37.5703125" customWidth="1"/>
    <col min="88" max="88" width="12.7109375" customWidth="1"/>
    <col min="89" max="90" width="13.42578125" customWidth="1"/>
    <col min="91" max="93" width="18.85546875" customWidth="1"/>
  </cols>
  <sheetData>
    <row r="1" spans="1:96" ht="15.75" customHeight="1">
      <c r="I1" s="54" t="s">
        <v>258</v>
      </c>
      <c r="J1" s="54" t="s">
        <v>258</v>
      </c>
      <c r="K1" s="54" t="s">
        <v>258</v>
      </c>
      <c r="L1" s="54" t="s">
        <v>258</v>
      </c>
      <c r="M1" s="54" t="s">
        <v>258</v>
      </c>
      <c r="N1" s="54" t="s">
        <v>258</v>
      </c>
      <c r="O1" s="54" t="s">
        <v>258</v>
      </c>
      <c r="P1" s="54" t="s">
        <v>258</v>
      </c>
      <c r="Q1" s="54" t="s">
        <v>258</v>
      </c>
      <c r="R1" s="54" t="s">
        <v>258</v>
      </c>
      <c r="S1" s="54" t="s">
        <v>258</v>
      </c>
      <c r="T1" s="54" t="s">
        <v>258</v>
      </c>
      <c r="U1" s="54" t="s">
        <v>258</v>
      </c>
      <c r="V1" s="54" t="s">
        <v>258</v>
      </c>
      <c r="W1" s="54" t="s">
        <v>258</v>
      </c>
      <c r="X1" s="54" t="s">
        <v>258</v>
      </c>
      <c r="Y1" s="54" t="s">
        <v>258</v>
      </c>
      <c r="Z1" s="54" t="s">
        <v>258</v>
      </c>
      <c r="AA1" s="54" t="s">
        <v>258</v>
      </c>
      <c r="AB1" s="54" t="s">
        <v>258</v>
      </c>
      <c r="AC1" s="55" t="s">
        <v>259</v>
      </c>
      <c r="AD1" s="54" t="s">
        <v>259</v>
      </c>
      <c r="AE1" s="54" t="s">
        <v>259</v>
      </c>
      <c r="AF1" s="54" t="s">
        <v>259</v>
      </c>
      <c r="AG1" s="54" t="s">
        <v>259</v>
      </c>
      <c r="AH1" s="54" t="s">
        <v>259</v>
      </c>
      <c r="AI1" s="54" t="s">
        <v>259</v>
      </c>
      <c r="AJ1" s="54" t="s">
        <v>259</v>
      </c>
      <c r="AK1" s="54" t="s">
        <v>259</v>
      </c>
      <c r="AL1" s="54" t="s">
        <v>259</v>
      </c>
      <c r="AM1" s="54" t="s">
        <v>259</v>
      </c>
      <c r="AN1" s="54" t="s">
        <v>259</v>
      </c>
      <c r="AO1" s="54" t="s">
        <v>259</v>
      </c>
      <c r="AP1" s="54" t="s">
        <v>259</v>
      </c>
      <c r="AQ1" s="54" t="s">
        <v>259</v>
      </c>
      <c r="AR1" s="54" t="s">
        <v>259</v>
      </c>
      <c r="AS1" s="54" t="s">
        <v>259</v>
      </c>
      <c r="AT1" s="54" t="s">
        <v>259</v>
      </c>
      <c r="AU1" s="54" t="s">
        <v>259</v>
      </c>
      <c r="AV1" s="54" t="s">
        <v>259</v>
      </c>
      <c r="AW1" s="54" t="s">
        <v>259</v>
      </c>
      <c r="AX1" s="54" t="s">
        <v>259</v>
      </c>
      <c r="AY1" s="54" t="s">
        <v>259</v>
      </c>
      <c r="AZ1" s="54" t="s">
        <v>259</v>
      </c>
      <c r="BA1" s="54" t="s">
        <v>259</v>
      </c>
      <c r="BB1" s="54" t="s">
        <v>259</v>
      </c>
      <c r="BC1" s="54" t="s">
        <v>259</v>
      </c>
      <c r="BD1" s="54" t="s">
        <v>259</v>
      </c>
      <c r="BE1" s="54" t="s">
        <v>259</v>
      </c>
      <c r="BF1" s="54" t="s">
        <v>259</v>
      </c>
      <c r="BG1" s="54" t="s">
        <v>259</v>
      </c>
      <c r="BH1" s="54" t="s">
        <v>259</v>
      </c>
      <c r="BI1" s="54" t="s">
        <v>259</v>
      </c>
      <c r="BJ1" s="54" t="s">
        <v>259</v>
      </c>
      <c r="BK1" s="54" t="s">
        <v>259</v>
      </c>
      <c r="BL1" s="54" t="s">
        <v>259</v>
      </c>
      <c r="BM1" s="54" t="s">
        <v>259</v>
      </c>
      <c r="BN1" s="54" t="s">
        <v>259</v>
      </c>
      <c r="BO1" s="54" t="s">
        <v>259</v>
      </c>
      <c r="BP1" s="54" t="s">
        <v>259</v>
      </c>
      <c r="BQ1" s="54" t="s">
        <v>259</v>
      </c>
      <c r="BR1" s="54" t="s">
        <v>259</v>
      </c>
      <c r="BS1" s="54" t="s">
        <v>259</v>
      </c>
      <c r="BT1" s="54" t="s">
        <v>259</v>
      </c>
      <c r="BU1" s="54" t="s">
        <v>259</v>
      </c>
      <c r="BV1" s="54" t="s">
        <v>259</v>
      </c>
      <c r="BW1" s="54" t="s">
        <v>259</v>
      </c>
      <c r="BX1" s="54" t="s">
        <v>259</v>
      </c>
      <c r="BY1" s="54" t="s">
        <v>259</v>
      </c>
      <c r="BZ1" s="54" t="s">
        <v>259</v>
      </c>
      <c r="CA1" s="54" t="s">
        <v>259</v>
      </c>
      <c r="CB1" s="54" t="s">
        <v>259</v>
      </c>
      <c r="CC1" s="54" t="s">
        <v>259</v>
      </c>
      <c r="CD1" s="54" t="s">
        <v>259</v>
      </c>
      <c r="CE1" s="54" t="s">
        <v>259</v>
      </c>
      <c r="CF1" s="54" t="s">
        <v>259</v>
      </c>
      <c r="CG1" s="54" t="s">
        <v>259</v>
      </c>
      <c r="CH1" s="54" t="s">
        <v>259</v>
      </c>
      <c r="CI1" s="54" t="s">
        <v>259</v>
      </c>
      <c r="CK1" s="54" t="s">
        <v>260</v>
      </c>
    </row>
    <row r="2" spans="1:96" ht="12.7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3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3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3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3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3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3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3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3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3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3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3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3" t="s">
        <v>87</v>
      </c>
      <c r="CK2" s="4" t="s">
        <v>88</v>
      </c>
      <c r="CL2" s="4" t="s">
        <v>89</v>
      </c>
      <c r="CM2" s="4" t="s">
        <v>90</v>
      </c>
      <c r="CN2" s="4" t="s">
        <v>89</v>
      </c>
      <c r="CO2" s="5" t="s">
        <v>91</v>
      </c>
      <c r="CP2" s="54" t="s">
        <v>260</v>
      </c>
      <c r="CQ2" s="54" t="s">
        <v>260</v>
      </c>
      <c r="CR2" t="s">
        <v>260</v>
      </c>
    </row>
    <row r="3" spans="1:96" ht="15">
      <c r="A3" s="6">
        <v>45617.980794456016</v>
      </c>
      <c r="B3" s="7">
        <v>0</v>
      </c>
      <c r="C3" s="7" t="s">
        <v>92</v>
      </c>
      <c r="D3" s="7" t="s">
        <v>93</v>
      </c>
      <c r="E3" s="7" t="s">
        <v>94</v>
      </c>
      <c r="F3" s="7" t="s">
        <v>95</v>
      </c>
      <c r="G3" s="7" t="s">
        <v>96</v>
      </c>
      <c r="H3" s="7" t="s">
        <v>97</v>
      </c>
      <c r="I3" s="7">
        <v>4</v>
      </c>
      <c r="J3" s="7">
        <v>5</v>
      </c>
      <c r="K3" s="7">
        <v>4</v>
      </c>
      <c r="L3" s="7">
        <v>5</v>
      </c>
      <c r="M3" s="7">
        <v>4</v>
      </c>
      <c r="N3" s="7">
        <v>5</v>
      </c>
      <c r="O3" s="7">
        <v>5</v>
      </c>
      <c r="P3" s="7">
        <v>5</v>
      </c>
      <c r="Q3" s="7">
        <v>5</v>
      </c>
      <c r="R3" s="7">
        <v>5</v>
      </c>
      <c r="S3" s="7">
        <v>5</v>
      </c>
      <c r="T3" s="7">
        <v>5</v>
      </c>
      <c r="U3" s="7">
        <v>4</v>
      </c>
      <c r="V3" s="7">
        <v>4</v>
      </c>
      <c r="W3" s="7">
        <v>4</v>
      </c>
      <c r="X3" s="7">
        <v>4</v>
      </c>
      <c r="Y3" s="7">
        <v>5</v>
      </c>
      <c r="Z3" s="7">
        <v>5</v>
      </c>
      <c r="AA3" s="7">
        <v>5</v>
      </c>
      <c r="AB3" s="7">
        <v>4</v>
      </c>
      <c r="AC3" s="7">
        <v>30</v>
      </c>
      <c r="AD3" s="7">
        <v>20</v>
      </c>
      <c r="AE3" s="7">
        <v>20</v>
      </c>
      <c r="AF3" s="7">
        <v>30</v>
      </c>
      <c r="AG3" s="8">
        <f>SUM(AC3:AF3)</f>
        <v>100</v>
      </c>
      <c r="AH3" s="7">
        <v>30</v>
      </c>
      <c r="AI3" s="7">
        <v>30</v>
      </c>
      <c r="AJ3" s="7">
        <v>20</v>
      </c>
      <c r="AK3" s="7">
        <v>20</v>
      </c>
      <c r="AL3" s="8">
        <f t="shared" ref="AL3:AL133" si="0">SUM(AH3:AK3)</f>
        <v>100</v>
      </c>
      <c r="AM3" s="7">
        <v>30</v>
      </c>
      <c r="AN3" s="7">
        <v>30</v>
      </c>
      <c r="AO3" s="7">
        <v>20</v>
      </c>
      <c r="AP3" s="7">
        <v>20</v>
      </c>
      <c r="AQ3" s="8">
        <f t="shared" ref="AQ3:AQ133" si="1">SUM(AM3:AP3)</f>
        <v>100</v>
      </c>
      <c r="AR3" s="7">
        <v>30</v>
      </c>
      <c r="AS3" s="7">
        <v>30</v>
      </c>
      <c r="AT3" s="7">
        <v>20</v>
      </c>
      <c r="AU3" s="7">
        <v>20</v>
      </c>
      <c r="AV3" s="8">
        <f t="shared" ref="AV3:AV183" si="2">SUM(AR3:AU3)</f>
        <v>100</v>
      </c>
      <c r="AW3" s="7">
        <v>20</v>
      </c>
      <c r="AX3" s="7">
        <v>20</v>
      </c>
      <c r="AY3" s="7">
        <v>30</v>
      </c>
      <c r="AZ3" s="7">
        <v>30</v>
      </c>
      <c r="BA3" s="8">
        <f t="shared" ref="BA3:BA183" si="3">SUM(AW3:AZ3)</f>
        <v>100</v>
      </c>
      <c r="BB3" s="7">
        <v>20</v>
      </c>
      <c r="BC3" s="7">
        <v>20</v>
      </c>
      <c r="BD3" s="7">
        <v>30</v>
      </c>
      <c r="BE3" s="7">
        <v>30</v>
      </c>
      <c r="BF3" s="8">
        <f t="shared" ref="BF3:BF183" si="4">SUM(BB3:BE3)</f>
        <v>100</v>
      </c>
      <c r="BG3" s="7">
        <v>30</v>
      </c>
      <c r="BH3" s="7">
        <v>30</v>
      </c>
      <c r="BI3" s="7">
        <v>20</v>
      </c>
      <c r="BJ3" s="7">
        <v>20</v>
      </c>
      <c r="BK3" s="8">
        <f t="shared" ref="BK3:BK183" si="5">SUM(BG3:BJ3)</f>
        <v>100</v>
      </c>
      <c r="BL3" s="7">
        <v>20</v>
      </c>
      <c r="BM3" s="7">
        <v>20</v>
      </c>
      <c r="BN3" s="7">
        <v>30</v>
      </c>
      <c r="BO3" s="7">
        <v>30</v>
      </c>
      <c r="BP3" s="8">
        <f t="shared" ref="BP3:BP183" si="6">SUM(BL3:BO3)</f>
        <v>100</v>
      </c>
      <c r="BQ3" s="7">
        <v>20</v>
      </c>
      <c r="BR3" s="7">
        <v>20</v>
      </c>
      <c r="BS3" s="7">
        <v>30</v>
      </c>
      <c r="BT3" s="7">
        <v>30</v>
      </c>
      <c r="BU3" s="8">
        <f t="shared" ref="BU3:BU183" si="7">SUM(BQ3:BT3)</f>
        <v>100</v>
      </c>
      <c r="BV3" s="7">
        <v>20</v>
      </c>
      <c r="BW3" s="7">
        <v>20</v>
      </c>
      <c r="BX3" s="7">
        <v>30</v>
      </c>
      <c r="BY3" s="7">
        <v>30</v>
      </c>
      <c r="BZ3" s="8">
        <f t="shared" ref="BZ3:BZ183" si="8">SUM(BV3:BY3)</f>
        <v>100</v>
      </c>
      <c r="CA3" s="7">
        <v>20</v>
      </c>
      <c r="CB3" s="7">
        <v>20</v>
      </c>
      <c r="CC3" s="7">
        <v>30</v>
      </c>
      <c r="CD3" s="7">
        <v>30</v>
      </c>
      <c r="CE3" s="8">
        <f t="shared" ref="CE3:CE183" si="9">SUM(CA3:CD3)</f>
        <v>100</v>
      </c>
      <c r="CF3" s="7">
        <v>20</v>
      </c>
      <c r="CG3" s="7">
        <v>20</v>
      </c>
      <c r="CH3" s="7">
        <v>30</v>
      </c>
      <c r="CI3" s="7">
        <v>30</v>
      </c>
      <c r="CJ3" s="8">
        <f t="shared" ref="CJ3:CJ183" si="10">SUM(CF3:CI3)</f>
        <v>100</v>
      </c>
      <c r="CK3" s="9">
        <v>4.8099999999999996</v>
      </c>
      <c r="CL3" s="10" t="s">
        <v>98</v>
      </c>
      <c r="CM3" s="10"/>
      <c r="CN3" s="10"/>
      <c r="CO3" s="11"/>
      <c r="CP3">
        <f>Form_Responses1[[#This Row],[Column89]]</f>
        <v>4.8099999999999996</v>
      </c>
      <c r="CQ3">
        <f>IF(Form_Responses1[[#This Row],[Column94]]&gt;0,Form_Responses1[[#This Row],[Column94]],Form_Responses1[[#This Row],[Column91]])</f>
        <v>4.8099999999999996</v>
      </c>
      <c r="CR3">
        <v>4.8099999999999996</v>
      </c>
    </row>
    <row r="4" spans="1:96" ht="15">
      <c r="A4" s="12">
        <v>45618.358630150462</v>
      </c>
      <c r="B4" s="13">
        <v>0</v>
      </c>
      <c r="C4" s="13" t="s">
        <v>99</v>
      </c>
      <c r="D4" s="13" t="s">
        <v>93</v>
      </c>
      <c r="E4" s="13" t="s">
        <v>100</v>
      </c>
      <c r="F4" s="13" t="s">
        <v>101</v>
      </c>
      <c r="G4" s="13" t="s">
        <v>96</v>
      </c>
      <c r="H4" s="13" t="s">
        <v>102</v>
      </c>
      <c r="I4" s="13">
        <v>4</v>
      </c>
      <c r="J4" s="13">
        <v>4</v>
      </c>
      <c r="K4" s="13">
        <v>2</v>
      </c>
      <c r="L4" s="13">
        <v>3</v>
      </c>
      <c r="M4" s="13">
        <v>3</v>
      </c>
      <c r="N4" s="13">
        <v>4</v>
      </c>
      <c r="O4" s="13">
        <v>3</v>
      </c>
      <c r="P4" s="13">
        <v>2</v>
      </c>
      <c r="Q4" s="13">
        <v>2</v>
      </c>
      <c r="R4" s="13">
        <v>3</v>
      </c>
      <c r="S4" s="13">
        <v>2</v>
      </c>
      <c r="T4" s="13">
        <v>2</v>
      </c>
      <c r="U4" s="13">
        <v>2</v>
      </c>
      <c r="V4" s="13">
        <v>3</v>
      </c>
      <c r="W4" s="13">
        <v>3</v>
      </c>
      <c r="X4" s="13">
        <v>3</v>
      </c>
      <c r="Y4" s="13">
        <v>2</v>
      </c>
      <c r="Z4" s="13">
        <v>3</v>
      </c>
      <c r="AA4" s="13">
        <v>4</v>
      </c>
      <c r="AB4" s="13">
        <v>3</v>
      </c>
      <c r="AC4" s="13">
        <v>40</v>
      </c>
      <c r="AD4" s="13">
        <v>10</v>
      </c>
      <c r="AE4" s="13">
        <v>20</v>
      </c>
      <c r="AF4" s="13">
        <v>30</v>
      </c>
      <c r="AG4" s="8">
        <f t="shared" ref="AG4:AG133" si="11">SUM(AC4:AF4)</f>
        <v>100</v>
      </c>
      <c r="AH4" s="13">
        <v>40</v>
      </c>
      <c r="AI4" s="13">
        <v>10</v>
      </c>
      <c r="AJ4" s="13">
        <v>30</v>
      </c>
      <c r="AK4" s="13">
        <v>20</v>
      </c>
      <c r="AL4" s="8">
        <f t="shared" si="0"/>
        <v>100</v>
      </c>
      <c r="AM4" s="13">
        <v>30</v>
      </c>
      <c r="AN4" s="13">
        <v>30</v>
      </c>
      <c r="AO4" s="13">
        <v>20</v>
      </c>
      <c r="AP4" s="13">
        <v>20</v>
      </c>
      <c r="AQ4" s="8">
        <f t="shared" si="1"/>
        <v>100</v>
      </c>
      <c r="AR4" s="13">
        <v>30</v>
      </c>
      <c r="AS4" s="13">
        <v>30</v>
      </c>
      <c r="AT4" s="13">
        <v>20</v>
      </c>
      <c r="AU4" s="13">
        <v>20</v>
      </c>
      <c r="AV4" s="8">
        <f t="shared" si="2"/>
        <v>100</v>
      </c>
      <c r="AW4" s="13">
        <v>20</v>
      </c>
      <c r="AX4" s="13">
        <v>20</v>
      </c>
      <c r="AY4" s="13">
        <v>30</v>
      </c>
      <c r="AZ4" s="13">
        <v>30</v>
      </c>
      <c r="BA4" s="8">
        <f t="shared" si="3"/>
        <v>100</v>
      </c>
      <c r="BB4" s="13">
        <v>20</v>
      </c>
      <c r="BC4" s="13">
        <v>20</v>
      </c>
      <c r="BD4" s="13">
        <v>30</v>
      </c>
      <c r="BE4" s="13">
        <v>30</v>
      </c>
      <c r="BF4" s="8">
        <f t="shared" si="4"/>
        <v>100</v>
      </c>
      <c r="BG4" s="13">
        <v>30</v>
      </c>
      <c r="BH4" s="13">
        <v>30</v>
      </c>
      <c r="BI4" s="13">
        <v>20</v>
      </c>
      <c r="BJ4" s="13">
        <v>20</v>
      </c>
      <c r="BK4" s="8">
        <f t="shared" si="5"/>
        <v>100</v>
      </c>
      <c r="BL4" s="13">
        <v>30</v>
      </c>
      <c r="BM4" s="13">
        <v>30</v>
      </c>
      <c r="BN4" s="13">
        <v>20</v>
      </c>
      <c r="BO4" s="13">
        <v>20</v>
      </c>
      <c r="BP4" s="8">
        <f t="shared" si="6"/>
        <v>100</v>
      </c>
      <c r="BQ4" s="13">
        <v>30</v>
      </c>
      <c r="BR4" s="13">
        <v>30</v>
      </c>
      <c r="BS4" s="13">
        <v>20</v>
      </c>
      <c r="BT4" s="13">
        <v>20</v>
      </c>
      <c r="BU4" s="8">
        <f t="shared" si="7"/>
        <v>100</v>
      </c>
      <c r="BV4" s="13">
        <v>30</v>
      </c>
      <c r="BW4" s="13">
        <v>30</v>
      </c>
      <c r="BX4" s="13">
        <v>20</v>
      </c>
      <c r="BY4" s="13">
        <v>20</v>
      </c>
      <c r="BZ4" s="8">
        <f t="shared" si="8"/>
        <v>100</v>
      </c>
      <c r="CA4" s="13">
        <v>30</v>
      </c>
      <c r="CB4" s="13">
        <v>30</v>
      </c>
      <c r="CC4" s="13">
        <v>20</v>
      </c>
      <c r="CD4" s="13">
        <v>20</v>
      </c>
      <c r="CE4" s="8">
        <f t="shared" si="9"/>
        <v>100</v>
      </c>
      <c r="CF4" s="13">
        <v>30</v>
      </c>
      <c r="CG4" s="13">
        <v>30</v>
      </c>
      <c r="CH4" s="13">
        <v>20</v>
      </c>
      <c r="CI4" s="13">
        <v>20</v>
      </c>
      <c r="CJ4" s="8">
        <f t="shared" si="10"/>
        <v>100</v>
      </c>
      <c r="CK4" s="14">
        <v>4.01</v>
      </c>
      <c r="CL4" s="14" t="s">
        <v>98</v>
      </c>
      <c r="CM4" s="14"/>
      <c r="CN4" s="14"/>
      <c r="CO4" s="15"/>
      <c r="CP4">
        <f>Form_Responses1[[#This Row],[Column89]]</f>
        <v>4.01</v>
      </c>
      <c r="CQ4">
        <f>IF(Form_Responses1[[#This Row],[Column94]]&gt;0,Form_Responses1[[#This Row],[Column94]],Form_Responses1[[#This Row],[Column91]])</f>
        <v>4.01</v>
      </c>
      <c r="CR4">
        <v>4.01</v>
      </c>
    </row>
    <row r="5" spans="1:96" ht="15">
      <c r="A5" s="6">
        <v>45618.361421701389</v>
      </c>
      <c r="B5" s="7">
        <v>0</v>
      </c>
      <c r="C5" s="7" t="s">
        <v>103</v>
      </c>
      <c r="D5" s="7" t="s">
        <v>93</v>
      </c>
      <c r="E5" s="7" t="s">
        <v>100</v>
      </c>
      <c r="F5" s="7" t="s">
        <v>101</v>
      </c>
      <c r="G5" s="7" t="s">
        <v>96</v>
      </c>
      <c r="H5" s="7" t="s">
        <v>104</v>
      </c>
      <c r="I5" s="7">
        <v>5</v>
      </c>
      <c r="J5" s="7">
        <v>5</v>
      </c>
      <c r="K5" s="7">
        <v>5</v>
      </c>
      <c r="L5" s="7">
        <v>4</v>
      </c>
      <c r="M5" s="7">
        <v>5</v>
      </c>
      <c r="N5" s="7">
        <v>5</v>
      </c>
      <c r="O5" s="7">
        <v>4</v>
      </c>
      <c r="P5" s="7">
        <v>5</v>
      </c>
      <c r="Q5" s="7">
        <v>5</v>
      </c>
      <c r="R5" s="7">
        <v>5</v>
      </c>
      <c r="S5" s="7">
        <v>5</v>
      </c>
      <c r="T5" s="7">
        <v>5</v>
      </c>
      <c r="U5" s="7">
        <v>5</v>
      </c>
      <c r="V5" s="7">
        <v>5</v>
      </c>
      <c r="W5" s="7">
        <v>5</v>
      </c>
      <c r="X5" s="7">
        <v>5</v>
      </c>
      <c r="Y5" s="7">
        <v>5</v>
      </c>
      <c r="Z5" s="7">
        <v>5</v>
      </c>
      <c r="AA5" s="7">
        <v>5</v>
      </c>
      <c r="AB5" s="7">
        <v>5</v>
      </c>
      <c r="AC5" s="7">
        <v>25</v>
      </c>
      <c r="AD5" s="7">
        <v>25</v>
      </c>
      <c r="AE5" s="7">
        <v>25</v>
      </c>
      <c r="AF5" s="7">
        <v>25</v>
      </c>
      <c r="AG5" s="8">
        <f t="shared" si="11"/>
        <v>100</v>
      </c>
      <c r="AH5" s="7">
        <v>25</v>
      </c>
      <c r="AI5" s="7">
        <v>25</v>
      </c>
      <c r="AJ5" s="7">
        <v>25</v>
      </c>
      <c r="AK5" s="7">
        <v>25</v>
      </c>
      <c r="AL5" s="8">
        <f t="shared" si="0"/>
        <v>100</v>
      </c>
      <c r="AM5" s="7">
        <v>25</v>
      </c>
      <c r="AN5" s="7">
        <v>25</v>
      </c>
      <c r="AO5" s="7">
        <v>25</v>
      </c>
      <c r="AP5" s="7">
        <v>25</v>
      </c>
      <c r="AQ5" s="8">
        <f t="shared" si="1"/>
        <v>100</v>
      </c>
      <c r="AR5" s="7">
        <v>25</v>
      </c>
      <c r="AS5" s="7">
        <v>25</v>
      </c>
      <c r="AT5" s="7">
        <v>25</v>
      </c>
      <c r="AU5" s="7">
        <v>25</v>
      </c>
      <c r="AV5" s="8">
        <f t="shared" si="2"/>
        <v>100</v>
      </c>
      <c r="AW5" s="7">
        <v>25</v>
      </c>
      <c r="AX5" s="7">
        <v>25</v>
      </c>
      <c r="AY5" s="7">
        <v>25</v>
      </c>
      <c r="AZ5" s="7">
        <v>25</v>
      </c>
      <c r="BA5" s="8">
        <f t="shared" si="3"/>
        <v>100</v>
      </c>
      <c r="BB5" s="7">
        <v>25</v>
      </c>
      <c r="BC5" s="7">
        <v>25</v>
      </c>
      <c r="BD5" s="7">
        <v>25</v>
      </c>
      <c r="BE5" s="7">
        <v>25</v>
      </c>
      <c r="BF5" s="8">
        <f t="shared" si="4"/>
        <v>100</v>
      </c>
      <c r="BG5" s="7">
        <v>25</v>
      </c>
      <c r="BH5" s="7">
        <v>25</v>
      </c>
      <c r="BI5" s="7">
        <v>25</v>
      </c>
      <c r="BJ5" s="7">
        <v>25</v>
      </c>
      <c r="BK5" s="8">
        <f t="shared" si="5"/>
        <v>100</v>
      </c>
      <c r="BL5" s="7">
        <v>25</v>
      </c>
      <c r="BM5" s="7">
        <v>25</v>
      </c>
      <c r="BN5" s="7">
        <v>25</v>
      </c>
      <c r="BO5" s="7">
        <v>25</v>
      </c>
      <c r="BP5" s="8">
        <f t="shared" si="6"/>
        <v>100</v>
      </c>
      <c r="BQ5" s="7">
        <v>25</v>
      </c>
      <c r="BR5" s="7">
        <v>25</v>
      </c>
      <c r="BS5" s="7">
        <v>25</v>
      </c>
      <c r="BT5" s="7">
        <v>25</v>
      </c>
      <c r="BU5" s="8">
        <f t="shared" si="7"/>
        <v>100</v>
      </c>
      <c r="BV5" s="7">
        <v>25</v>
      </c>
      <c r="BW5" s="7">
        <v>25</v>
      </c>
      <c r="BX5" s="7">
        <v>25</v>
      </c>
      <c r="BY5" s="7">
        <v>25</v>
      </c>
      <c r="BZ5" s="8">
        <f t="shared" si="8"/>
        <v>100</v>
      </c>
      <c r="CA5" s="7">
        <v>25</v>
      </c>
      <c r="CB5" s="7">
        <v>25</v>
      </c>
      <c r="CC5" s="7">
        <v>25</v>
      </c>
      <c r="CD5" s="7">
        <v>25</v>
      </c>
      <c r="CE5" s="8">
        <f t="shared" si="9"/>
        <v>100</v>
      </c>
      <c r="CF5" s="7">
        <v>25</v>
      </c>
      <c r="CG5" s="7">
        <v>25</v>
      </c>
      <c r="CH5" s="7">
        <v>25</v>
      </c>
      <c r="CI5" s="7">
        <v>25</v>
      </c>
      <c r="CJ5" s="8">
        <f t="shared" si="10"/>
        <v>100</v>
      </c>
      <c r="CK5" s="16">
        <v>4.4800000000000004</v>
      </c>
      <c r="CL5" s="16" t="s">
        <v>98</v>
      </c>
      <c r="CM5" s="16"/>
      <c r="CN5" s="16"/>
      <c r="CO5" s="17"/>
      <c r="CP5">
        <f>Form_Responses1[[#This Row],[Column89]]</f>
        <v>4.4800000000000004</v>
      </c>
      <c r="CQ5">
        <f>IF(Form_Responses1[[#This Row],[Column94]]&gt;0,Form_Responses1[[#This Row],[Column94]],Form_Responses1[[#This Row],[Column91]])</f>
        <v>4.4800000000000004</v>
      </c>
      <c r="CR5">
        <v>4.4800000000000004</v>
      </c>
    </row>
    <row r="6" spans="1:96" ht="15">
      <c r="A6" s="12">
        <v>45618.36255524306</v>
      </c>
      <c r="B6" s="13">
        <v>0</v>
      </c>
      <c r="C6" s="13" t="s">
        <v>105</v>
      </c>
      <c r="D6" s="13" t="s">
        <v>93</v>
      </c>
      <c r="E6" s="13" t="s">
        <v>100</v>
      </c>
      <c r="F6" s="13" t="s">
        <v>101</v>
      </c>
      <c r="G6" s="13" t="s">
        <v>96</v>
      </c>
      <c r="H6" s="13" t="s">
        <v>102</v>
      </c>
      <c r="I6" s="13">
        <v>3</v>
      </c>
      <c r="J6" s="13">
        <v>4</v>
      </c>
      <c r="K6" s="13">
        <v>3</v>
      </c>
      <c r="L6" s="13">
        <v>4</v>
      </c>
      <c r="M6" s="13">
        <v>4</v>
      </c>
      <c r="N6" s="13">
        <v>4</v>
      </c>
      <c r="O6" s="13">
        <v>4</v>
      </c>
      <c r="P6" s="13">
        <v>4</v>
      </c>
      <c r="Q6" s="13">
        <v>4</v>
      </c>
      <c r="R6" s="13">
        <v>4</v>
      </c>
      <c r="S6" s="13">
        <v>4</v>
      </c>
      <c r="T6" s="13">
        <v>4</v>
      </c>
      <c r="U6" s="13">
        <v>4</v>
      </c>
      <c r="V6" s="13">
        <v>4</v>
      </c>
      <c r="W6" s="13">
        <v>4</v>
      </c>
      <c r="X6" s="13">
        <v>3</v>
      </c>
      <c r="Y6" s="13">
        <v>4</v>
      </c>
      <c r="Z6" s="13">
        <v>3</v>
      </c>
      <c r="AA6" s="13">
        <v>3</v>
      </c>
      <c r="AB6" s="13">
        <v>3</v>
      </c>
      <c r="AC6" s="13">
        <v>30</v>
      </c>
      <c r="AD6" s="13">
        <v>30</v>
      </c>
      <c r="AE6" s="13">
        <v>20</v>
      </c>
      <c r="AF6" s="13">
        <v>20</v>
      </c>
      <c r="AG6" s="8">
        <f t="shared" si="11"/>
        <v>100</v>
      </c>
      <c r="AH6" s="13">
        <v>20</v>
      </c>
      <c r="AI6" s="13">
        <v>20</v>
      </c>
      <c r="AJ6" s="13">
        <v>30</v>
      </c>
      <c r="AK6" s="13">
        <v>30</v>
      </c>
      <c r="AL6" s="8">
        <f t="shared" si="0"/>
        <v>100</v>
      </c>
      <c r="AM6" s="13">
        <v>10</v>
      </c>
      <c r="AN6" s="13">
        <v>40</v>
      </c>
      <c r="AO6" s="13">
        <v>25</v>
      </c>
      <c r="AP6" s="13">
        <v>25</v>
      </c>
      <c r="AQ6" s="8">
        <f t="shared" si="1"/>
        <v>100</v>
      </c>
      <c r="AR6" s="13">
        <v>20</v>
      </c>
      <c r="AS6" s="13">
        <v>30</v>
      </c>
      <c r="AT6" s="13">
        <v>20</v>
      </c>
      <c r="AU6" s="13">
        <v>30</v>
      </c>
      <c r="AV6" s="8">
        <f t="shared" si="2"/>
        <v>100</v>
      </c>
      <c r="AW6" s="13">
        <v>20</v>
      </c>
      <c r="AX6" s="13">
        <v>30</v>
      </c>
      <c r="AY6" s="13">
        <v>30</v>
      </c>
      <c r="AZ6" s="13">
        <v>20</v>
      </c>
      <c r="BA6" s="8">
        <f t="shared" si="3"/>
        <v>100</v>
      </c>
      <c r="BB6" s="13">
        <v>20</v>
      </c>
      <c r="BC6" s="13">
        <v>30</v>
      </c>
      <c r="BD6" s="13">
        <v>30</v>
      </c>
      <c r="BE6" s="13">
        <v>20</v>
      </c>
      <c r="BF6" s="8">
        <f t="shared" si="4"/>
        <v>100</v>
      </c>
      <c r="BG6" s="13">
        <v>30</v>
      </c>
      <c r="BH6" s="13">
        <v>30</v>
      </c>
      <c r="BI6" s="13">
        <v>20</v>
      </c>
      <c r="BJ6" s="13">
        <v>20</v>
      </c>
      <c r="BK6" s="8">
        <f t="shared" si="5"/>
        <v>100</v>
      </c>
      <c r="BL6" s="13">
        <v>30</v>
      </c>
      <c r="BM6" s="13">
        <v>20</v>
      </c>
      <c r="BN6" s="13">
        <v>30</v>
      </c>
      <c r="BO6" s="13">
        <v>20</v>
      </c>
      <c r="BP6" s="8">
        <f t="shared" si="6"/>
        <v>100</v>
      </c>
      <c r="BQ6" s="13">
        <v>20</v>
      </c>
      <c r="BR6" s="13">
        <v>30</v>
      </c>
      <c r="BS6" s="13">
        <v>20</v>
      </c>
      <c r="BT6" s="13">
        <v>30</v>
      </c>
      <c r="BU6" s="8">
        <f t="shared" si="7"/>
        <v>100</v>
      </c>
      <c r="BV6" s="13">
        <v>30</v>
      </c>
      <c r="BW6" s="13">
        <v>30</v>
      </c>
      <c r="BX6" s="13">
        <v>20</v>
      </c>
      <c r="BY6" s="13">
        <v>20</v>
      </c>
      <c r="BZ6" s="8">
        <f t="shared" si="8"/>
        <v>100</v>
      </c>
      <c r="CA6" s="13">
        <v>30</v>
      </c>
      <c r="CB6" s="13">
        <v>20</v>
      </c>
      <c r="CC6" s="13">
        <v>30</v>
      </c>
      <c r="CD6" s="13">
        <v>20</v>
      </c>
      <c r="CE6" s="8">
        <f t="shared" si="9"/>
        <v>100</v>
      </c>
      <c r="CF6" s="13">
        <v>30</v>
      </c>
      <c r="CG6" s="13">
        <v>20</v>
      </c>
      <c r="CH6" s="13">
        <v>30</v>
      </c>
      <c r="CI6" s="13">
        <v>20</v>
      </c>
      <c r="CJ6" s="8">
        <f t="shared" si="10"/>
        <v>100</v>
      </c>
      <c r="CK6" s="14">
        <v>4.37</v>
      </c>
      <c r="CL6" s="14" t="s">
        <v>98</v>
      </c>
      <c r="CM6" s="14"/>
      <c r="CN6" s="14"/>
      <c r="CO6" s="15"/>
      <c r="CP6">
        <f>Form_Responses1[[#This Row],[Column89]]</f>
        <v>4.37</v>
      </c>
      <c r="CQ6">
        <f>IF(Form_Responses1[[#This Row],[Column94]]&gt;0,Form_Responses1[[#This Row],[Column94]],Form_Responses1[[#This Row],[Column91]])</f>
        <v>4.37</v>
      </c>
      <c r="CR6">
        <v>4.37</v>
      </c>
    </row>
    <row r="7" spans="1:96" ht="15">
      <c r="A7" s="6">
        <v>45618.363842430554</v>
      </c>
      <c r="B7" s="7">
        <v>0</v>
      </c>
      <c r="C7" s="7" t="s">
        <v>106</v>
      </c>
      <c r="D7" s="7" t="s">
        <v>107</v>
      </c>
      <c r="E7" s="7" t="s">
        <v>108</v>
      </c>
      <c r="F7" s="7" t="s">
        <v>101</v>
      </c>
      <c r="G7" s="7" t="s">
        <v>109</v>
      </c>
      <c r="H7" s="7" t="s">
        <v>102</v>
      </c>
      <c r="I7" s="7">
        <v>4</v>
      </c>
      <c r="J7" s="7">
        <v>4</v>
      </c>
      <c r="K7" s="7">
        <v>4</v>
      </c>
      <c r="L7" s="7">
        <v>4</v>
      </c>
      <c r="M7" s="7">
        <v>4</v>
      </c>
      <c r="N7" s="7">
        <v>4</v>
      </c>
      <c r="O7" s="7">
        <v>4</v>
      </c>
      <c r="P7" s="7">
        <v>4</v>
      </c>
      <c r="Q7" s="7">
        <v>4</v>
      </c>
      <c r="R7" s="7">
        <v>4</v>
      </c>
      <c r="S7" s="7">
        <v>4</v>
      </c>
      <c r="T7" s="7">
        <v>3</v>
      </c>
      <c r="U7" s="7">
        <v>4</v>
      </c>
      <c r="V7" s="7">
        <v>3</v>
      </c>
      <c r="W7" s="7">
        <v>4</v>
      </c>
      <c r="X7" s="7">
        <v>4</v>
      </c>
      <c r="Y7" s="7">
        <v>4</v>
      </c>
      <c r="Z7" s="7">
        <v>4</v>
      </c>
      <c r="AA7" s="7">
        <v>4</v>
      </c>
      <c r="AB7" s="7">
        <v>4</v>
      </c>
      <c r="AC7" s="7">
        <v>50</v>
      </c>
      <c r="AD7" s="7">
        <v>20</v>
      </c>
      <c r="AE7" s="7">
        <v>10</v>
      </c>
      <c r="AF7" s="7">
        <v>20</v>
      </c>
      <c r="AG7" s="8">
        <f t="shared" si="11"/>
        <v>100</v>
      </c>
      <c r="AH7" s="7">
        <v>10</v>
      </c>
      <c r="AI7" s="7">
        <v>30</v>
      </c>
      <c r="AJ7" s="7">
        <v>30</v>
      </c>
      <c r="AK7" s="7">
        <v>30</v>
      </c>
      <c r="AL7" s="8">
        <f t="shared" si="0"/>
        <v>100</v>
      </c>
      <c r="AM7" s="7">
        <v>40</v>
      </c>
      <c r="AN7" s="7">
        <v>20</v>
      </c>
      <c r="AO7" s="7">
        <v>20</v>
      </c>
      <c r="AP7" s="7">
        <v>20</v>
      </c>
      <c r="AQ7" s="8">
        <f t="shared" si="1"/>
        <v>100</v>
      </c>
      <c r="AR7" s="7">
        <v>30</v>
      </c>
      <c r="AS7" s="7">
        <v>30</v>
      </c>
      <c r="AT7" s="7">
        <v>20</v>
      </c>
      <c r="AU7" s="7">
        <v>20</v>
      </c>
      <c r="AV7" s="8">
        <f t="shared" si="2"/>
        <v>100</v>
      </c>
      <c r="AW7" s="7">
        <v>15</v>
      </c>
      <c r="AX7" s="7">
        <v>15</v>
      </c>
      <c r="AY7" s="7">
        <v>25</v>
      </c>
      <c r="AZ7" s="7">
        <v>45</v>
      </c>
      <c r="BA7" s="8">
        <f t="shared" si="3"/>
        <v>100</v>
      </c>
      <c r="BB7" s="7">
        <v>20</v>
      </c>
      <c r="BC7" s="7">
        <v>20</v>
      </c>
      <c r="BD7" s="7">
        <v>20</v>
      </c>
      <c r="BE7" s="7">
        <v>40</v>
      </c>
      <c r="BF7" s="8">
        <f t="shared" si="4"/>
        <v>100</v>
      </c>
      <c r="BG7" s="7">
        <v>20</v>
      </c>
      <c r="BH7" s="7">
        <v>20</v>
      </c>
      <c r="BI7" s="7">
        <v>20</v>
      </c>
      <c r="BJ7" s="7">
        <v>40</v>
      </c>
      <c r="BK7" s="8">
        <f t="shared" si="5"/>
        <v>100</v>
      </c>
      <c r="BL7" s="7">
        <v>20</v>
      </c>
      <c r="BM7" s="7">
        <v>20</v>
      </c>
      <c r="BN7" s="7">
        <v>20</v>
      </c>
      <c r="BO7" s="7">
        <v>40</v>
      </c>
      <c r="BP7" s="8">
        <f t="shared" si="6"/>
        <v>100</v>
      </c>
      <c r="BQ7" s="7">
        <v>40</v>
      </c>
      <c r="BR7" s="7">
        <v>20</v>
      </c>
      <c r="BS7" s="7">
        <v>20</v>
      </c>
      <c r="BT7" s="7">
        <v>20</v>
      </c>
      <c r="BU7" s="8">
        <f t="shared" si="7"/>
        <v>100</v>
      </c>
      <c r="BV7" s="7">
        <v>40</v>
      </c>
      <c r="BW7" s="7">
        <v>20</v>
      </c>
      <c r="BX7" s="7">
        <v>20</v>
      </c>
      <c r="BY7" s="7">
        <v>20</v>
      </c>
      <c r="BZ7" s="8">
        <f t="shared" si="8"/>
        <v>100</v>
      </c>
      <c r="CA7" s="7">
        <v>40</v>
      </c>
      <c r="CB7" s="7">
        <v>20</v>
      </c>
      <c r="CC7" s="7">
        <v>20</v>
      </c>
      <c r="CD7" s="7">
        <v>20</v>
      </c>
      <c r="CE7" s="8">
        <f t="shared" si="9"/>
        <v>100</v>
      </c>
      <c r="CF7" s="7">
        <v>40</v>
      </c>
      <c r="CG7" s="7">
        <v>20</v>
      </c>
      <c r="CH7" s="7">
        <v>20</v>
      </c>
      <c r="CI7" s="7">
        <v>20</v>
      </c>
      <c r="CJ7" s="8">
        <f t="shared" si="10"/>
        <v>100</v>
      </c>
      <c r="CK7" s="16">
        <v>4.3499999999999996</v>
      </c>
      <c r="CL7" s="10" t="s">
        <v>98</v>
      </c>
      <c r="CM7" s="10"/>
      <c r="CN7" s="10"/>
      <c r="CO7" s="11"/>
      <c r="CP7">
        <f>Form_Responses1[[#This Row],[Column89]]</f>
        <v>4.3499999999999996</v>
      </c>
      <c r="CQ7">
        <f>IF(Form_Responses1[[#This Row],[Column94]]&gt;0,Form_Responses1[[#This Row],[Column94]],Form_Responses1[[#This Row],[Column91]])</f>
        <v>4.3499999999999996</v>
      </c>
      <c r="CR7">
        <v>4.3499999999999996</v>
      </c>
    </row>
    <row r="8" spans="1:96" ht="15">
      <c r="A8" s="12">
        <v>45618.37081695602</v>
      </c>
      <c r="B8" s="13" t="s">
        <v>110</v>
      </c>
      <c r="C8" s="13" t="s">
        <v>111</v>
      </c>
      <c r="D8" s="13" t="s">
        <v>107</v>
      </c>
      <c r="E8" s="13" t="s">
        <v>112</v>
      </c>
      <c r="F8" s="13" t="s">
        <v>101</v>
      </c>
      <c r="G8" s="13" t="s">
        <v>113</v>
      </c>
      <c r="H8" s="13" t="s">
        <v>102</v>
      </c>
      <c r="I8" s="13">
        <v>5</v>
      </c>
      <c r="J8" s="13">
        <v>5</v>
      </c>
      <c r="K8" s="13">
        <v>4</v>
      </c>
      <c r="L8" s="13">
        <v>4</v>
      </c>
      <c r="M8" s="13">
        <v>5</v>
      </c>
      <c r="N8" s="13">
        <v>5</v>
      </c>
      <c r="O8" s="13">
        <v>5</v>
      </c>
      <c r="P8" s="13">
        <v>4</v>
      </c>
      <c r="Q8" s="13">
        <v>4</v>
      </c>
      <c r="R8" s="13">
        <v>5</v>
      </c>
      <c r="S8" s="13">
        <v>5</v>
      </c>
      <c r="T8" s="13">
        <v>4</v>
      </c>
      <c r="U8" s="13">
        <v>5</v>
      </c>
      <c r="V8" s="13">
        <v>5</v>
      </c>
      <c r="W8" s="13">
        <v>5</v>
      </c>
      <c r="X8" s="13">
        <v>4</v>
      </c>
      <c r="Y8" s="13">
        <v>5</v>
      </c>
      <c r="Z8" s="13">
        <v>5</v>
      </c>
      <c r="AA8" s="13">
        <v>5</v>
      </c>
      <c r="AB8" s="13">
        <v>5</v>
      </c>
      <c r="AC8" s="13">
        <v>40</v>
      </c>
      <c r="AD8" s="13">
        <v>20</v>
      </c>
      <c r="AE8" s="13">
        <v>20</v>
      </c>
      <c r="AF8" s="13">
        <v>20</v>
      </c>
      <c r="AG8" s="8">
        <f t="shared" si="11"/>
        <v>100</v>
      </c>
      <c r="AH8" s="13">
        <v>40</v>
      </c>
      <c r="AI8" s="13">
        <v>20</v>
      </c>
      <c r="AJ8" s="13">
        <v>20</v>
      </c>
      <c r="AK8" s="13">
        <v>20</v>
      </c>
      <c r="AL8" s="8">
        <f t="shared" si="0"/>
        <v>100</v>
      </c>
      <c r="AM8" s="13">
        <v>30</v>
      </c>
      <c r="AN8" s="13">
        <v>30</v>
      </c>
      <c r="AO8" s="13">
        <v>20</v>
      </c>
      <c r="AP8" s="13">
        <v>20</v>
      </c>
      <c r="AQ8" s="8">
        <f t="shared" si="1"/>
        <v>100</v>
      </c>
      <c r="AR8" s="13">
        <v>20</v>
      </c>
      <c r="AS8" s="13">
        <v>30</v>
      </c>
      <c r="AT8" s="13">
        <v>20</v>
      </c>
      <c r="AU8" s="13">
        <v>30</v>
      </c>
      <c r="AV8" s="8">
        <f t="shared" si="2"/>
        <v>100</v>
      </c>
      <c r="AW8" s="13">
        <v>30</v>
      </c>
      <c r="AX8" s="13">
        <v>30</v>
      </c>
      <c r="AY8" s="13">
        <v>20</v>
      </c>
      <c r="AZ8" s="13">
        <v>20</v>
      </c>
      <c r="BA8" s="8">
        <f t="shared" si="3"/>
        <v>100</v>
      </c>
      <c r="BB8" s="13">
        <v>30</v>
      </c>
      <c r="BC8" s="13">
        <v>20</v>
      </c>
      <c r="BD8" s="13">
        <v>30</v>
      </c>
      <c r="BE8" s="13">
        <v>20</v>
      </c>
      <c r="BF8" s="8">
        <f t="shared" si="4"/>
        <v>100</v>
      </c>
      <c r="BG8" s="13">
        <v>30</v>
      </c>
      <c r="BH8" s="13">
        <v>30</v>
      </c>
      <c r="BI8" s="13">
        <v>20</v>
      </c>
      <c r="BJ8" s="13">
        <v>20</v>
      </c>
      <c r="BK8" s="8">
        <f t="shared" si="5"/>
        <v>100</v>
      </c>
      <c r="BL8" s="13">
        <v>30</v>
      </c>
      <c r="BM8" s="13">
        <v>20</v>
      </c>
      <c r="BN8" s="13">
        <v>30</v>
      </c>
      <c r="BO8" s="13">
        <v>20</v>
      </c>
      <c r="BP8" s="8">
        <f t="shared" si="6"/>
        <v>100</v>
      </c>
      <c r="BQ8" s="13">
        <v>30</v>
      </c>
      <c r="BR8" s="13">
        <v>20</v>
      </c>
      <c r="BS8" s="13">
        <v>20</v>
      </c>
      <c r="BT8" s="13">
        <v>30</v>
      </c>
      <c r="BU8" s="8">
        <f t="shared" si="7"/>
        <v>100</v>
      </c>
      <c r="BV8" s="13">
        <v>30</v>
      </c>
      <c r="BW8" s="13">
        <v>20</v>
      </c>
      <c r="BX8" s="13">
        <v>30</v>
      </c>
      <c r="BY8" s="13">
        <v>20</v>
      </c>
      <c r="BZ8" s="8">
        <f t="shared" si="8"/>
        <v>100</v>
      </c>
      <c r="CA8" s="13">
        <v>30</v>
      </c>
      <c r="CB8" s="13">
        <v>30</v>
      </c>
      <c r="CC8" s="13">
        <v>20</v>
      </c>
      <c r="CD8" s="13">
        <v>20</v>
      </c>
      <c r="CE8" s="8">
        <f t="shared" si="9"/>
        <v>100</v>
      </c>
      <c r="CF8" s="13">
        <v>20</v>
      </c>
      <c r="CG8" s="13">
        <v>30</v>
      </c>
      <c r="CH8" s="13">
        <v>30</v>
      </c>
      <c r="CI8" s="13">
        <v>20</v>
      </c>
      <c r="CJ8" s="8">
        <f t="shared" si="10"/>
        <v>100</v>
      </c>
      <c r="CK8" s="18">
        <v>4.29</v>
      </c>
      <c r="CL8" s="19" t="s">
        <v>98</v>
      </c>
      <c r="CM8" s="18">
        <v>4.54</v>
      </c>
      <c r="CN8" s="19" t="s">
        <v>98</v>
      </c>
      <c r="CO8" s="20"/>
      <c r="CP8">
        <f>Form_Responses1[[#This Row],[Column89]]</f>
        <v>4.29</v>
      </c>
      <c r="CQ8">
        <f>IF(Form_Responses1[[#This Row],[Column94]]&gt;0,Form_Responses1[[#This Row],[Column94]],Form_Responses1[[#This Row],[Column91]])</f>
        <v>4.29</v>
      </c>
      <c r="CR8">
        <v>4.29</v>
      </c>
    </row>
    <row r="9" spans="1:96" ht="15">
      <c r="A9" s="6">
        <v>45618.372076203705</v>
      </c>
      <c r="B9" s="7">
        <v>0</v>
      </c>
      <c r="C9" s="7" t="s">
        <v>114</v>
      </c>
      <c r="D9" s="7" t="s">
        <v>93</v>
      </c>
      <c r="E9" s="7" t="s">
        <v>112</v>
      </c>
      <c r="F9" s="7" t="s">
        <v>95</v>
      </c>
      <c r="G9" s="7" t="s">
        <v>113</v>
      </c>
      <c r="H9" s="7" t="s">
        <v>102</v>
      </c>
      <c r="I9" s="7">
        <v>4</v>
      </c>
      <c r="J9" s="7">
        <v>4</v>
      </c>
      <c r="K9" s="7">
        <v>4</v>
      </c>
      <c r="L9" s="7">
        <v>4</v>
      </c>
      <c r="M9" s="7">
        <v>5</v>
      </c>
      <c r="N9" s="7">
        <v>5</v>
      </c>
      <c r="O9" s="7">
        <v>4</v>
      </c>
      <c r="P9" s="7">
        <v>4</v>
      </c>
      <c r="Q9" s="7">
        <v>4</v>
      </c>
      <c r="R9" s="7">
        <v>4</v>
      </c>
      <c r="S9" s="7">
        <v>5</v>
      </c>
      <c r="T9" s="7">
        <v>4</v>
      </c>
      <c r="U9" s="7">
        <v>5</v>
      </c>
      <c r="V9" s="7">
        <v>4</v>
      </c>
      <c r="W9" s="7">
        <v>5</v>
      </c>
      <c r="X9" s="7">
        <v>5</v>
      </c>
      <c r="Y9" s="7">
        <v>5</v>
      </c>
      <c r="Z9" s="7">
        <v>4</v>
      </c>
      <c r="AA9" s="7">
        <v>5</v>
      </c>
      <c r="AB9" s="7">
        <v>4</v>
      </c>
      <c r="AC9" s="7">
        <v>20</v>
      </c>
      <c r="AD9" s="7">
        <v>20</v>
      </c>
      <c r="AE9" s="7">
        <v>20</v>
      </c>
      <c r="AF9" s="7">
        <v>40</v>
      </c>
      <c r="AG9" s="8">
        <f t="shared" si="11"/>
        <v>100</v>
      </c>
      <c r="AH9" s="7">
        <v>25</v>
      </c>
      <c r="AI9" s="7">
        <v>25</v>
      </c>
      <c r="AJ9" s="7">
        <v>25</v>
      </c>
      <c r="AK9" s="7">
        <v>25</v>
      </c>
      <c r="AL9" s="8">
        <f t="shared" si="0"/>
        <v>100</v>
      </c>
      <c r="AM9" s="7">
        <v>25</v>
      </c>
      <c r="AN9" s="7">
        <v>25</v>
      </c>
      <c r="AO9" s="7">
        <v>25</v>
      </c>
      <c r="AP9" s="7">
        <v>25</v>
      </c>
      <c r="AQ9" s="8">
        <f t="shared" si="1"/>
        <v>100</v>
      </c>
      <c r="AR9" s="7">
        <v>25</v>
      </c>
      <c r="AS9" s="7">
        <v>25</v>
      </c>
      <c r="AT9" s="7">
        <v>25</v>
      </c>
      <c r="AU9" s="7">
        <v>25</v>
      </c>
      <c r="AV9" s="8">
        <f t="shared" si="2"/>
        <v>100</v>
      </c>
      <c r="AW9" s="7">
        <v>25</v>
      </c>
      <c r="AX9" s="7">
        <v>25</v>
      </c>
      <c r="AY9" s="7">
        <v>25</v>
      </c>
      <c r="AZ9" s="7">
        <v>25</v>
      </c>
      <c r="BA9" s="8">
        <f t="shared" si="3"/>
        <v>100</v>
      </c>
      <c r="BB9" s="7">
        <v>25</v>
      </c>
      <c r="BC9" s="7">
        <v>25</v>
      </c>
      <c r="BD9" s="7">
        <v>25</v>
      </c>
      <c r="BE9" s="7">
        <v>25</v>
      </c>
      <c r="BF9" s="8">
        <f t="shared" si="4"/>
        <v>100</v>
      </c>
      <c r="BG9" s="7">
        <v>25</v>
      </c>
      <c r="BH9" s="7">
        <v>25</v>
      </c>
      <c r="BI9" s="7">
        <v>25</v>
      </c>
      <c r="BJ9" s="7">
        <v>25</v>
      </c>
      <c r="BK9" s="8">
        <f t="shared" si="5"/>
        <v>100</v>
      </c>
      <c r="BL9" s="7">
        <v>25</v>
      </c>
      <c r="BM9" s="7">
        <v>25</v>
      </c>
      <c r="BN9" s="7">
        <v>25</v>
      </c>
      <c r="BO9" s="7">
        <v>25</v>
      </c>
      <c r="BP9" s="8">
        <f t="shared" si="6"/>
        <v>100</v>
      </c>
      <c r="BQ9" s="7">
        <v>25</v>
      </c>
      <c r="BR9" s="7">
        <v>25</v>
      </c>
      <c r="BS9" s="7">
        <v>25</v>
      </c>
      <c r="BT9" s="7">
        <v>25</v>
      </c>
      <c r="BU9" s="8">
        <f t="shared" si="7"/>
        <v>100</v>
      </c>
      <c r="BV9" s="7">
        <v>25</v>
      </c>
      <c r="BW9" s="7">
        <v>25</v>
      </c>
      <c r="BX9" s="7">
        <v>25</v>
      </c>
      <c r="BY9" s="7">
        <v>25</v>
      </c>
      <c r="BZ9" s="8">
        <f t="shared" si="8"/>
        <v>100</v>
      </c>
      <c r="CA9" s="7">
        <v>25</v>
      </c>
      <c r="CB9" s="7">
        <v>25</v>
      </c>
      <c r="CC9" s="7">
        <v>25</v>
      </c>
      <c r="CD9" s="7">
        <v>25</v>
      </c>
      <c r="CE9" s="8">
        <f t="shared" si="9"/>
        <v>100</v>
      </c>
      <c r="CF9" s="7">
        <v>25</v>
      </c>
      <c r="CG9" s="7">
        <v>25</v>
      </c>
      <c r="CH9" s="7">
        <v>25</v>
      </c>
      <c r="CI9" s="7">
        <v>25</v>
      </c>
      <c r="CJ9" s="8">
        <f t="shared" si="10"/>
        <v>100</v>
      </c>
      <c r="CK9" s="21"/>
      <c r="CL9" s="21"/>
      <c r="CM9" s="9">
        <v>4.07</v>
      </c>
      <c r="CN9" s="21" t="s">
        <v>98</v>
      </c>
      <c r="CO9" s="22"/>
      <c r="CP9">
        <f>Form_Responses1[[#This Row],[Column89]]</f>
        <v>0</v>
      </c>
      <c r="CQ9">
        <f>IF(Form_Responses1[[#This Row],[Column94]]&gt;0,Form_Responses1[[#This Row],[Column94]],Form_Responses1[[#This Row],[Column91]])</f>
        <v>4.07</v>
      </c>
      <c r="CR9">
        <v>4.07</v>
      </c>
    </row>
    <row r="10" spans="1:96" ht="15">
      <c r="A10" s="12">
        <v>45618.374663599534</v>
      </c>
      <c r="B10" s="13">
        <v>0</v>
      </c>
      <c r="C10" s="13" t="s">
        <v>115</v>
      </c>
      <c r="D10" s="13" t="s">
        <v>93</v>
      </c>
      <c r="E10" s="13" t="s">
        <v>112</v>
      </c>
      <c r="F10" s="13" t="s">
        <v>95</v>
      </c>
      <c r="G10" s="13" t="s">
        <v>109</v>
      </c>
      <c r="H10" s="13" t="s">
        <v>102</v>
      </c>
      <c r="I10" s="13">
        <v>2</v>
      </c>
      <c r="J10" s="13">
        <v>4</v>
      </c>
      <c r="K10" s="13">
        <v>3</v>
      </c>
      <c r="L10" s="13">
        <v>2</v>
      </c>
      <c r="M10" s="13">
        <v>3</v>
      </c>
      <c r="N10" s="13">
        <v>4</v>
      </c>
      <c r="O10" s="13">
        <v>3</v>
      </c>
      <c r="P10" s="13">
        <v>4</v>
      </c>
      <c r="Q10" s="13">
        <v>4</v>
      </c>
      <c r="R10" s="13">
        <v>4</v>
      </c>
      <c r="S10" s="13">
        <v>3</v>
      </c>
      <c r="T10" s="13">
        <v>3</v>
      </c>
      <c r="U10" s="13">
        <v>2</v>
      </c>
      <c r="V10" s="13">
        <v>3</v>
      </c>
      <c r="W10" s="13">
        <v>3</v>
      </c>
      <c r="X10" s="13">
        <v>3</v>
      </c>
      <c r="Y10" s="13">
        <v>3</v>
      </c>
      <c r="Z10" s="13">
        <v>3</v>
      </c>
      <c r="AA10" s="13">
        <v>3</v>
      </c>
      <c r="AB10" s="13">
        <v>2</v>
      </c>
      <c r="AC10" s="13">
        <v>25</v>
      </c>
      <c r="AD10" s="13">
        <v>25</v>
      </c>
      <c r="AE10" s="13">
        <v>25</v>
      </c>
      <c r="AF10" s="13">
        <v>25</v>
      </c>
      <c r="AG10" s="8">
        <f t="shared" si="11"/>
        <v>100</v>
      </c>
      <c r="AH10" s="13">
        <v>25</v>
      </c>
      <c r="AI10" s="13">
        <v>25</v>
      </c>
      <c r="AJ10" s="13">
        <v>25</v>
      </c>
      <c r="AK10" s="13">
        <v>25</v>
      </c>
      <c r="AL10" s="8">
        <f t="shared" si="0"/>
        <v>100</v>
      </c>
      <c r="AM10" s="13">
        <v>25</v>
      </c>
      <c r="AN10" s="13">
        <v>25</v>
      </c>
      <c r="AO10" s="13">
        <v>25</v>
      </c>
      <c r="AP10" s="13">
        <v>25</v>
      </c>
      <c r="AQ10" s="8">
        <f t="shared" si="1"/>
        <v>100</v>
      </c>
      <c r="AR10" s="13">
        <v>25</v>
      </c>
      <c r="AS10" s="13">
        <v>25</v>
      </c>
      <c r="AT10" s="13">
        <v>25</v>
      </c>
      <c r="AU10" s="13">
        <v>25</v>
      </c>
      <c r="AV10" s="8">
        <f t="shared" si="2"/>
        <v>100</v>
      </c>
      <c r="AW10" s="13">
        <v>25</v>
      </c>
      <c r="AX10" s="13">
        <v>25</v>
      </c>
      <c r="AY10" s="13">
        <v>25</v>
      </c>
      <c r="AZ10" s="13">
        <v>25</v>
      </c>
      <c r="BA10" s="8">
        <f t="shared" si="3"/>
        <v>100</v>
      </c>
      <c r="BB10" s="13">
        <v>25</v>
      </c>
      <c r="BC10" s="13">
        <v>25</v>
      </c>
      <c r="BD10" s="13">
        <v>25</v>
      </c>
      <c r="BE10" s="13">
        <v>25</v>
      </c>
      <c r="BF10" s="8">
        <f t="shared" si="4"/>
        <v>100</v>
      </c>
      <c r="BG10" s="13">
        <v>25</v>
      </c>
      <c r="BH10" s="13">
        <v>25</v>
      </c>
      <c r="BI10" s="13">
        <v>25</v>
      </c>
      <c r="BJ10" s="13">
        <v>25</v>
      </c>
      <c r="BK10" s="8">
        <f t="shared" si="5"/>
        <v>100</v>
      </c>
      <c r="BL10" s="13">
        <v>25</v>
      </c>
      <c r="BM10" s="13">
        <v>25</v>
      </c>
      <c r="BN10" s="13">
        <v>25</v>
      </c>
      <c r="BO10" s="13">
        <v>25</v>
      </c>
      <c r="BP10" s="8">
        <f t="shared" si="6"/>
        <v>100</v>
      </c>
      <c r="BQ10" s="13">
        <v>25</v>
      </c>
      <c r="BR10" s="13">
        <v>25</v>
      </c>
      <c r="BS10" s="13">
        <v>25</v>
      </c>
      <c r="BT10" s="13">
        <v>25</v>
      </c>
      <c r="BU10" s="8">
        <f t="shared" si="7"/>
        <v>100</v>
      </c>
      <c r="BV10" s="13">
        <v>25</v>
      </c>
      <c r="BW10" s="13">
        <v>25</v>
      </c>
      <c r="BX10" s="13">
        <v>25</v>
      </c>
      <c r="BY10" s="13">
        <v>25</v>
      </c>
      <c r="BZ10" s="8">
        <f t="shared" si="8"/>
        <v>100</v>
      </c>
      <c r="CA10" s="13">
        <v>25</v>
      </c>
      <c r="CB10" s="13">
        <v>25</v>
      </c>
      <c r="CC10" s="13">
        <v>25</v>
      </c>
      <c r="CD10" s="13">
        <v>25</v>
      </c>
      <c r="CE10" s="8">
        <f t="shared" si="9"/>
        <v>100</v>
      </c>
      <c r="CF10" s="13">
        <v>25</v>
      </c>
      <c r="CG10" s="13">
        <v>25</v>
      </c>
      <c r="CH10" s="13">
        <v>25</v>
      </c>
      <c r="CI10" s="13">
        <v>25</v>
      </c>
      <c r="CJ10" s="8">
        <f t="shared" si="10"/>
        <v>100</v>
      </c>
      <c r="CK10" s="14">
        <v>4.03</v>
      </c>
      <c r="CL10" s="14" t="s">
        <v>98</v>
      </c>
      <c r="CM10" s="23"/>
      <c r="CN10" s="23"/>
      <c r="CO10" s="24"/>
      <c r="CP10">
        <f>Form_Responses1[[#This Row],[Column89]]</f>
        <v>4.03</v>
      </c>
      <c r="CQ10">
        <f>IF(Form_Responses1[[#This Row],[Column94]]&gt;0,Form_Responses1[[#This Row],[Column94]],Form_Responses1[[#This Row],[Column91]])</f>
        <v>4.03</v>
      </c>
      <c r="CR10">
        <v>4.03</v>
      </c>
    </row>
    <row r="11" spans="1:96" ht="15">
      <c r="A11" s="6">
        <v>45618.384653090281</v>
      </c>
      <c r="B11" s="7">
        <v>0</v>
      </c>
      <c r="C11" s="7" t="s">
        <v>116</v>
      </c>
      <c r="D11" s="7" t="s">
        <v>107</v>
      </c>
      <c r="E11" s="7" t="s">
        <v>112</v>
      </c>
      <c r="F11" s="7" t="s">
        <v>95</v>
      </c>
      <c r="G11" s="7" t="s">
        <v>113</v>
      </c>
      <c r="H11" s="7" t="s">
        <v>102</v>
      </c>
      <c r="I11" s="7">
        <v>3</v>
      </c>
      <c r="J11" s="7">
        <v>3</v>
      </c>
      <c r="K11" s="7">
        <v>3</v>
      </c>
      <c r="L11" s="7">
        <v>2</v>
      </c>
      <c r="M11" s="7">
        <v>2</v>
      </c>
      <c r="N11" s="7">
        <v>3</v>
      </c>
      <c r="O11" s="7">
        <v>2</v>
      </c>
      <c r="P11" s="7">
        <v>2</v>
      </c>
      <c r="Q11" s="7">
        <v>3</v>
      </c>
      <c r="R11" s="7">
        <v>3</v>
      </c>
      <c r="S11" s="7">
        <v>3</v>
      </c>
      <c r="T11" s="7">
        <v>3</v>
      </c>
      <c r="U11" s="7">
        <v>3</v>
      </c>
      <c r="V11" s="7">
        <v>2</v>
      </c>
      <c r="W11" s="7">
        <v>3</v>
      </c>
      <c r="X11" s="7">
        <v>2</v>
      </c>
      <c r="Y11" s="7">
        <v>3</v>
      </c>
      <c r="Z11" s="7">
        <v>3</v>
      </c>
      <c r="AA11" s="7">
        <v>2</v>
      </c>
      <c r="AB11" s="7">
        <v>2</v>
      </c>
      <c r="AC11" s="7">
        <v>25</v>
      </c>
      <c r="AD11" s="7">
        <v>25</v>
      </c>
      <c r="AE11" s="7">
        <v>25</v>
      </c>
      <c r="AF11" s="7">
        <v>25</v>
      </c>
      <c r="AG11" s="8">
        <f t="shared" si="11"/>
        <v>100</v>
      </c>
      <c r="AH11" s="7">
        <v>25</v>
      </c>
      <c r="AI11" s="7">
        <v>25</v>
      </c>
      <c r="AJ11" s="7">
        <v>25</v>
      </c>
      <c r="AK11" s="7">
        <v>25</v>
      </c>
      <c r="AL11" s="8">
        <f t="shared" si="0"/>
        <v>100</v>
      </c>
      <c r="AM11" s="7">
        <v>25</v>
      </c>
      <c r="AN11" s="7">
        <v>25</v>
      </c>
      <c r="AO11" s="7">
        <v>25</v>
      </c>
      <c r="AP11" s="7">
        <v>25</v>
      </c>
      <c r="AQ11" s="8">
        <f t="shared" si="1"/>
        <v>100</v>
      </c>
      <c r="AR11" s="7">
        <v>25</v>
      </c>
      <c r="AS11" s="7">
        <v>25</v>
      </c>
      <c r="AT11" s="7">
        <v>25</v>
      </c>
      <c r="AU11" s="7">
        <v>25</v>
      </c>
      <c r="AV11" s="8">
        <f t="shared" si="2"/>
        <v>100</v>
      </c>
      <c r="AW11" s="7">
        <v>25</v>
      </c>
      <c r="AX11" s="7">
        <v>25</v>
      </c>
      <c r="AY11" s="7">
        <v>25</v>
      </c>
      <c r="AZ11" s="7">
        <v>25</v>
      </c>
      <c r="BA11" s="8">
        <f t="shared" si="3"/>
        <v>100</v>
      </c>
      <c r="BB11" s="7">
        <v>25</v>
      </c>
      <c r="BC11" s="7">
        <v>25</v>
      </c>
      <c r="BD11" s="7">
        <v>25</v>
      </c>
      <c r="BE11" s="7">
        <v>25</v>
      </c>
      <c r="BF11" s="8">
        <f t="shared" si="4"/>
        <v>100</v>
      </c>
      <c r="BG11" s="7">
        <v>25</v>
      </c>
      <c r="BH11" s="7">
        <v>25</v>
      </c>
      <c r="BI11" s="7">
        <v>25</v>
      </c>
      <c r="BJ11" s="7">
        <v>25</v>
      </c>
      <c r="BK11" s="8">
        <f t="shared" si="5"/>
        <v>100</v>
      </c>
      <c r="BL11" s="7">
        <v>25</v>
      </c>
      <c r="BM11" s="7">
        <v>25</v>
      </c>
      <c r="BN11" s="7">
        <v>25</v>
      </c>
      <c r="BO11" s="7">
        <v>25</v>
      </c>
      <c r="BP11" s="8">
        <f t="shared" si="6"/>
        <v>100</v>
      </c>
      <c r="BQ11" s="7">
        <v>25</v>
      </c>
      <c r="BR11" s="7">
        <v>25</v>
      </c>
      <c r="BS11" s="7">
        <v>25</v>
      </c>
      <c r="BT11" s="7">
        <v>25</v>
      </c>
      <c r="BU11" s="8">
        <f t="shared" si="7"/>
        <v>100</v>
      </c>
      <c r="BV11" s="7">
        <v>25</v>
      </c>
      <c r="BW11" s="7">
        <v>25</v>
      </c>
      <c r="BX11" s="7">
        <v>25</v>
      </c>
      <c r="BY11" s="7">
        <v>25</v>
      </c>
      <c r="BZ11" s="8">
        <f t="shared" si="8"/>
        <v>100</v>
      </c>
      <c r="CA11" s="7">
        <v>25</v>
      </c>
      <c r="CB11" s="7">
        <v>25</v>
      </c>
      <c r="CC11" s="7">
        <v>25</v>
      </c>
      <c r="CD11" s="7">
        <v>25</v>
      </c>
      <c r="CE11" s="8">
        <f t="shared" si="9"/>
        <v>100</v>
      </c>
      <c r="CF11" s="7">
        <v>25</v>
      </c>
      <c r="CG11" s="7">
        <v>25</v>
      </c>
      <c r="CH11" s="7">
        <v>25</v>
      </c>
      <c r="CI11" s="7">
        <v>25</v>
      </c>
      <c r="CJ11" s="8">
        <f t="shared" si="10"/>
        <v>100</v>
      </c>
      <c r="CK11" s="9">
        <v>3.81</v>
      </c>
      <c r="CL11" s="21" t="s">
        <v>117</v>
      </c>
      <c r="CM11" s="9">
        <v>3.91</v>
      </c>
      <c r="CN11" s="21" t="s">
        <v>117</v>
      </c>
      <c r="CO11" s="22"/>
      <c r="CP11">
        <f>Form_Responses1[[#This Row],[Column89]]</f>
        <v>3.81</v>
      </c>
      <c r="CQ11">
        <f>IF(Form_Responses1[[#This Row],[Column94]]&gt;0,Form_Responses1[[#This Row],[Column94]],Form_Responses1[[#This Row],[Column91]])</f>
        <v>3.81</v>
      </c>
      <c r="CR11">
        <v>3.81</v>
      </c>
    </row>
    <row r="12" spans="1:96" ht="15">
      <c r="A12" s="12">
        <v>45618.393311053238</v>
      </c>
      <c r="B12" s="13">
        <v>0</v>
      </c>
      <c r="C12" s="13" t="s">
        <v>118</v>
      </c>
      <c r="D12" s="13" t="s">
        <v>107</v>
      </c>
      <c r="E12" s="13" t="s">
        <v>112</v>
      </c>
      <c r="F12" s="13" t="s">
        <v>95</v>
      </c>
      <c r="G12" s="13" t="s">
        <v>113</v>
      </c>
      <c r="H12" s="13" t="s">
        <v>102</v>
      </c>
      <c r="I12" s="13">
        <v>2</v>
      </c>
      <c r="J12" s="13">
        <v>2</v>
      </c>
      <c r="K12" s="13">
        <v>3</v>
      </c>
      <c r="L12" s="13">
        <v>2</v>
      </c>
      <c r="M12" s="13">
        <v>3</v>
      </c>
      <c r="N12" s="13">
        <v>2</v>
      </c>
      <c r="O12" s="13">
        <v>2</v>
      </c>
      <c r="P12" s="13">
        <v>2</v>
      </c>
      <c r="Q12" s="13">
        <v>3</v>
      </c>
      <c r="R12" s="13">
        <v>4</v>
      </c>
      <c r="S12" s="13">
        <v>2</v>
      </c>
      <c r="T12" s="13">
        <v>3</v>
      </c>
      <c r="U12" s="13">
        <v>4</v>
      </c>
      <c r="V12" s="13">
        <v>2</v>
      </c>
      <c r="W12" s="13">
        <v>4</v>
      </c>
      <c r="X12" s="13">
        <v>3</v>
      </c>
      <c r="Y12" s="13">
        <v>4</v>
      </c>
      <c r="Z12" s="13">
        <v>2</v>
      </c>
      <c r="AA12" s="13">
        <v>3</v>
      </c>
      <c r="AB12" s="13">
        <v>2</v>
      </c>
      <c r="AC12" s="13">
        <v>30</v>
      </c>
      <c r="AD12" s="13">
        <v>30</v>
      </c>
      <c r="AE12" s="13">
        <v>10</v>
      </c>
      <c r="AF12" s="13">
        <v>30</v>
      </c>
      <c r="AG12" s="8">
        <f t="shared" si="11"/>
        <v>100</v>
      </c>
      <c r="AH12" s="13">
        <v>30</v>
      </c>
      <c r="AI12" s="13">
        <v>40</v>
      </c>
      <c r="AJ12" s="13">
        <v>10</v>
      </c>
      <c r="AK12" s="13">
        <v>20</v>
      </c>
      <c r="AL12" s="8">
        <f t="shared" si="0"/>
        <v>100</v>
      </c>
      <c r="AM12" s="13">
        <v>20</v>
      </c>
      <c r="AN12" s="13">
        <v>20</v>
      </c>
      <c r="AO12" s="13">
        <v>30</v>
      </c>
      <c r="AP12" s="13">
        <v>30</v>
      </c>
      <c r="AQ12" s="8">
        <f t="shared" si="1"/>
        <v>100</v>
      </c>
      <c r="AR12" s="13">
        <v>20</v>
      </c>
      <c r="AS12" s="13">
        <v>20</v>
      </c>
      <c r="AT12" s="13">
        <v>30</v>
      </c>
      <c r="AU12" s="13">
        <v>30</v>
      </c>
      <c r="AV12" s="8">
        <f t="shared" si="2"/>
        <v>100</v>
      </c>
      <c r="AW12" s="13">
        <v>20</v>
      </c>
      <c r="AX12" s="13">
        <v>40</v>
      </c>
      <c r="AY12" s="13">
        <v>10</v>
      </c>
      <c r="AZ12" s="13">
        <v>30</v>
      </c>
      <c r="BA12" s="8">
        <f t="shared" si="3"/>
        <v>100</v>
      </c>
      <c r="BB12" s="13">
        <v>20</v>
      </c>
      <c r="BC12" s="13">
        <v>40</v>
      </c>
      <c r="BD12" s="13">
        <v>10</v>
      </c>
      <c r="BE12" s="13">
        <v>30</v>
      </c>
      <c r="BF12" s="8">
        <f t="shared" si="4"/>
        <v>100</v>
      </c>
      <c r="BG12" s="13">
        <v>40</v>
      </c>
      <c r="BH12" s="13">
        <v>20</v>
      </c>
      <c r="BI12" s="13">
        <v>10</v>
      </c>
      <c r="BJ12" s="13">
        <v>30</v>
      </c>
      <c r="BK12" s="8">
        <f t="shared" si="5"/>
        <v>100</v>
      </c>
      <c r="BL12" s="13">
        <v>40</v>
      </c>
      <c r="BM12" s="13">
        <v>20</v>
      </c>
      <c r="BN12" s="13">
        <v>10</v>
      </c>
      <c r="BO12" s="13">
        <v>30</v>
      </c>
      <c r="BP12" s="8">
        <f t="shared" si="6"/>
        <v>100</v>
      </c>
      <c r="BQ12" s="13">
        <v>30</v>
      </c>
      <c r="BR12" s="13">
        <v>30</v>
      </c>
      <c r="BS12" s="13">
        <v>10</v>
      </c>
      <c r="BT12" s="13">
        <v>30</v>
      </c>
      <c r="BU12" s="8">
        <f t="shared" si="7"/>
        <v>100</v>
      </c>
      <c r="BV12" s="13">
        <v>30</v>
      </c>
      <c r="BW12" s="13">
        <v>30</v>
      </c>
      <c r="BX12" s="13">
        <v>10</v>
      </c>
      <c r="BY12" s="13">
        <v>30</v>
      </c>
      <c r="BZ12" s="8">
        <f t="shared" si="8"/>
        <v>100</v>
      </c>
      <c r="CA12" s="13">
        <v>20</v>
      </c>
      <c r="CB12" s="13">
        <v>20</v>
      </c>
      <c r="CC12" s="13">
        <v>30</v>
      </c>
      <c r="CD12" s="13">
        <v>30</v>
      </c>
      <c r="CE12" s="8">
        <f t="shared" si="9"/>
        <v>100</v>
      </c>
      <c r="CF12" s="13">
        <v>30</v>
      </c>
      <c r="CG12" s="13">
        <v>30</v>
      </c>
      <c r="CH12" s="13">
        <v>20</v>
      </c>
      <c r="CI12" s="13">
        <v>20</v>
      </c>
      <c r="CJ12" s="8">
        <f t="shared" si="10"/>
        <v>100</v>
      </c>
      <c r="CK12" s="14">
        <v>4.1500000000000004</v>
      </c>
      <c r="CL12" s="19" t="s">
        <v>98</v>
      </c>
      <c r="CM12" s="23"/>
      <c r="CN12" s="23"/>
      <c r="CO12" s="24"/>
      <c r="CP12">
        <f>Form_Responses1[[#This Row],[Column89]]</f>
        <v>4.1500000000000004</v>
      </c>
      <c r="CQ12">
        <f>IF(Form_Responses1[[#This Row],[Column94]]&gt;0,Form_Responses1[[#This Row],[Column94]],Form_Responses1[[#This Row],[Column91]])</f>
        <v>4.1500000000000004</v>
      </c>
      <c r="CR12">
        <v>4.1500000000000004</v>
      </c>
    </row>
    <row r="13" spans="1:96" ht="15">
      <c r="A13" s="6">
        <v>45618.401468356482</v>
      </c>
      <c r="B13" s="7">
        <v>0</v>
      </c>
      <c r="C13" s="7" t="s">
        <v>119</v>
      </c>
      <c r="D13" s="7" t="s">
        <v>93</v>
      </c>
      <c r="E13" s="7" t="s">
        <v>112</v>
      </c>
      <c r="F13" s="7" t="s">
        <v>95</v>
      </c>
      <c r="G13" s="7" t="s">
        <v>109</v>
      </c>
      <c r="H13" s="7" t="s">
        <v>120</v>
      </c>
      <c r="I13" s="7">
        <v>5</v>
      </c>
      <c r="J13" s="7">
        <v>5</v>
      </c>
      <c r="K13" s="7">
        <v>5</v>
      </c>
      <c r="L13" s="7">
        <v>5</v>
      </c>
      <c r="M13" s="7">
        <v>5</v>
      </c>
      <c r="N13" s="7">
        <v>5</v>
      </c>
      <c r="O13" s="7">
        <v>5</v>
      </c>
      <c r="P13" s="7">
        <v>5</v>
      </c>
      <c r="Q13" s="7">
        <v>5</v>
      </c>
      <c r="R13" s="7">
        <v>5</v>
      </c>
      <c r="S13" s="7">
        <v>5</v>
      </c>
      <c r="T13" s="7">
        <v>5</v>
      </c>
      <c r="U13" s="7">
        <v>5</v>
      </c>
      <c r="V13" s="7">
        <v>5</v>
      </c>
      <c r="W13" s="7">
        <v>5</v>
      </c>
      <c r="X13" s="7">
        <v>5</v>
      </c>
      <c r="Y13" s="7">
        <v>5</v>
      </c>
      <c r="Z13" s="7">
        <v>5</v>
      </c>
      <c r="AA13" s="7">
        <v>5</v>
      </c>
      <c r="AB13" s="7">
        <v>5</v>
      </c>
      <c r="AC13" s="7">
        <v>40</v>
      </c>
      <c r="AD13" s="7">
        <v>30</v>
      </c>
      <c r="AE13" s="7">
        <v>20</v>
      </c>
      <c r="AF13" s="7">
        <v>10</v>
      </c>
      <c r="AG13" s="8">
        <f t="shared" si="11"/>
        <v>100</v>
      </c>
      <c r="AH13" s="7">
        <v>40</v>
      </c>
      <c r="AI13" s="7">
        <v>30</v>
      </c>
      <c r="AJ13" s="7">
        <v>20</v>
      </c>
      <c r="AK13" s="7">
        <v>10</v>
      </c>
      <c r="AL13" s="8">
        <f t="shared" si="0"/>
        <v>100</v>
      </c>
      <c r="AM13" s="7">
        <v>30</v>
      </c>
      <c r="AN13" s="7">
        <v>30</v>
      </c>
      <c r="AO13" s="7">
        <v>20</v>
      </c>
      <c r="AP13" s="7">
        <v>20</v>
      </c>
      <c r="AQ13" s="8">
        <f t="shared" si="1"/>
        <v>100</v>
      </c>
      <c r="AR13" s="7">
        <v>20</v>
      </c>
      <c r="AS13" s="7">
        <v>20</v>
      </c>
      <c r="AT13" s="7">
        <v>30</v>
      </c>
      <c r="AU13" s="7">
        <v>30</v>
      </c>
      <c r="AV13" s="8">
        <f t="shared" si="2"/>
        <v>100</v>
      </c>
      <c r="AW13" s="7">
        <v>10</v>
      </c>
      <c r="AX13" s="7">
        <v>20</v>
      </c>
      <c r="AY13" s="7">
        <v>30</v>
      </c>
      <c r="AZ13" s="7">
        <v>40</v>
      </c>
      <c r="BA13" s="8">
        <f t="shared" si="3"/>
        <v>100</v>
      </c>
      <c r="BB13" s="7">
        <v>20</v>
      </c>
      <c r="BC13" s="7">
        <v>20</v>
      </c>
      <c r="BD13" s="7">
        <v>40</v>
      </c>
      <c r="BE13" s="7">
        <v>20</v>
      </c>
      <c r="BF13" s="8">
        <f t="shared" si="4"/>
        <v>100</v>
      </c>
      <c r="BG13" s="7">
        <v>40</v>
      </c>
      <c r="BH13" s="7">
        <v>40</v>
      </c>
      <c r="BI13" s="7">
        <v>10</v>
      </c>
      <c r="BJ13" s="7">
        <v>10</v>
      </c>
      <c r="BK13" s="8">
        <f t="shared" si="5"/>
        <v>100</v>
      </c>
      <c r="BL13" s="7">
        <v>10</v>
      </c>
      <c r="BM13" s="7">
        <v>20</v>
      </c>
      <c r="BN13" s="7">
        <v>30</v>
      </c>
      <c r="BO13" s="7">
        <v>40</v>
      </c>
      <c r="BP13" s="8">
        <f t="shared" si="6"/>
        <v>100</v>
      </c>
      <c r="BQ13" s="7">
        <v>40</v>
      </c>
      <c r="BR13" s="7">
        <v>20</v>
      </c>
      <c r="BS13" s="7">
        <v>30</v>
      </c>
      <c r="BT13" s="7">
        <v>10</v>
      </c>
      <c r="BU13" s="8">
        <f t="shared" si="7"/>
        <v>100</v>
      </c>
      <c r="BV13" s="7">
        <v>20</v>
      </c>
      <c r="BW13" s="7">
        <v>30</v>
      </c>
      <c r="BX13" s="7">
        <v>30</v>
      </c>
      <c r="BY13" s="7">
        <v>20</v>
      </c>
      <c r="BZ13" s="8">
        <f t="shared" si="8"/>
        <v>100</v>
      </c>
      <c r="CA13" s="7">
        <v>30</v>
      </c>
      <c r="CB13" s="7">
        <v>20</v>
      </c>
      <c r="CC13" s="7">
        <v>30</v>
      </c>
      <c r="CD13" s="7">
        <v>20</v>
      </c>
      <c r="CE13" s="8">
        <f t="shared" si="9"/>
        <v>100</v>
      </c>
      <c r="CF13" s="7">
        <v>35</v>
      </c>
      <c r="CG13" s="7">
        <v>35</v>
      </c>
      <c r="CH13" s="7">
        <v>10</v>
      </c>
      <c r="CI13" s="7">
        <v>20</v>
      </c>
      <c r="CJ13" s="8">
        <f t="shared" si="10"/>
        <v>100</v>
      </c>
      <c r="CK13" s="9">
        <v>5.0199999999999996</v>
      </c>
      <c r="CL13" s="9" t="s">
        <v>121</v>
      </c>
      <c r="CM13" s="25"/>
      <c r="CN13" s="25"/>
      <c r="CO13" s="26"/>
      <c r="CP13">
        <f>Form_Responses1[[#This Row],[Column89]]</f>
        <v>5.0199999999999996</v>
      </c>
      <c r="CQ13">
        <f>IF(Form_Responses1[[#This Row],[Column94]]&gt;0,Form_Responses1[[#This Row],[Column94]],Form_Responses1[[#This Row],[Column91]])</f>
        <v>5.0199999999999996</v>
      </c>
      <c r="CR13">
        <v>5.0199999999999996</v>
      </c>
    </row>
    <row r="14" spans="1:96" ht="15.75" customHeight="1">
      <c r="A14" s="12">
        <v>45618.403837997685</v>
      </c>
      <c r="B14" s="13">
        <v>0</v>
      </c>
      <c r="C14" s="13" t="s">
        <v>122</v>
      </c>
      <c r="D14" s="13" t="s">
        <v>93</v>
      </c>
      <c r="E14" s="13" t="s">
        <v>112</v>
      </c>
      <c r="F14" s="13" t="s">
        <v>101</v>
      </c>
      <c r="G14" s="13" t="s">
        <v>123</v>
      </c>
      <c r="H14" s="13" t="s">
        <v>102</v>
      </c>
      <c r="I14" s="13">
        <v>4</v>
      </c>
      <c r="J14" s="13">
        <v>4</v>
      </c>
      <c r="K14" s="13">
        <v>4</v>
      </c>
      <c r="L14" s="13">
        <v>5</v>
      </c>
      <c r="M14" s="13">
        <v>5</v>
      </c>
      <c r="N14" s="13">
        <v>4</v>
      </c>
      <c r="O14" s="13">
        <v>4</v>
      </c>
      <c r="P14" s="13">
        <v>4</v>
      </c>
      <c r="Q14" s="13">
        <v>5</v>
      </c>
      <c r="R14" s="13">
        <v>5</v>
      </c>
      <c r="S14" s="13">
        <v>5</v>
      </c>
      <c r="T14" s="13">
        <v>4</v>
      </c>
      <c r="U14" s="13">
        <v>5</v>
      </c>
      <c r="V14" s="13">
        <v>5</v>
      </c>
      <c r="W14" s="13">
        <v>4</v>
      </c>
      <c r="X14" s="13">
        <v>5</v>
      </c>
      <c r="Y14" s="13">
        <v>4</v>
      </c>
      <c r="Z14" s="13">
        <v>5</v>
      </c>
      <c r="AA14" s="13">
        <v>5</v>
      </c>
      <c r="AB14" s="13">
        <v>5</v>
      </c>
      <c r="AC14" s="13">
        <v>25</v>
      </c>
      <c r="AD14" s="13">
        <v>25</v>
      </c>
      <c r="AE14" s="13">
        <v>25</v>
      </c>
      <c r="AF14" s="13">
        <v>25</v>
      </c>
      <c r="AG14" s="8">
        <f t="shared" si="11"/>
        <v>100</v>
      </c>
      <c r="AH14" s="13">
        <v>25</v>
      </c>
      <c r="AI14" s="13">
        <v>25</v>
      </c>
      <c r="AJ14" s="13">
        <v>25</v>
      </c>
      <c r="AK14" s="13">
        <v>25</v>
      </c>
      <c r="AL14" s="8">
        <f t="shared" si="0"/>
        <v>100</v>
      </c>
      <c r="AM14" s="13">
        <v>25</v>
      </c>
      <c r="AN14" s="13">
        <v>25</v>
      </c>
      <c r="AO14" s="13">
        <v>25</v>
      </c>
      <c r="AP14" s="13">
        <v>25</v>
      </c>
      <c r="AQ14" s="8">
        <f t="shared" si="1"/>
        <v>100</v>
      </c>
      <c r="AR14" s="13">
        <v>25</v>
      </c>
      <c r="AS14" s="13">
        <v>25</v>
      </c>
      <c r="AT14" s="13">
        <v>25</v>
      </c>
      <c r="AU14" s="13">
        <v>25</v>
      </c>
      <c r="AV14" s="8">
        <f t="shared" si="2"/>
        <v>100</v>
      </c>
      <c r="AW14" s="13">
        <v>25</v>
      </c>
      <c r="AX14" s="13">
        <v>25</v>
      </c>
      <c r="AY14" s="13">
        <v>25</v>
      </c>
      <c r="AZ14" s="13">
        <v>25</v>
      </c>
      <c r="BA14" s="8">
        <f t="shared" si="3"/>
        <v>100</v>
      </c>
      <c r="BB14" s="13">
        <v>25</v>
      </c>
      <c r="BC14" s="13">
        <v>25</v>
      </c>
      <c r="BD14" s="13">
        <v>25</v>
      </c>
      <c r="BE14" s="13">
        <v>25</v>
      </c>
      <c r="BF14" s="8">
        <f t="shared" si="4"/>
        <v>100</v>
      </c>
      <c r="BG14" s="13">
        <v>25</v>
      </c>
      <c r="BH14" s="13">
        <v>25</v>
      </c>
      <c r="BI14" s="13">
        <v>25</v>
      </c>
      <c r="BJ14" s="13">
        <v>25</v>
      </c>
      <c r="BK14" s="8">
        <f t="shared" si="5"/>
        <v>100</v>
      </c>
      <c r="BL14" s="13">
        <v>25</v>
      </c>
      <c r="BM14" s="13">
        <v>25</v>
      </c>
      <c r="BN14" s="13">
        <v>25</v>
      </c>
      <c r="BO14" s="13">
        <v>25</v>
      </c>
      <c r="BP14" s="8">
        <f t="shared" si="6"/>
        <v>100</v>
      </c>
      <c r="BQ14" s="13">
        <v>25</v>
      </c>
      <c r="BR14" s="13">
        <v>25</v>
      </c>
      <c r="BS14" s="13">
        <v>25</v>
      </c>
      <c r="BT14" s="13">
        <v>25</v>
      </c>
      <c r="BU14" s="8">
        <f t="shared" si="7"/>
        <v>100</v>
      </c>
      <c r="BV14" s="13">
        <v>25</v>
      </c>
      <c r="BW14" s="13">
        <v>25</v>
      </c>
      <c r="BX14" s="13">
        <v>25</v>
      </c>
      <c r="BY14" s="13">
        <v>25</v>
      </c>
      <c r="BZ14" s="8">
        <f t="shared" si="8"/>
        <v>100</v>
      </c>
      <c r="CA14" s="13">
        <v>25</v>
      </c>
      <c r="CB14" s="13">
        <v>25</v>
      </c>
      <c r="CC14" s="13">
        <v>25</v>
      </c>
      <c r="CD14" s="13">
        <v>25</v>
      </c>
      <c r="CE14" s="8">
        <f t="shared" si="9"/>
        <v>100</v>
      </c>
      <c r="CF14" s="13">
        <v>25</v>
      </c>
      <c r="CG14" s="13">
        <v>25</v>
      </c>
      <c r="CH14" s="13">
        <v>25</v>
      </c>
      <c r="CI14" s="13">
        <v>25</v>
      </c>
      <c r="CJ14" s="8">
        <f t="shared" si="10"/>
        <v>100</v>
      </c>
      <c r="CK14" s="18"/>
      <c r="CL14" s="27"/>
      <c r="CM14" s="18">
        <v>4.25</v>
      </c>
      <c r="CN14" s="28" t="s">
        <v>98</v>
      </c>
      <c r="CO14" s="29"/>
      <c r="CP14">
        <f>Form_Responses1[[#This Row],[Column89]]</f>
        <v>0</v>
      </c>
      <c r="CQ14">
        <f>IF(Form_Responses1[[#This Row],[Column94]]&gt;0,Form_Responses1[[#This Row],[Column94]],Form_Responses1[[#This Row],[Column91]])</f>
        <v>4.25</v>
      </c>
      <c r="CR14">
        <v>4.25</v>
      </c>
    </row>
    <row r="15" spans="1:96" ht="15">
      <c r="A15" s="6">
        <v>45618.405560150466</v>
      </c>
      <c r="B15" s="7">
        <v>0</v>
      </c>
      <c r="C15" s="7" t="s">
        <v>124</v>
      </c>
      <c r="D15" s="7" t="s">
        <v>107</v>
      </c>
      <c r="E15" s="7" t="s">
        <v>112</v>
      </c>
      <c r="F15" s="7" t="s">
        <v>101</v>
      </c>
      <c r="G15" s="7" t="s">
        <v>123</v>
      </c>
      <c r="H15" s="7" t="s">
        <v>102</v>
      </c>
      <c r="I15" s="7">
        <v>4</v>
      </c>
      <c r="J15" s="7">
        <v>5</v>
      </c>
      <c r="K15" s="7">
        <v>4</v>
      </c>
      <c r="L15" s="7">
        <v>5</v>
      </c>
      <c r="M15" s="7">
        <v>5</v>
      </c>
      <c r="N15" s="7">
        <v>5</v>
      </c>
      <c r="O15" s="7">
        <v>5</v>
      </c>
      <c r="P15" s="7">
        <v>4</v>
      </c>
      <c r="Q15" s="7">
        <v>4</v>
      </c>
      <c r="R15" s="7">
        <v>4</v>
      </c>
      <c r="S15" s="7">
        <v>5</v>
      </c>
      <c r="T15" s="7">
        <v>4</v>
      </c>
      <c r="U15" s="7">
        <v>5</v>
      </c>
      <c r="V15" s="7">
        <v>5</v>
      </c>
      <c r="W15" s="7">
        <v>5</v>
      </c>
      <c r="X15" s="7">
        <v>4</v>
      </c>
      <c r="Y15" s="7">
        <v>4</v>
      </c>
      <c r="Z15" s="7">
        <v>4</v>
      </c>
      <c r="AA15" s="7">
        <v>4</v>
      </c>
      <c r="AB15" s="7">
        <v>4</v>
      </c>
      <c r="AC15" s="7">
        <v>25</v>
      </c>
      <c r="AD15" s="7">
        <v>25</v>
      </c>
      <c r="AE15" s="7">
        <v>25</v>
      </c>
      <c r="AF15" s="7">
        <v>25</v>
      </c>
      <c r="AG15" s="8">
        <f t="shared" si="11"/>
        <v>100</v>
      </c>
      <c r="AH15" s="7">
        <v>25</v>
      </c>
      <c r="AI15" s="7">
        <v>25</v>
      </c>
      <c r="AJ15" s="7">
        <v>25</v>
      </c>
      <c r="AK15" s="7">
        <v>25</v>
      </c>
      <c r="AL15" s="8">
        <f t="shared" si="0"/>
        <v>100</v>
      </c>
      <c r="AM15" s="7">
        <v>25</v>
      </c>
      <c r="AN15" s="7">
        <v>25</v>
      </c>
      <c r="AO15" s="7">
        <v>25</v>
      </c>
      <c r="AP15" s="7">
        <v>25</v>
      </c>
      <c r="AQ15" s="8">
        <f t="shared" si="1"/>
        <v>100</v>
      </c>
      <c r="AR15" s="7">
        <v>25</v>
      </c>
      <c r="AS15" s="7">
        <v>25</v>
      </c>
      <c r="AT15" s="7">
        <v>25</v>
      </c>
      <c r="AU15" s="7">
        <v>25</v>
      </c>
      <c r="AV15" s="8">
        <f t="shared" si="2"/>
        <v>100</v>
      </c>
      <c r="AW15" s="7">
        <v>25</v>
      </c>
      <c r="AX15" s="7">
        <v>25</v>
      </c>
      <c r="AY15" s="7">
        <v>25</v>
      </c>
      <c r="AZ15" s="7">
        <v>25</v>
      </c>
      <c r="BA15" s="8">
        <f t="shared" si="3"/>
        <v>100</v>
      </c>
      <c r="BB15" s="7">
        <v>25</v>
      </c>
      <c r="BC15" s="7">
        <v>25</v>
      </c>
      <c r="BD15" s="7">
        <v>25</v>
      </c>
      <c r="BE15" s="7">
        <v>25</v>
      </c>
      <c r="BF15" s="8">
        <f t="shared" si="4"/>
        <v>100</v>
      </c>
      <c r="BG15" s="7">
        <v>25</v>
      </c>
      <c r="BH15" s="7">
        <v>25</v>
      </c>
      <c r="BI15" s="7">
        <v>25</v>
      </c>
      <c r="BJ15" s="7">
        <v>25</v>
      </c>
      <c r="BK15" s="8">
        <f t="shared" si="5"/>
        <v>100</v>
      </c>
      <c r="BL15" s="7">
        <v>25</v>
      </c>
      <c r="BM15" s="7">
        <v>25</v>
      </c>
      <c r="BN15" s="7">
        <v>25</v>
      </c>
      <c r="BO15" s="7">
        <v>25</v>
      </c>
      <c r="BP15" s="8">
        <f t="shared" si="6"/>
        <v>100</v>
      </c>
      <c r="BQ15" s="7">
        <v>25</v>
      </c>
      <c r="BR15" s="7">
        <v>25</v>
      </c>
      <c r="BS15" s="7">
        <v>25</v>
      </c>
      <c r="BT15" s="7">
        <v>25</v>
      </c>
      <c r="BU15" s="8">
        <f t="shared" si="7"/>
        <v>100</v>
      </c>
      <c r="BV15" s="7">
        <v>25</v>
      </c>
      <c r="BW15" s="7">
        <v>25</v>
      </c>
      <c r="BX15" s="7">
        <v>25</v>
      </c>
      <c r="BY15" s="7">
        <v>25</v>
      </c>
      <c r="BZ15" s="8">
        <f t="shared" si="8"/>
        <v>100</v>
      </c>
      <c r="CA15" s="7">
        <v>25</v>
      </c>
      <c r="CB15" s="7">
        <v>25</v>
      </c>
      <c r="CC15" s="7">
        <v>25</v>
      </c>
      <c r="CD15" s="7">
        <v>25</v>
      </c>
      <c r="CE15" s="8">
        <f t="shared" si="9"/>
        <v>100</v>
      </c>
      <c r="CF15" s="7">
        <v>25</v>
      </c>
      <c r="CG15" s="7">
        <v>25</v>
      </c>
      <c r="CH15" s="7">
        <v>25</v>
      </c>
      <c r="CI15" s="7">
        <v>25</v>
      </c>
      <c r="CJ15" s="8">
        <f t="shared" si="10"/>
        <v>100</v>
      </c>
      <c r="CK15" s="16">
        <v>4.0599999999999996</v>
      </c>
      <c r="CL15" s="21" t="s">
        <v>98</v>
      </c>
      <c r="CM15" s="16">
        <v>4.16</v>
      </c>
      <c r="CN15" s="21" t="s">
        <v>98</v>
      </c>
      <c r="CO15" s="22"/>
      <c r="CP15">
        <f>Form_Responses1[[#This Row],[Column89]]</f>
        <v>4.0599999999999996</v>
      </c>
      <c r="CQ15">
        <f>IF(Form_Responses1[[#This Row],[Column94]]&gt;0,Form_Responses1[[#This Row],[Column94]],Form_Responses1[[#This Row],[Column91]])</f>
        <v>4.0599999999999996</v>
      </c>
      <c r="CR15">
        <v>4.0599999999999996</v>
      </c>
    </row>
    <row r="16" spans="1:96" ht="15">
      <c r="A16" s="12">
        <v>45618.407278888888</v>
      </c>
      <c r="B16" s="13">
        <v>0</v>
      </c>
      <c r="C16" s="13" t="s">
        <v>125</v>
      </c>
      <c r="D16" s="13" t="s">
        <v>93</v>
      </c>
      <c r="E16" s="13" t="s">
        <v>112</v>
      </c>
      <c r="F16" s="13" t="s">
        <v>101</v>
      </c>
      <c r="G16" s="13" t="s">
        <v>123</v>
      </c>
      <c r="H16" s="13" t="s">
        <v>102</v>
      </c>
      <c r="I16" s="13">
        <v>3</v>
      </c>
      <c r="J16" s="13">
        <v>4</v>
      </c>
      <c r="K16" s="13">
        <v>4</v>
      </c>
      <c r="L16" s="13">
        <v>3</v>
      </c>
      <c r="M16" s="13">
        <v>2</v>
      </c>
      <c r="N16" s="13">
        <v>4</v>
      </c>
      <c r="O16" s="13">
        <v>4</v>
      </c>
      <c r="P16" s="13">
        <v>4</v>
      </c>
      <c r="Q16" s="13">
        <v>2</v>
      </c>
      <c r="R16" s="13">
        <v>2</v>
      </c>
      <c r="S16" s="13">
        <v>3</v>
      </c>
      <c r="T16" s="13">
        <v>2</v>
      </c>
      <c r="U16" s="13">
        <v>2</v>
      </c>
      <c r="V16" s="13">
        <v>2</v>
      </c>
      <c r="W16" s="13">
        <v>3</v>
      </c>
      <c r="X16" s="13">
        <v>3</v>
      </c>
      <c r="Y16" s="13">
        <v>3</v>
      </c>
      <c r="Z16" s="13">
        <v>4</v>
      </c>
      <c r="AA16" s="13">
        <v>4</v>
      </c>
      <c r="AB16" s="13">
        <v>3</v>
      </c>
      <c r="AC16" s="13">
        <v>30</v>
      </c>
      <c r="AD16" s="13">
        <v>30</v>
      </c>
      <c r="AE16" s="13">
        <v>20</v>
      </c>
      <c r="AF16" s="13">
        <v>20</v>
      </c>
      <c r="AG16" s="8">
        <f t="shared" si="11"/>
        <v>100</v>
      </c>
      <c r="AH16" s="13">
        <v>20</v>
      </c>
      <c r="AI16" s="13">
        <v>40</v>
      </c>
      <c r="AJ16" s="13">
        <v>20</v>
      </c>
      <c r="AK16" s="13">
        <v>20</v>
      </c>
      <c r="AL16" s="8">
        <f t="shared" si="0"/>
        <v>100</v>
      </c>
      <c r="AM16" s="13">
        <v>30</v>
      </c>
      <c r="AN16" s="13">
        <v>20</v>
      </c>
      <c r="AO16" s="13">
        <v>20</v>
      </c>
      <c r="AP16" s="13">
        <v>30</v>
      </c>
      <c r="AQ16" s="8">
        <f t="shared" si="1"/>
        <v>100</v>
      </c>
      <c r="AR16" s="13">
        <v>30</v>
      </c>
      <c r="AS16" s="13">
        <v>20</v>
      </c>
      <c r="AT16" s="13">
        <v>20</v>
      </c>
      <c r="AU16" s="13">
        <v>30</v>
      </c>
      <c r="AV16" s="8">
        <f t="shared" si="2"/>
        <v>100</v>
      </c>
      <c r="AW16" s="13">
        <v>20</v>
      </c>
      <c r="AX16" s="13">
        <v>30</v>
      </c>
      <c r="AY16" s="13">
        <v>20</v>
      </c>
      <c r="AZ16" s="13">
        <v>30</v>
      </c>
      <c r="BA16" s="8">
        <f t="shared" si="3"/>
        <v>100</v>
      </c>
      <c r="BB16" s="13">
        <v>20</v>
      </c>
      <c r="BC16" s="13">
        <v>30</v>
      </c>
      <c r="BD16" s="13">
        <v>20</v>
      </c>
      <c r="BE16" s="13">
        <v>30</v>
      </c>
      <c r="BF16" s="8">
        <f t="shared" si="4"/>
        <v>100</v>
      </c>
      <c r="BG16" s="13">
        <v>20</v>
      </c>
      <c r="BH16" s="13">
        <v>30</v>
      </c>
      <c r="BI16" s="13">
        <v>20</v>
      </c>
      <c r="BJ16" s="13">
        <v>30</v>
      </c>
      <c r="BK16" s="8">
        <f t="shared" si="5"/>
        <v>100</v>
      </c>
      <c r="BL16" s="13">
        <v>20</v>
      </c>
      <c r="BM16" s="13">
        <v>30</v>
      </c>
      <c r="BN16" s="13">
        <v>20</v>
      </c>
      <c r="BO16" s="13">
        <v>30</v>
      </c>
      <c r="BP16" s="8">
        <f t="shared" si="6"/>
        <v>100</v>
      </c>
      <c r="BQ16" s="13">
        <v>20</v>
      </c>
      <c r="BR16" s="13">
        <v>30</v>
      </c>
      <c r="BS16" s="13">
        <v>30</v>
      </c>
      <c r="BT16" s="13">
        <v>20</v>
      </c>
      <c r="BU16" s="8">
        <f t="shared" si="7"/>
        <v>100</v>
      </c>
      <c r="BV16" s="13">
        <v>20</v>
      </c>
      <c r="BW16" s="13">
        <v>30</v>
      </c>
      <c r="BX16" s="13">
        <v>30</v>
      </c>
      <c r="BY16" s="13">
        <v>20</v>
      </c>
      <c r="BZ16" s="8">
        <f t="shared" si="8"/>
        <v>100</v>
      </c>
      <c r="CA16" s="13">
        <v>30</v>
      </c>
      <c r="CB16" s="13">
        <v>20</v>
      </c>
      <c r="CC16" s="13">
        <v>20</v>
      </c>
      <c r="CD16" s="13">
        <v>30</v>
      </c>
      <c r="CE16" s="8">
        <f t="shared" si="9"/>
        <v>100</v>
      </c>
      <c r="CF16" s="13">
        <v>30</v>
      </c>
      <c r="CG16" s="13">
        <v>20</v>
      </c>
      <c r="CH16" s="13">
        <v>20</v>
      </c>
      <c r="CI16" s="13">
        <v>30</v>
      </c>
      <c r="CJ16" s="8">
        <f t="shared" si="10"/>
        <v>100</v>
      </c>
      <c r="CK16" s="14">
        <v>4.01</v>
      </c>
      <c r="CL16" s="30" t="s">
        <v>98</v>
      </c>
      <c r="CM16" s="14">
        <v>4.71</v>
      </c>
      <c r="CN16" s="30" t="s">
        <v>98</v>
      </c>
      <c r="CO16" s="31"/>
      <c r="CP16">
        <f>Form_Responses1[[#This Row],[Column89]]</f>
        <v>4.01</v>
      </c>
      <c r="CQ16">
        <f>IF(Form_Responses1[[#This Row],[Column94]]&gt;0,Form_Responses1[[#This Row],[Column94]],Form_Responses1[[#This Row],[Column91]])</f>
        <v>4.01</v>
      </c>
      <c r="CR16">
        <v>4.01</v>
      </c>
    </row>
    <row r="17" spans="1:96" ht="15">
      <c r="A17" s="6">
        <v>45618.416080254625</v>
      </c>
      <c r="B17" s="7">
        <v>0</v>
      </c>
      <c r="C17" s="7" t="s">
        <v>126</v>
      </c>
      <c r="D17" s="7" t="s">
        <v>93</v>
      </c>
      <c r="E17" s="7" t="s">
        <v>100</v>
      </c>
      <c r="F17" s="7" t="s">
        <v>95</v>
      </c>
      <c r="G17" s="7" t="s">
        <v>123</v>
      </c>
      <c r="H17" s="7" t="s">
        <v>102</v>
      </c>
      <c r="I17" s="7">
        <v>5</v>
      </c>
      <c r="J17" s="7">
        <v>5</v>
      </c>
      <c r="K17" s="7">
        <v>5</v>
      </c>
      <c r="L17" s="7">
        <v>5</v>
      </c>
      <c r="M17" s="7">
        <v>5</v>
      </c>
      <c r="N17" s="7">
        <v>4</v>
      </c>
      <c r="O17" s="7">
        <v>5</v>
      </c>
      <c r="P17" s="7">
        <v>5</v>
      </c>
      <c r="Q17" s="7">
        <v>5</v>
      </c>
      <c r="R17" s="7">
        <v>4</v>
      </c>
      <c r="S17" s="7">
        <v>4</v>
      </c>
      <c r="T17" s="7">
        <v>4</v>
      </c>
      <c r="U17" s="7">
        <v>5</v>
      </c>
      <c r="V17" s="7">
        <v>5</v>
      </c>
      <c r="W17" s="7">
        <v>4</v>
      </c>
      <c r="X17" s="7">
        <v>4</v>
      </c>
      <c r="Y17" s="7">
        <v>5</v>
      </c>
      <c r="Z17" s="7">
        <v>5</v>
      </c>
      <c r="AA17" s="7">
        <v>5</v>
      </c>
      <c r="AB17" s="7">
        <v>5</v>
      </c>
      <c r="AC17" s="7">
        <v>30</v>
      </c>
      <c r="AD17" s="7">
        <v>30</v>
      </c>
      <c r="AE17" s="7">
        <v>20</v>
      </c>
      <c r="AF17" s="7">
        <v>20</v>
      </c>
      <c r="AG17" s="8">
        <f t="shared" si="11"/>
        <v>100</v>
      </c>
      <c r="AH17" s="7">
        <v>30</v>
      </c>
      <c r="AI17" s="7">
        <v>30</v>
      </c>
      <c r="AJ17" s="7">
        <v>20</v>
      </c>
      <c r="AK17" s="7">
        <v>20</v>
      </c>
      <c r="AL17" s="8">
        <f t="shared" si="0"/>
        <v>100</v>
      </c>
      <c r="AM17" s="7">
        <v>20</v>
      </c>
      <c r="AN17" s="7">
        <v>30</v>
      </c>
      <c r="AO17" s="7">
        <v>20</v>
      </c>
      <c r="AP17" s="7">
        <v>30</v>
      </c>
      <c r="AQ17" s="8">
        <f t="shared" si="1"/>
        <v>100</v>
      </c>
      <c r="AR17" s="7">
        <v>20</v>
      </c>
      <c r="AS17" s="7">
        <v>30</v>
      </c>
      <c r="AT17" s="7">
        <v>20</v>
      </c>
      <c r="AU17" s="7">
        <v>30</v>
      </c>
      <c r="AV17" s="8">
        <f t="shared" si="2"/>
        <v>100</v>
      </c>
      <c r="AW17" s="7">
        <v>30</v>
      </c>
      <c r="AX17" s="7">
        <v>30</v>
      </c>
      <c r="AY17" s="7">
        <v>20</v>
      </c>
      <c r="AZ17" s="7">
        <v>20</v>
      </c>
      <c r="BA17" s="8">
        <f t="shared" si="3"/>
        <v>100</v>
      </c>
      <c r="BB17" s="7">
        <v>20</v>
      </c>
      <c r="BC17" s="7">
        <v>30</v>
      </c>
      <c r="BD17" s="7">
        <v>20</v>
      </c>
      <c r="BE17" s="7">
        <v>30</v>
      </c>
      <c r="BF17" s="8">
        <f t="shared" si="4"/>
        <v>100</v>
      </c>
      <c r="BG17" s="7">
        <v>30</v>
      </c>
      <c r="BH17" s="7">
        <v>30</v>
      </c>
      <c r="BI17" s="7">
        <v>20</v>
      </c>
      <c r="BJ17" s="7">
        <v>20</v>
      </c>
      <c r="BK17" s="8">
        <f t="shared" si="5"/>
        <v>100</v>
      </c>
      <c r="BL17" s="7">
        <v>20</v>
      </c>
      <c r="BM17" s="7">
        <v>30</v>
      </c>
      <c r="BN17" s="7">
        <v>20</v>
      </c>
      <c r="BO17" s="7">
        <v>30</v>
      </c>
      <c r="BP17" s="8">
        <f t="shared" si="6"/>
        <v>100</v>
      </c>
      <c r="BQ17" s="7">
        <v>30</v>
      </c>
      <c r="BR17" s="7">
        <v>30</v>
      </c>
      <c r="BS17" s="7">
        <v>20</v>
      </c>
      <c r="BT17" s="7">
        <v>20</v>
      </c>
      <c r="BU17" s="8">
        <f t="shared" si="7"/>
        <v>100</v>
      </c>
      <c r="BV17" s="7">
        <v>20</v>
      </c>
      <c r="BW17" s="7">
        <v>30</v>
      </c>
      <c r="BX17" s="7">
        <v>20</v>
      </c>
      <c r="BY17" s="7">
        <v>30</v>
      </c>
      <c r="BZ17" s="8">
        <f t="shared" si="8"/>
        <v>100</v>
      </c>
      <c r="CA17" s="7">
        <v>30</v>
      </c>
      <c r="CB17" s="7">
        <v>30</v>
      </c>
      <c r="CC17" s="7">
        <v>20</v>
      </c>
      <c r="CD17" s="7">
        <v>20</v>
      </c>
      <c r="CE17" s="8">
        <f t="shared" si="9"/>
        <v>100</v>
      </c>
      <c r="CF17" s="7">
        <v>30</v>
      </c>
      <c r="CG17" s="7">
        <v>30</v>
      </c>
      <c r="CH17" s="7">
        <v>20</v>
      </c>
      <c r="CI17" s="7">
        <v>20</v>
      </c>
      <c r="CJ17" s="8">
        <f t="shared" si="10"/>
        <v>100</v>
      </c>
      <c r="CK17" s="9">
        <v>4.21</v>
      </c>
      <c r="CL17" s="32" t="s">
        <v>98</v>
      </c>
      <c r="CM17" s="9">
        <v>4.91</v>
      </c>
      <c r="CN17" s="32" t="s">
        <v>98</v>
      </c>
      <c r="CO17" s="33"/>
      <c r="CP17">
        <f>Form_Responses1[[#This Row],[Column89]]</f>
        <v>4.21</v>
      </c>
      <c r="CQ17">
        <f>IF(Form_Responses1[[#This Row],[Column94]]&gt;0,Form_Responses1[[#This Row],[Column94]],Form_Responses1[[#This Row],[Column91]])</f>
        <v>4.21</v>
      </c>
      <c r="CR17">
        <v>4.21</v>
      </c>
    </row>
    <row r="18" spans="1:96" ht="15">
      <c r="A18" s="12">
        <v>45618.445934699077</v>
      </c>
      <c r="B18" s="13">
        <v>0</v>
      </c>
      <c r="C18" s="13" t="s">
        <v>127</v>
      </c>
      <c r="D18" s="13" t="s">
        <v>93</v>
      </c>
      <c r="E18" s="13" t="s">
        <v>100</v>
      </c>
      <c r="F18" s="13" t="s">
        <v>95</v>
      </c>
      <c r="G18" s="13" t="s">
        <v>123</v>
      </c>
      <c r="H18" s="13" t="s">
        <v>102</v>
      </c>
      <c r="I18" s="13">
        <v>2</v>
      </c>
      <c r="J18" s="13">
        <v>2</v>
      </c>
      <c r="K18" s="13">
        <v>2</v>
      </c>
      <c r="L18" s="13">
        <v>2</v>
      </c>
      <c r="M18" s="13">
        <v>2</v>
      </c>
      <c r="N18" s="13">
        <v>2</v>
      </c>
      <c r="O18" s="13">
        <v>3</v>
      </c>
      <c r="P18" s="13">
        <v>3</v>
      </c>
      <c r="Q18" s="13">
        <v>3</v>
      </c>
      <c r="R18" s="13">
        <v>2</v>
      </c>
      <c r="S18" s="13">
        <v>3</v>
      </c>
      <c r="T18" s="13">
        <v>2</v>
      </c>
      <c r="U18" s="13">
        <v>2</v>
      </c>
      <c r="V18" s="13">
        <v>3</v>
      </c>
      <c r="W18" s="13">
        <v>2</v>
      </c>
      <c r="X18" s="13">
        <v>2</v>
      </c>
      <c r="Y18" s="13">
        <v>2</v>
      </c>
      <c r="Z18" s="13">
        <v>2</v>
      </c>
      <c r="AA18" s="13">
        <v>2</v>
      </c>
      <c r="AB18" s="13">
        <v>2</v>
      </c>
      <c r="AC18" s="13">
        <v>25</v>
      </c>
      <c r="AD18" s="13">
        <v>25</v>
      </c>
      <c r="AE18" s="13">
        <v>25</v>
      </c>
      <c r="AF18" s="13">
        <v>25</v>
      </c>
      <c r="AG18" s="8">
        <f t="shared" si="11"/>
        <v>100</v>
      </c>
      <c r="AH18" s="13">
        <v>30</v>
      </c>
      <c r="AI18" s="13">
        <v>10</v>
      </c>
      <c r="AJ18" s="13">
        <v>30</v>
      </c>
      <c r="AK18" s="13">
        <v>30</v>
      </c>
      <c r="AL18" s="8">
        <f t="shared" si="0"/>
        <v>100</v>
      </c>
      <c r="AM18" s="13">
        <v>25</v>
      </c>
      <c r="AN18" s="13">
        <v>25</v>
      </c>
      <c r="AO18" s="13">
        <v>25</v>
      </c>
      <c r="AP18" s="13">
        <v>25</v>
      </c>
      <c r="AQ18" s="8">
        <f t="shared" si="1"/>
        <v>100</v>
      </c>
      <c r="AR18" s="13">
        <v>25</v>
      </c>
      <c r="AS18" s="13">
        <v>25</v>
      </c>
      <c r="AT18" s="13">
        <v>25</v>
      </c>
      <c r="AU18" s="13">
        <v>25</v>
      </c>
      <c r="AV18" s="8">
        <f t="shared" si="2"/>
        <v>100</v>
      </c>
      <c r="AW18" s="13">
        <v>25</v>
      </c>
      <c r="AX18" s="13">
        <v>25</v>
      </c>
      <c r="AY18" s="13">
        <v>25</v>
      </c>
      <c r="AZ18" s="13">
        <v>25</v>
      </c>
      <c r="BA18" s="8">
        <f t="shared" si="3"/>
        <v>100</v>
      </c>
      <c r="BB18" s="13">
        <v>25</v>
      </c>
      <c r="BC18" s="13">
        <v>25</v>
      </c>
      <c r="BD18" s="13">
        <v>25</v>
      </c>
      <c r="BE18" s="13">
        <v>25</v>
      </c>
      <c r="BF18" s="8">
        <f t="shared" si="4"/>
        <v>100</v>
      </c>
      <c r="BG18" s="13">
        <v>25</v>
      </c>
      <c r="BH18" s="13">
        <v>25</v>
      </c>
      <c r="BI18" s="13">
        <v>25</v>
      </c>
      <c r="BJ18" s="13">
        <v>25</v>
      </c>
      <c r="BK18" s="8">
        <f t="shared" si="5"/>
        <v>100</v>
      </c>
      <c r="BL18" s="13">
        <v>25</v>
      </c>
      <c r="BM18" s="13">
        <v>25</v>
      </c>
      <c r="BN18" s="13">
        <v>25</v>
      </c>
      <c r="BO18" s="13">
        <v>25</v>
      </c>
      <c r="BP18" s="8">
        <f t="shared" si="6"/>
        <v>100</v>
      </c>
      <c r="BQ18" s="13">
        <v>10</v>
      </c>
      <c r="BR18" s="13">
        <v>30</v>
      </c>
      <c r="BS18" s="13">
        <v>30</v>
      </c>
      <c r="BT18" s="13">
        <v>30</v>
      </c>
      <c r="BU18" s="8">
        <f t="shared" si="7"/>
        <v>100</v>
      </c>
      <c r="BV18" s="13">
        <v>10</v>
      </c>
      <c r="BW18" s="13">
        <v>30</v>
      </c>
      <c r="BX18" s="13">
        <v>30</v>
      </c>
      <c r="BY18" s="13">
        <v>30</v>
      </c>
      <c r="BZ18" s="8">
        <f t="shared" si="8"/>
        <v>100</v>
      </c>
      <c r="CA18" s="13">
        <v>25</v>
      </c>
      <c r="CB18" s="13">
        <v>25</v>
      </c>
      <c r="CC18" s="13">
        <v>25</v>
      </c>
      <c r="CD18" s="13">
        <v>25</v>
      </c>
      <c r="CE18" s="8">
        <f t="shared" si="9"/>
        <v>100</v>
      </c>
      <c r="CF18" s="13">
        <v>25</v>
      </c>
      <c r="CG18" s="13">
        <v>25</v>
      </c>
      <c r="CH18" s="13">
        <v>25</v>
      </c>
      <c r="CI18" s="13">
        <v>25</v>
      </c>
      <c r="CJ18" s="8">
        <f t="shared" si="10"/>
        <v>100</v>
      </c>
      <c r="CK18" s="14">
        <v>3.88</v>
      </c>
      <c r="CL18" s="14" t="s">
        <v>117</v>
      </c>
      <c r="CM18" s="14">
        <v>4.12</v>
      </c>
      <c r="CN18" s="30" t="s">
        <v>98</v>
      </c>
      <c r="CO18" s="31"/>
      <c r="CP18">
        <f>Form_Responses1[[#This Row],[Column89]]</f>
        <v>3.88</v>
      </c>
      <c r="CQ18">
        <f>IF(Form_Responses1[[#This Row],[Column94]]&gt;0,Form_Responses1[[#This Row],[Column94]],Form_Responses1[[#This Row],[Column91]])</f>
        <v>3.88</v>
      </c>
      <c r="CR18">
        <v>3.88</v>
      </c>
    </row>
    <row r="19" spans="1:96" ht="15">
      <c r="A19" s="6">
        <v>45618.450103136573</v>
      </c>
      <c r="B19" s="7">
        <v>0</v>
      </c>
      <c r="C19" s="7" t="s">
        <v>128</v>
      </c>
      <c r="D19" s="7" t="s">
        <v>93</v>
      </c>
      <c r="E19" s="7" t="s">
        <v>112</v>
      </c>
      <c r="F19" s="7" t="s">
        <v>95</v>
      </c>
      <c r="G19" s="7" t="s">
        <v>123</v>
      </c>
      <c r="H19" s="7" t="s">
        <v>102</v>
      </c>
      <c r="I19" s="7">
        <v>4</v>
      </c>
      <c r="J19" s="7">
        <v>2</v>
      </c>
      <c r="K19" s="7">
        <v>3</v>
      </c>
      <c r="L19" s="7">
        <v>2</v>
      </c>
      <c r="M19" s="7">
        <v>3</v>
      </c>
      <c r="N19" s="7">
        <v>2</v>
      </c>
      <c r="O19" s="7">
        <v>3</v>
      </c>
      <c r="P19" s="7">
        <v>2</v>
      </c>
      <c r="Q19" s="7">
        <v>3</v>
      </c>
      <c r="R19" s="7">
        <v>3</v>
      </c>
      <c r="S19" s="7">
        <v>4</v>
      </c>
      <c r="T19" s="7">
        <v>2</v>
      </c>
      <c r="U19" s="7">
        <v>3</v>
      </c>
      <c r="V19" s="7">
        <v>2</v>
      </c>
      <c r="W19" s="7">
        <v>4</v>
      </c>
      <c r="X19" s="7">
        <v>2</v>
      </c>
      <c r="Y19" s="7">
        <v>2</v>
      </c>
      <c r="Z19" s="7">
        <v>3</v>
      </c>
      <c r="AA19" s="7">
        <v>4</v>
      </c>
      <c r="AB19" s="7">
        <v>4</v>
      </c>
      <c r="AC19" s="7">
        <v>10</v>
      </c>
      <c r="AD19" s="7">
        <v>10</v>
      </c>
      <c r="AE19" s="7">
        <v>10</v>
      </c>
      <c r="AF19" s="7">
        <v>70</v>
      </c>
      <c r="AG19" s="8">
        <f t="shared" si="11"/>
        <v>100</v>
      </c>
      <c r="AH19" s="7">
        <v>10</v>
      </c>
      <c r="AI19" s="7">
        <v>10</v>
      </c>
      <c r="AJ19" s="7">
        <v>30</v>
      </c>
      <c r="AK19" s="7">
        <v>50</v>
      </c>
      <c r="AL19" s="8">
        <f t="shared" si="0"/>
        <v>100</v>
      </c>
      <c r="AM19" s="7">
        <v>55</v>
      </c>
      <c r="AN19" s="7">
        <v>15</v>
      </c>
      <c r="AO19" s="7">
        <v>15</v>
      </c>
      <c r="AP19" s="7">
        <v>15</v>
      </c>
      <c r="AQ19" s="8">
        <f t="shared" si="1"/>
        <v>100</v>
      </c>
      <c r="AR19" s="7">
        <v>20</v>
      </c>
      <c r="AS19" s="7">
        <v>10</v>
      </c>
      <c r="AT19" s="7">
        <v>10</v>
      </c>
      <c r="AU19" s="7">
        <v>60</v>
      </c>
      <c r="AV19" s="8">
        <f t="shared" si="2"/>
        <v>100</v>
      </c>
      <c r="AW19" s="7">
        <v>10</v>
      </c>
      <c r="AX19" s="7">
        <v>10</v>
      </c>
      <c r="AY19" s="7">
        <v>10</v>
      </c>
      <c r="AZ19" s="7">
        <v>70</v>
      </c>
      <c r="BA19" s="8">
        <f t="shared" si="3"/>
        <v>100</v>
      </c>
      <c r="BB19" s="7">
        <v>20</v>
      </c>
      <c r="BC19" s="7">
        <v>20</v>
      </c>
      <c r="BD19" s="7">
        <v>30</v>
      </c>
      <c r="BE19" s="7">
        <v>30</v>
      </c>
      <c r="BF19" s="8">
        <f t="shared" si="4"/>
        <v>100</v>
      </c>
      <c r="BG19" s="7">
        <v>10</v>
      </c>
      <c r="BH19" s="7">
        <v>10</v>
      </c>
      <c r="BI19" s="7">
        <v>10</v>
      </c>
      <c r="BJ19" s="7">
        <v>70</v>
      </c>
      <c r="BK19" s="8">
        <f t="shared" si="5"/>
        <v>100</v>
      </c>
      <c r="BL19" s="7">
        <v>30</v>
      </c>
      <c r="BM19" s="7">
        <v>20</v>
      </c>
      <c r="BN19" s="7">
        <v>20</v>
      </c>
      <c r="BO19" s="7">
        <v>30</v>
      </c>
      <c r="BP19" s="8">
        <f t="shared" si="6"/>
        <v>100</v>
      </c>
      <c r="BQ19" s="7">
        <v>20</v>
      </c>
      <c r="BR19" s="7">
        <v>35</v>
      </c>
      <c r="BS19" s="7">
        <v>10</v>
      </c>
      <c r="BT19" s="7">
        <v>35</v>
      </c>
      <c r="BU19" s="8">
        <f t="shared" si="7"/>
        <v>100</v>
      </c>
      <c r="BV19" s="7">
        <v>20</v>
      </c>
      <c r="BW19" s="7">
        <v>30</v>
      </c>
      <c r="BX19" s="7">
        <v>10</v>
      </c>
      <c r="BY19" s="7">
        <v>40</v>
      </c>
      <c r="BZ19" s="8">
        <f t="shared" si="8"/>
        <v>100</v>
      </c>
      <c r="CA19" s="7">
        <v>20</v>
      </c>
      <c r="CB19" s="7">
        <v>20</v>
      </c>
      <c r="CC19" s="7">
        <v>20</v>
      </c>
      <c r="CD19" s="7">
        <v>40</v>
      </c>
      <c r="CE19" s="8">
        <f t="shared" si="9"/>
        <v>100</v>
      </c>
      <c r="CF19" s="7">
        <v>20</v>
      </c>
      <c r="CG19" s="7">
        <v>20</v>
      </c>
      <c r="CH19" s="7">
        <v>30</v>
      </c>
      <c r="CI19" s="7">
        <v>30</v>
      </c>
      <c r="CJ19" s="8">
        <f t="shared" si="10"/>
        <v>100</v>
      </c>
      <c r="CK19" s="9">
        <v>4.1100000000000003</v>
      </c>
      <c r="CL19" s="9" t="s">
        <v>98</v>
      </c>
      <c r="CM19" s="9">
        <v>4.2300000000000004</v>
      </c>
      <c r="CN19" s="9" t="s">
        <v>98</v>
      </c>
      <c r="CO19" s="34"/>
      <c r="CP19">
        <f>Form_Responses1[[#This Row],[Column89]]</f>
        <v>4.1100000000000003</v>
      </c>
      <c r="CQ19">
        <f>IF(Form_Responses1[[#This Row],[Column94]]&gt;0,Form_Responses1[[#This Row],[Column94]],Form_Responses1[[#This Row],[Column91]])</f>
        <v>4.1100000000000003</v>
      </c>
      <c r="CR19">
        <v>4.1100000000000003</v>
      </c>
    </row>
    <row r="20" spans="1:96" ht="15">
      <c r="A20" s="12">
        <v>45618.454515613426</v>
      </c>
      <c r="B20" s="13">
        <v>0</v>
      </c>
      <c r="C20" s="13" t="s">
        <v>129</v>
      </c>
      <c r="D20" s="13" t="s">
        <v>93</v>
      </c>
      <c r="E20" s="13" t="s">
        <v>94</v>
      </c>
      <c r="F20" s="13" t="s">
        <v>130</v>
      </c>
      <c r="G20" s="13" t="s">
        <v>96</v>
      </c>
      <c r="H20" s="13" t="s">
        <v>102</v>
      </c>
      <c r="I20" s="13">
        <v>3</v>
      </c>
      <c r="J20" s="13">
        <v>3</v>
      </c>
      <c r="K20" s="13">
        <v>4</v>
      </c>
      <c r="L20" s="13">
        <v>3</v>
      </c>
      <c r="M20" s="13">
        <v>3</v>
      </c>
      <c r="N20" s="13">
        <v>3</v>
      </c>
      <c r="O20" s="13">
        <v>3</v>
      </c>
      <c r="P20" s="13">
        <v>3</v>
      </c>
      <c r="Q20" s="13">
        <v>3</v>
      </c>
      <c r="R20" s="13">
        <v>3</v>
      </c>
      <c r="S20" s="13">
        <v>3</v>
      </c>
      <c r="T20" s="13">
        <v>3</v>
      </c>
      <c r="U20" s="13">
        <v>3</v>
      </c>
      <c r="V20" s="13">
        <v>3</v>
      </c>
      <c r="W20" s="13">
        <v>3</v>
      </c>
      <c r="X20" s="13">
        <v>3</v>
      </c>
      <c r="Y20" s="13">
        <v>4</v>
      </c>
      <c r="Z20" s="13">
        <v>4</v>
      </c>
      <c r="AA20" s="13">
        <v>4</v>
      </c>
      <c r="AB20" s="13">
        <v>3</v>
      </c>
      <c r="AC20" s="13">
        <v>10</v>
      </c>
      <c r="AD20" s="13">
        <v>20</v>
      </c>
      <c r="AE20" s="13">
        <v>35</v>
      </c>
      <c r="AF20" s="13">
        <v>35</v>
      </c>
      <c r="AG20" s="8">
        <f t="shared" si="11"/>
        <v>100</v>
      </c>
      <c r="AH20" s="13">
        <v>10</v>
      </c>
      <c r="AI20" s="13">
        <v>30</v>
      </c>
      <c r="AJ20" s="13">
        <v>30</v>
      </c>
      <c r="AK20" s="13">
        <v>30</v>
      </c>
      <c r="AL20" s="8">
        <f t="shared" si="0"/>
        <v>100</v>
      </c>
      <c r="AM20" s="13">
        <v>20</v>
      </c>
      <c r="AN20" s="13">
        <v>30</v>
      </c>
      <c r="AO20" s="13">
        <v>20</v>
      </c>
      <c r="AP20" s="13">
        <v>30</v>
      </c>
      <c r="AQ20" s="8">
        <f t="shared" si="1"/>
        <v>100</v>
      </c>
      <c r="AR20" s="13">
        <v>20</v>
      </c>
      <c r="AS20" s="13">
        <v>30</v>
      </c>
      <c r="AT20" s="13">
        <v>20</v>
      </c>
      <c r="AU20" s="13">
        <v>30</v>
      </c>
      <c r="AV20" s="8">
        <f t="shared" si="2"/>
        <v>100</v>
      </c>
      <c r="AW20" s="13">
        <v>20</v>
      </c>
      <c r="AX20" s="13">
        <v>30</v>
      </c>
      <c r="AY20" s="13">
        <v>20</v>
      </c>
      <c r="AZ20" s="13">
        <v>30</v>
      </c>
      <c r="BA20" s="8">
        <f t="shared" si="3"/>
        <v>100</v>
      </c>
      <c r="BB20" s="13">
        <v>20</v>
      </c>
      <c r="BC20" s="13">
        <v>30</v>
      </c>
      <c r="BD20" s="13">
        <v>20</v>
      </c>
      <c r="BE20" s="13">
        <v>30</v>
      </c>
      <c r="BF20" s="8">
        <f t="shared" si="4"/>
        <v>100</v>
      </c>
      <c r="BG20" s="13">
        <v>20</v>
      </c>
      <c r="BH20" s="13">
        <v>20</v>
      </c>
      <c r="BI20" s="13">
        <v>30</v>
      </c>
      <c r="BJ20" s="13">
        <v>30</v>
      </c>
      <c r="BK20" s="8">
        <f t="shared" si="5"/>
        <v>100</v>
      </c>
      <c r="BL20" s="13">
        <v>15</v>
      </c>
      <c r="BM20" s="13">
        <v>25</v>
      </c>
      <c r="BN20" s="13">
        <v>25</v>
      </c>
      <c r="BO20" s="13">
        <v>35</v>
      </c>
      <c r="BP20" s="8">
        <f t="shared" si="6"/>
        <v>100</v>
      </c>
      <c r="BQ20" s="13">
        <v>20</v>
      </c>
      <c r="BR20" s="13">
        <v>30</v>
      </c>
      <c r="BS20" s="13">
        <v>20</v>
      </c>
      <c r="BT20" s="13">
        <v>30</v>
      </c>
      <c r="BU20" s="8">
        <f t="shared" si="7"/>
        <v>100</v>
      </c>
      <c r="BV20" s="13">
        <v>10</v>
      </c>
      <c r="BW20" s="13">
        <v>30</v>
      </c>
      <c r="BX20" s="13">
        <v>30</v>
      </c>
      <c r="BY20" s="13">
        <v>30</v>
      </c>
      <c r="BZ20" s="8">
        <f t="shared" si="8"/>
        <v>100</v>
      </c>
      <c r="CA20" s="13">
        <v>20</v>
      </c>
      <c r="CB20" s="13">
        <v>30</v>
      </c>
      <c r="CC20" s="13">
        <v>20</v>
      </c>
      <c r="CD20" s="13">
        <v>30</v>
      </c>
      <c r="CE20" s="8">
        <f t="shared" si="9"/>
        <v>100</v>
      </c>
      <c r="CF20" s="13">
        <v>20</v>
      </c>
      <c r="CG20" s="13">
        <v>30</v>
      </c>
      <c r="CH20" s="13">
        <v>20</v>
      </c>
      <c r="CI20" s="13">
        <v>30</v>
      </c>
      <c r="CJ20" s="8">
        <f t="shared" si="10"/>
        <v>100</v>
      </c>
      <c r="CK20" s="14">
        <v>4.07</v>
      </c>
      <c r="CL20" s="14" t="s">
        <v>98</v>
      </c>
      <c r="CM20" s="23"/>
      <c r="CN20" s="23"/>
      <c r="CO20" s="24"/>
      <c r="CP20">
        <f>Form_Responses1[[#This Row],[Column89]]</f>
        <v>4.07</v>
      </c>
      <c r="CQ20">
        <f>IF(Form_Responses1[[#This Row],[Column94]]&gt;0,Form_Responses1[[#This Row],[Column94]],Form_Responses1[[#This Row],[Column91]])</f>
        <v>4.07</v>
      </c>
      <c r="CR20">
        <v>4.07</v>
      </c>
    </row>
    <row r="21" spans="1:96" ht="15">
      <c r="A21" s="6">
        <v>45618.462563946756</v>
      </c>
      <c r="B21" s="7">
        <v>0</v>
      </c>
      <c r="C21" s="7" t="s">
        <v>131</v>
      </c>
      <c r="D21" s="7" t="s">
        <v>93</v>
      </c>
      <c r="E21" s="7" t="s">
        <v>94</v>
      </c>
      <c r="F21" s="7" t="s">
        <v>101</v>
      </c>
      <c r="G21" s="7" t="s">
        <v>96</v>
      </c>
      <c r="H21" s="7" t="s">
        <v>102</v>
      </c>
      <c r="I21" s="7">
        <v>2</v>
      </c>
      <c r="J21" s="7">
        <v>3</v>
      </c>
      <c r="K21" s="7">
        <v>2</v>
      </c>
      <c r="L21" s="7">
        <v>3</v>
      </c>
      <c r="M21" s="7">
        <v>3</v>
      </c>
      <c r="N21" s="7">
        <v>3</v>
      </c>
      <c r="O21" s="7">
        <v>3</v>
      </c>
      <c r="P21" s="7">
        <v>3</v>
      </c>
      <c r="Q21" s="7">
        <v>2</v>
      </c>
      <c r="R21" s="7">
        <v>2</v>
      </c>
      <c r="S21" s="7">
        <v>3</v>
      </c>
      <c r="T21" s="7">
        <v>3</v>
      </c>
      <c r="U21" s="7">
        <v>3</v>
      </c>
      <c r="V21" s="7">
        <v>3</v>
      </c>
      <c r="W21" s="7">
        <v>3</v>
      </c>
      <c r="X21" s="7">
        <v>2</v>
      </c>
      <c r="Y21" s="7">
        <v>2</v>
      </c>
      <c r="Z21" s="7">
        <v>2</v>
      </c>
      <c r="AA21" s="7">
        <v>3</v>
      </c>
      <c r="AB21" s="7">
        <v>3</v>
      </c>
      <c r="AC21" s="7">
        <v>20</v>
      </c>
      <c r="AD21" s="7">
        <v>20</v>
      </c>
      <c r="AE21" s="7">
        <v>20</v>
      </c>
      <c r="AF21" s="7">
        <v>40</v>
      </c>
      <c r="AG21" s="8">
        <f t="shared" si="11"/>
        <v>100</v>
      </c>
      <c r="AH21" s="7">
        <v>15</v>
      </c>
      <c r="AI21" s="7">
        <v>35</v>
      </c>
      <c r="AJ21" s="7">
        <v>25</v>
      </c>
      <c r="AK21" s="7">
        <v>25</v>
      </c>
      <c r="AL21" s="8">
        <f t="shared" si="0"/>
        <v>100</v>
      </c>
      <c r="AM21" s="7">
        <v>20</v>
      </c>
      <c r="AN21" s="7">
        <v>30</v>
      </c>
      <c r="AO21" s="7">
        <v>30</v>
      </c>
      <c r="AP21" s="7">
        <v>20</v>
      </c>
      <c r="AQ21" s="8">
        <f t="shared" si="1"/>
        <v>100</v>
      </c>
      <c r="AR21" s="7">
        <v>50</v>
      </c>
      <c r="AS21" s="7">
        <v>20</v>
      </c>
      <c r="AT21" s="7">
        <v>10</v>
      </c>
      <c r="AU21" s="7">
        <v>20</v>
      </c>
      <c r="AV21" s="8">
        <f t="shared" si="2"/>
        <v>100</v>
      </c>
      <c r="AW21" s="7">
        <v>20</v>
      </c>
      <c r="AX21" s="7">
        <v>40</v>
      </c>
      <c r="AY21" s="7">
        <v>20</v>
      </c>
      <c r="AZ21" s="7">
        <v>20</v>
      </c>
      <c r="BA21" s="8">
        <f t="shared" si="3"/>
        <v>100</v>
      </c>
      <c r="BB21" s="7">
        <v>20</v>
      </c>
      <c r="BC21" s="7">
        <v>20</v>
      </c>
      <c r="BD21" s="7">
        <v>30</v>
      </c>
      <c r="BE21" s="7">
        <v>30</v>
      </c>
      <c r="BF21" s="8">
        <f t="shared" si="4"/>
        <v>100</v>
      </c>
      <c r="BG21" s="7">
        <v>25</v>
      </c>
      <c r="BH21" s="7">
        <v>25</v>
      </c>
      <c r="BI21" s="7">
        <v>25</v>
      </c>
      <c r="BJ21" s="7">
        <v>25</v>
      </c>
      <c r="BK21" s="8">
        <f t="shared" si="5"/>
        <v>100</v>
      </c>
      <c r="BL21" s="7">
        <v>25</v>
      </c>
      <c r="BM21" s="7">
        <v>25</v>
      </c>
      <c r="BN21" s="7">
        <v>25</v>
      </c>
      <c r="BO21" s="7">
        <v>25</v>
      </c>
      <c r="BP21" s="8">
        <f t="shared" si="6"/>
        <v>100</v>
      </c>
      <c r="BQ21" s="7">
        <v>20</v>
      </c>
      <c r="BR21" s="7">
        <v>30</v>
      </c>
      <c r="BS21" s="7">
        <v>20</v>
      </c>
      <c r="BT21" s="7">
        <v>30</v>
      </c>
      <c r="BU21" s="8">
        <f t="shared" si="7"/>
        <v>100</v>
      </c>
      <c r="BV21" s="7">
        <v>20</v>
      </c>
      <c r="BW21" s="7">
        <v>40</v>
      </c>
      <c r="BX21" s="7">
        <v>20</v>
      </c>
      <c r="BY21" s="7">
        <v>20</v>
      </c>
      <c r="BZ21" s="8">
        <f t="shared" si="8"/>
        <v>100</v>
      </c>
      <c r="CA21" s="7">
        <v>30</v>
      </c>
      <c r="CB21" s="7">
        <v>10</v>
      </c>
      <c r="CC21" s="7">
        <v>30</v>
      </c>
      <c r="CD21" s="7">
        <v>30</v>
      </c>
      <c r="CE21" s="8">
        <f t="shared" si="9"/>
        <v>100</v>
      </c>
      <c r="CF21" s="7">
        <v>20</v>
      </c>
      <c r="CG21" s="7">
        <v>30</v>
      </c>
      <c r="CH21" s="7">
        <v>20</v>
      </c>
      <c r="CI21" s="7">
        <v>30</v>
      </c>
      <c r="CJ21" s="8">
        <f t="shared" si="10"/>
        <v>100</v>
      </c>
      <c r="CK21" s="9">
        <v>3.88</v>
      </c>
      <c r="CL21" s="10" t="s">
        <v>117</v>
      </c>
      <c r="CM21" s="25"/>
      <c r="CN21" s="25"/>
      <c r="CO21" s="26"/>
      <c r="CP21">
        <f>Form_Responses1[[#This Row],[Column89]]</f>
        <v>3.88</v>
      </c>
      <c r="CQ21">
        <f>IF(Form_Responses1[[#This Row],[Column94]]&gt;0,Form_Responses1[[#This Row],[Column94]],Form_Responses1[[#This Row],[Column91]])</f>
        <v>3.88</v>
      </c>
      <c r="CR21">
        <v>3.88</v>
      </c>
    </row>
    <row r="22" spans="1:96" ht="15">
      <c r="A22" s="12">
        <v>45618.47562109954</v>
      </c>
      <c r="B22" s="13">
        <v>0</v>
      </c>
      <c r="C22" s="13" t="s">
        <v>132</v>
      </c>
      <c r="D22" s="13" t="s">
        <v>107</v>
      </c>
      <c r="E22" s="13" t="s">
        <v>112</v>
      </c>
      <c r="F22" s="13" t="s">
        <v>95</v>
      </c>
      <c r="G22" s="13" t="s">
        <v>113</v>
      </c>
      <c r="H22" s="13" t="s">
        <v>102</v>
      </c>
      <c r="I22" s="13">
        <v>3</v>
      </c>
      <c r="J22" s="13">
        <v>3</v>
      </c>
      <c r="K22" s="13">
        <v>3</v>
      </c>
      <c r="L22" s="13">
        <v>3</v>
      </c>
      <c r="M22" s="13">
        <v>3</v>
      </c>
      <c r="N22" s="13">
        <v>3</v>
      </c>
      <c r="O22" s="13">
        <v>3</v>
      </c>
      <c r="P22" s="13">
        <v>3</v>
      </c>
      <c r="Q22" s="13">
        <v>3</v>
      </c>
      <c r="R22" s="13">
        <v>3</v>
      </c>
      <c r="S22" s="13">
        <v>3</v>
      </c>
      <c r="T22" s="13">
        <v>3</v>
      </c>
      <c r="U22" s="13">
        <v>3</v>
      </c>
      <c r="V22" s="13">
        <v>3</v>
      </c>
      <c r="W22" s="13">
        <v>3</v>
      </c>
      <c r="X22" s="13">
        <v>3</v>
      </c>
      <c r="Y22" s="13">
        <v>3</v>
      </c>
      <c r="Z22" s="13">
        <v>3</v>
      </c>
      <c r="AA22" s="13">
        <v>3</v>
      </c>
      <c r="AB22" s="13">
        <v>3</v>
      </c>
      <c r="AC22" s="13">
        <v>25</v>
      </c>
      <c r="AD22" s="13">
        <v>25</v>
      </c>
      <c r="AE22" s="13">
        <v>25</v>
      </c>
      <c r="AF22" s="13">
        <v>25</v>
      </c>
      <c r="AG22" s="8">
        <f t="shared" si="11"/>
        <v>100</v>
      </c>
      <c r="AH22" s="13">
        <v>25</v>
      </c>
      <c r="AI22" s="13">
        <v>25</v>
      </c>
      <c r="AJ22" s="13">
        <v>25</v>
      </c>
      <c r="AK22" s="13">
        <v>25</v>
      </c>
      <c r="AL22" s="8">
        <f t="shared" si="0"/>
        <v>100</v>
      </c>
      <c r="AM22" s="13">
        <v>25</v>
      </c>
      <c r="AN22" s="13">
        <v>25</v>
      </c>
      <c r="AO22" s="13">
        <v>25</v>
      </c>
      <c r="AP22" s="13">
        <v>25</v>
      </c>
      <c r="AQ22" s="8">
        <f t="shared" si="1"/>
        <v>100</v>
      </c>
      <c r="AR22" s="13">
        <v>25</v>
      </c>
      <c r="AS22" s="13">
        <v>25</v>
      </c>
      <c r="AT22" s="13">
        <v>25</v>
      </c>
      <c r="AU22" s="13">
        <v>25</v>
      </c>
      <c r="AV22" s="8">
        <f t="shared" si="2"/>
        <v>100</v>
      </c>
      <c r="AW22" s="13">
        <v>25</v>
      </c>
      <c r="AX22" s="13">
        <v>25</v>
      </c>
      <c r="AY22" s="13">
        <v>25</v>
      </c>
      <c r="AZ22" s="13">
        <v>25</v>
      </c>
      <c r="BA22" s="8">
        <f t="shared" si="3"/>
        <v>100</v>
      </c>
      <c r="BB22" s="13">
        <v>25</v>
      </c>
      <c r="BC22" s="13">
        <v>25</v>
      </c>
      <c r="BD22" s="13">
        <v>25</v>
      </c>
      <c r="BE22" s="13">
        <v>25</v>
      </c>
      <c r="BF22" s="8">
        <f t="shared" si="4"/>
        <v>100</v>
      </c>
      <c r="BG22" s="13">
        <v>25</v>
      </c>
      <c r="BH22" s="13">
        <v>25</v>
      </c>
      <c r="BI22" s="13">
        <v>25</v>
      </c>
      <c r="BJ22" s="13">
        <v>25</v>
      </c>
      <c r="BK22" s="8">
        <f t="shared" si="5"/>
        <v>100</v>
      </c>
      <c r="BL22" s="13">
        <v>25</v>
      </c>
      <c r="BM22" s="13">
        <v>25</v>
      </c>
      <c r="BN22" s="13">
        <v>25</v>
      </c>
      <c r="BO22" s="13">
        <v>25</v>
      </c>
      <c r="BP22" s="8">
        <f t="shared" si="6"/>
        <v>100</v>
      </c>
      <c r="BQ22" s="13">
        <v>25</v>
      </c>
      <c r="BR22" s="13">
        <v>25</v>
      </c>
      <c r="BS22" s="13">
        <v>25</v>
      </c>
      <c r="BT22" s="13">
        <v>25</v>
      </c>
      <c r="BU22" s="8">
        <f t="shared" si="7"/>
        <v>100</v>
      </c>
      <c r="BV22" s="13">
        <v>25</v>
      </c>
      <c r="BW22" s="13">
        <v>25</v>
      </c>
      <c r="BX22" s="13">
        <v>25</v>
      </c>
      <c r="BY22" s="13">
        <v>25</v>
      </c>
      <c r="BZ22" s="8">
        <f t="shared" si="8"/>
        <v>100</v>
      </c>
      <c r="CA22" s="13">
        <v>25</v>
      </c>
      <c r="CB22" s="13">
        <v>25</v>
      </c>
      <c r="CC22" s="13">
        <v>25</v>
      </c>
      <c r="CD22" s="13">
        <v>25</v>
      </c>
      <c r="CE22" s="8">
        <f t="shared" si="9"/>
        <v>100</v>
      </c>
      <c r="CF22" s="13">
        <v>25</v>
      </c>
      <c r="CG22" s="13">
        <v>25</v>
      </c>
      <c r="CH22" s="13">
        <v>25</v>
      </c>
      <c r="CI22" s="13">
        <v>25</v>
      </c>
      <c r="CJ22" s="8">
        <f t="shared" si="10"/>
        <v>100</v>
      </c>
      <c r="CK22" s="30"/>
      <c r="CL22" s="30"/>
      <c r="CM22" s="14">
        <v>4.1500000000000004</v>
      </c>
      <c r="CN22" s="18" t="s">
        <v>98</v>
      </c>
      <c r="CO22" s="35"/>
      <c r="CP22">
        <f>Form_Responses1[[#This Row],[Column89]]</f>
        <v>0</v>
      </c>
      <c r="CQ22">
        <f>IF(Form_Responses1[[#This Row],[Column94]]&gt;0,Form_Responses1[[#This Row],[Column94]],Form_Responses1[[#This Row],[Column91]])</f>
        <v>4.1500000000000004</v>
      </c>
      <c r="CR22">
        <v>4.1500000000000004</v>
      </c>
    </row>
    <row r="23" spans="1:96" ht="15">
      <c r="A23" s="6">
        <v>45618.489434212963</v>
      </c>
      <c r="B23" s="7">
        <v>0</v>
      </c>
      <c r="C23" s="7" t="s">
        <v>133</v>
      </c>
      <c r="D23" s="7" t="s">
        <v>93</v>
      </c>
      <c r="E23" s="7" t="s">
        <v>100</v>
      </c>
      <c r="F23" s="7" t="s">
        <v>130</v>
      </c>
      <c r="G23" s="7" t="s">
        <v>123</v>
      </c>
      <c r="H23" s="7" t="s">
        <v>120</v>
      </c>
      <c r="I23" s="7">
        <v>4</v>
      </c>
      <c r="J23" s="7">
        <v>4</v>
      </c>
      <c r="K23" s="7">
        <v>4</v>
      </c>
      <c r="L23" s="7">
        <v>4</v>
      </c>
      <c r="M23" s="7">
        <v>4</v>
      </c>
      <c r="N23" s="7">
        <v>4</v>
      </c>
      <c r="O23" s="7">
        <v>4</v>
      </c>
      <c r="P23" s="7">
        <v>5</v>
      </c>
      <c r="Q23" s="7">
        <v>5</v>
      </c>
      <c r="R23" s="7">
        <v>4</v>
      </c>
      <c r="S23" s="7">
        <v>4</v>
      </c>
      <c r="T23" s="7">
        <v>4</v>
      </c>
      <c r="U23" s="7">
        <v>4</v>
      </c>
      <c r="V23" s="7">
        <v>4</v>
      </c>
      <c r="W23" s="7">
        <v>5</v>
      </c>
      <c r="X23" s="7">
        <v>4</v>
      </c>
      <c r="Y23" s="7">
        <v>5</v>
      </c>
      <c r="Z23" s="7">
        <v>4</v>
      </c>
      <c r="AA23" s="7">
        <v>5</v>
      </c>
      <c r="AB23" s="7">
        <v>5</v>
      </c>
      <c r="AC23" s="7">
        <v>70</v>
      </c>
      <c r="AD23" s="7">
        <v>10</v>
      </c>
      <c r="AE23" s="7">
        <v>10</v>
      </c>
      <c r="AF23" s="7">
        <v>10</v>
      </c>
      <c r="AG23" s="8">
        <f t="shared" si="11"/>
        <v>100</v>
      </c>
      <c r="AH23" s="7">
        <v>20</v>
      </c>
      <c r="AI23" s="7">
        <v>10</v>
      </c>
      <c r="AJ23" s="7">
        <v>10</v>
      </c>
      <c r="AK23" s="7">
        <v>60</v>
      </c>
      <c r="AL23" s="8">
        <f t="shared" si="0"/>
        <v>100</v>
      </c>
      <c r="AM23" s="7">
        <v>10</v>
      </c>
      <c r="AN23" s="7">
        <v>10</v>
      </c>
      <c r="AO23" s="7">
        <v>10</v>
      </c>
      <c r="AP23" s="7">
        <v>70</v>
      </c>
      <c r="AQ23" s="8">
        <f t="shared" si="1"/>
        <v>100</v>
      </c>
      <c r="AR23" s="7">
        <v>20</v>
      </c>
      <c r="AS23" s="7">
        <v>10</v>
      </c>
      <c r="AT23" s="7">
        <v>10</v>
      </c>
      <c r="AU23" s="7">
        <v>60</v>
      </c>
      <c r="AV23" s="8">
        <f t="shared" si="2"/>
        <v>100</v>
      </c>
      <c r="AW23" s="7">
        <v>10</v>
      </c>
      <c r="AX23" s="7">
        <v>10</v>
      </c>
      <c r="AY23" s="7">
        <v>60</v>
      </c>
      <c r="AZ23" s="7">
        <v>20</v>
      </c>
      <c r="BA23" s="8">
        <f t="shared" si="3"/>
        <v>100</v>
      </c>
      <c r="BB23" s="7">
        <v>10</v>
      </c>
      <c r="BC23" s="7">
        <v>10</v>
      </c>
      <c r="BD23" s="7">
        <v>60</v>
      </c>
      <c r="BE23" s="7">
        <v>20</v>
      </c>
      <c r="BF23" s="8">
        <f t="shared" si="4"/>
        <v>100</v>
      </c>
      <c r="BG23" s="7">
        <v>70</v>
      </c>
      <c r="BH23" s="7">
        <v>10</v>
      </c>
      <c r="BI23" s="7">
        <v>10</v>
      </c>
      <c r="BJ23" s="7">
        <v>10</v>
      </c>
      <c r="BK23" s="8">
        <f t="shared" si="5"/>
        <v>100</v>
      </c>
      <c r="BL23" s="7">
        <v>60</v>
      </c>
      <c r="BM23" s="7">
        <v>20</v>
      </c>
      <c r="BN23" s="7">
        <v>10</v>
      </c>
      <c r="BO23" s="7">
        <v>10</v>
      </c>
      <c r="BP23" s="8">
        <f t="shared" si="6"/>
        <v>100</v>
      </c>
      <c r="BQ23" s="7">
        <v>20</v>
      </c>
      <c r="BR23" s="7">
        <v>60</v>
      </c>
      <c r="BS23" s="7">
        <v>10</v>
      </c>
      <c r="BT23" s="7">
        <v>10</v>
      </c>
      <c r="BU23" s="8">
        <f t="shared" si="7"/>
        <v>100</v>
      </c>
      <c r="BV23" s="7">
        <v>20</v>
      </c>
      <c r="BW23" s="7">
        <v>50</v>
      </c>
      <c r="BX23" s="7">
        <v>10</v>
      </c>
      <c r="BY23" s="7">
        <v>20</v>
      </c>
      <c r="BZ23" s="8">
        <f t="shared" si="8"/>
        <v>100</v>
      </c>
      <c r="CA23" s="7">
        <v>70</v>
      </c>
      <c r="CB23" s="7">
        <v>10</v>
      </c>
      <c r="CC23" s="7">
        <v>10</v>
      </c>
      <c r="CD23" s="7">
        <v>10</v>
      </c>
      <c r="CE23" s="8">
        <f t="shared" si="9"/>
        <v>100</v>
      </c>
      <c r="CF23" s="7">
        <v>70</v>
      </c>
      <c r="CG23" s="7">
        <v>10</v>
      </c>
      <c r="CH23" s="7">
        <v>10</v>
      </c>
      <c r="CI23" s="7">
        <v>10</v>
      </c>
      <c r="CJ23" s="8">
        <f t="shared" si="10"/>
        <v>100</v>
      </c>
      <c r="CK23" s="9">
        <v>4.71</v>
      </c>
      <c r="CL23" s="10" t="s">
        <v>98</v>
      </c>
      <c r="CM23" s="32"/>
      <c r="CN23" s="32"/>
      <c r="CO23" s="33"/>
      <c r="CP23">
        <f>Form_Responses1[[#This Row],[Column89]]</f>
        <v>4.71</v>
      </c>
      <c r="CQ23">
        <f>IF(Form_Responses1[[#This Row],[Column94]]&gt;0,Form_Responses1[[#This Row],[Column94]],Form_Responses1[[#This Row],[Column91]])</f>
        <v>4.71</v>
      </c>
      <c r="CR23">
        <v>4.71</v>
      </c>
    </row>
    <row r="24" spans="1:96" ht="15">
      <c r="A24" s="12">
        <v>45618.510221631943</v>
      </c>
      <c r="B24" s="13">
        <v>0</v>
      </c>
      <c r="C24" s="13" t="s">
        <v>134</v>
      </c>
      <c r="D24" s="13" t="s">
        <v>93</v>
      </c>
      <c r="E24" s="13" t="s">
        <v>112</v>
      </c>
      <c r="F24" s="13" t="s">
        <v>95</v>
      </c>
      <c r="G24" s="13" t="s">
        <v>123</v>
      </c>
      <c r="H24" s="13" t="s">
        <v>102</v>
      </c>
      <c r="I24" s="13">
        <v>4</v>
      </c>
      <c r="J24" s="13">
        <v>4</v>
      </c>
      <c r="K24" s="13">
        <v>3</v>
      </c>
      <c r="L24" s="13">
        <v>3</v>
      </c>
      <c r="M24" s="13">
        <v>3</v>
      </c>
      <c r="N24" s="13">
        <v>4</v>
      </c>
      <c r="O24" s="13">
        <v>5</v>
      </c>
      <c r="P24" s="13">
        <v>5</v>
      </c>
      <c r="Q24" s="13">
        <v>4</v>
      </c>
      <c r="R24" s="13">
        <v>4</v>
      </c>
      <c r="S24" s="13">
        <v>4</v>
      </c>
      <c r="T24" s="13">
        <v>3</v>
      </c>
      <c r="U24" s="13">
        <v>3</v>
      </c>
      <c r="V24" s="13">
        <v>3</v>
      </c>
      <c r="W24" s="13">
        <v>2</v>
      </c>
      <c r="X24" s="13">
        <v>2</v>
      </c>
      <c r="Y24" s="13">
        <v>3</v>
      </c>
      <c r="Z24" s="13">
        <v>3</v>
      </c>
      <c r="AA24" s="13">
        <v>4</v>
      </c>
      <c r="AB24" s="13">
        <v>4</v>
      </c>
      <c r="AC24" s="13">
        <v>20</v>
      </c>
      <c r="AD24" s="13">
        <v>20</v>
      </c>
      <c r="AE24" s="13">
        <v>20</v>
      </c>
      <c r="AF24" s="13">
        <v>40</v>
      </c>
      <c r="AG24" s="8">
        <f t="shared" si="11"/>
        <v>100</v>
      </c>
      <c r="AH24" s="13">
        <v>10</v>
      </c>
      <c r="AI24" s="13">
        <v>10</v>
      </c>
      <c r="AJ24" s="13">
        <v>40</v>
      </c>
      <c r="AK24" s="13">
        <v>40</v>
      </c>
      <c r="AL24" s="8">
        <f t="shared" si="0"/>
        <v>100</v>
      </c>
      <c r="AM24" s="13">
        <v>20</v>
      </c>
      <c r="AN24" s="13">
        <v>20</v>
      </c>
      <c r="AO24" s="13">
        <v>30</v>
      </c>
      <c r="AP24" s="13">
        <v>30</v>
      </c>
      <c r="AQ24" s="8">
        <f t="shared" si="1"/>
        <v>100</v>
      </c>
      <c r="AR24" s="13">
        <v>10</v>
      </c>
      <c r="AS24" s="13">
        <v>10</v>
      </c>
      <c r="AT24" s="13">
        <v>60</v>
      </c>
      <c r="AU24" s="13">
        <v>20</v>
      </c>
      <c r="AV24" s="8">
        <f t="shared" si="2"/>
        <v>100</v>
      </c>
      <c r="AW24" s="13">
        <v>10</v>
      </c>
      <c r="AX24" s="13">
        <v>10</v>
      </c>
      <c r="AY24" s="13">
        <v>10</v>
      </c>
      <c r="AZ24" s="13">
        <v>70</v>
      </c>
      <c r="BA24" s="8">
        <f t="shared" si="3"/>
        <v>100</v>
      </c>
      <c r="BB24" s="13">
        <v>20</v>
      </c>
      <c r="BC24" s="13">
        <v>20</v>
      </c>
      <c r="BD24" s="13">
        <v>20</v>
      </c>
      <c r="BE24" s="13">
        <v>40</v>
      </c>
      <c r="BF24" s="8">
        <f t="shared" si="4"/>
        <v>100</v>
      </c>
      <c r="BG24" s="13">
        <v>20</v>
      </c>
      <c r="BH24" s="13">
        <v>20</v>
      </c>
      <c r="BI24" s="13">
        <v>30</v>
      </c>
      <c r="BJ24" s="13">
        <v>30</v>
      </c>
      <c r="BK24" s="8">
        <f t="shared" si="5"/>
        <v>100</v>
      </c>
      <c r="BL24" s="13">
        <v>10</v>
      </c>
      <c r="BM24" s="13">
        <v>30</v>
      </c>
      <c r="BN24" s="13">
        <v>20</v>
      </c>
      <c r="BO24" s="13">
        <v>40</v>
      </c>
      <c r="BP24" s="8">
        <f t="shared" si="6"/>
        <v>100</v>
      </c>
      <c r="BQ24" s="13">
        <v>30</v>
      </c>
      <c r="BR24" s="13">
        <v>30</v>
      </c>
      <c r="BS24" s="13">
        <v>20</v>
      </c>
      <c r="BT24" s="13">
        <v>20</v>
      </c>
      <c r="BU24" s="8">
        <f t="shared" si="7"/>
        <v>100</v>
      </c>
      <c r="BV24" s="13">
        <v>10</v>
      </c>
      <c r="BW24" s="13">
        <v>10</v>
      </c>
      <c r="BX24" s="13">
        <v>70</v>
      </c>
      <c r="BY24" s="13">
        <v>10</v>
      </c>
      <c r="BZ24" s="8">
        <f t="shared" si="8"/>
        <v>100</v>
      </c>
      <c r="CA24" s="13">
        <v>40</v>
      </c>
      <c r="CB24" s="13">
        <v>10</v>
      </c>
      <c r="CC24" s="13">
        <v>20</v>
      </c>
      <c r="CD24" s="13">
        <v>30</v>
      </c>
      <c r="CE24" s="8">
        <f t="shared" si="9"/>
        <v>100</v>
      </c>
      <c r="CF24" s="13">
        <v>10</v>
      </c>
      <c r="CG24" s="13">
        <v>20</v>
      </c>
      <c r="CH24" s="13">
        <v>30</v>
      </c>
      <c r="CI24" s="13">
        <v>40</v>
      </c>
      <c r="CJ24" s="8">
        <f t="shared" si="10"/>
        <v>100</v>
      </c>
      <c r="CK24" s="18">
        <v>4.17</v>
      </c>
      <c r="CL24" s="19" t="s">
        <v>98</v>
      </c>
      <c r="CM24" s="18">
        <v>4.47</v>
      </c>
      <c r="CN24" s="19" t="s">
        <v>98</v>
      </c>
      <c r="CO24" s="20"/>
      <c r="CP24">
        <f>Form_Responses1[[#This Row],[Column89]]</f>
        <v>4.17</v>
      </c>
      <c r="CQ24">
        <f>IF(Form_Responses1[[#This Row],[Column94]]&gt;0,Form_Responses1[[#This Row],[Column94]],Form_Responses1[[#This Row],[Column91]])</f>
        <v>4.17</v>
      </c>
      <c r="CR24">
        <v>4.17</v>
      </c>
    </row>
    <row r="25" spans="1:96" ht="15">
      <c r="A25" s="6">
        <v>45618.51026171296</v>
      </c>
      <c r="B25" s="7">
        <v>0</v>
      </c>
      <c r="C25" s="7" t="s">
        <v>135</v>
      </c>
      <c r="D25" s="7" t="s">
        <v>93</v>
      </c>
      <c r="E25" s="7" t="s">
        <v>100</v>
      </c>
      <c r="F25" s="7" t="s">
        <v>130</v>
      </c>
      <c r="G25" s="7" t="s">
        <v>96</v>
      </c>
      <c r="H25" s="7" t="s">
        <v>102</v>
      </c>
      <c r="I25" s="7">
        <v>4</v>
      </c>
      <c r="J25" s="7">
        <v>4</v>
      </c>
      <c r="K25" s="7">
        <v>4</v>
      </c>
      <c r="L25" s="7">
        <v>4</v>
      </c>
      <c r="M25" s="7">
        <v>4</v>
      </c>
      <c r="N25" s="7">
        <v>4</v>
      </c>
      <c r="O25" s="7">
        <v>4</v>
      </c>
      <c r="P25" s="7">
        <v>4</v>
      </c>
      <c r="Q25" s="7">
        <v>4</v>
      </c>
      <c r="R25" s="7">
        <v>4</v>
      </c>
      <c r="S25" s="7">
        <v>3</v>
      </c>
      <c r="T25" s="7">
        <v>4</v>
      </c>
      <c r="U25" s="7">
        <v>3</v>
      </c>
      <c r="V25" s="7">
        <v>3</v>
      </c>
      <c r="W25" s="7">
        <v>3</v>
      </c>
      <c r="X25" s="7">
        <v>4</v>
      </c>
      <c r="Y25" s="7">
        <v>4</v>
      </c>
      <c r="Z25" s="7">
        <v>4</v>
      </c>
      <c r="AA25" s="7">
        <v>4</v>
      </c>
      <c r="AB25" s="7">
        <v>4</v>
      </c>
      <c r="AC25" s="7">
        <v>25</v>
      </c>
      <c r="AD25" s="7">
        <v>25</v>
      </c>
      <c r="AE25" s="7">
        <v>25</v>
      </c>
      <c r="AF25" s="7">
        <v>25</v>
      </c>
      <c r="AG25" s="8">
        <f t="shared" si="11"/>
        <v>100</v>
      </c>
      <c r="AH25" s="7">
        <v>25</v>
      </c>
      <c r="AI25" s="7">
        <v>25</v>
      </c>
      <c r="AJ25" s="7">
        <v>25</v>
      </c>
      <c r="AK25" s="7">
        <v>25</v>
      </c>
      <c r="AL25" s="8">
        <f t="shared" si="0"/>
        <v>100</v>
      </c>
      <c r="AM25" s="7">
        <v>25</v>
      </c>
      <c r="AN25" s="7">
        <v>25</v>
      </c>
      <c r="AO25" s="7">
        <v>25</v>
      </c>
      <c r="AP25" s="7">
        <v>25</v>
      </c>
      <c r="AQ25" s="8">
        <f t="shared" si="1"/>
        <v>100</v>
      </c>
      <c r="AR25" s="7">
        <v>25</v>
      </c>
      <c r="AS25" s="7">
        <v>25</v>
      </c>
      <c r="AT25" s="7">
        <v>25</v>
      </c>
      <c r="AU25" s="7">
        <v>25</v>
      </c>
      <c r="AV25" s="8">
        <f t="shared" si="2"/>
        <v>100</v>
      </c>
      <c r="AW25" s="7">
        <v>25</v>
      </c>
      <c r="AX25" s="7">
        <v>25</v>
      </c>
      <c r="AY25" s="7">
        <v>25</v>
      </c>
      <c r="AZ25" s="7">
        <v>25</v>
      </c>
      <c r="BA25" s="8">
        <f t="shared" si="3"/>
        <v>100</v>
      </c>
      <c r="BB25" s="7">
        <v>25</v>
      </c>
      <c r="BC25" s="7">
        <v>25</v>
      </c>
      <c r="BD25" s="7">
        <v>25</v>
      </c>
      <c r="BE25" s="7">
        <v>25</v>
      </c>
      <c r="BF25" s="8">
        <f t="shared" si="4"/>
        <v>100</v>
      </c>
      <c r="BG25" s="7">
        <v>25</v>
      </c>
      <c r="BH25" s="7">
        <v>25</v>
      </c>
      <c r="BI25" s="7">
        <v>25</v>
      </c>
      <c r="BJ25" s="7">
        <v>25</v>
      </c>
      <c r="BK25" s="8">
        <f t="shared" si="5"/>
        <v>100</v>
      </c>
      <c r="BL25" s="7">
        <v>25</v>
      </c>
      <c r="BM25" s="7">
        <v>25</v>
      </c>
      <c r="BN25" s="7">
        <v>25</v>
      </c>
      <c r="BO25" s="7">
        <v>25</v>
      </c>
      <c r="BP25" s="8">
        <f t="shared" si="6"/>
        <v>100</v>
      </c>
      <c r="BQ25" s="7">
        <v>25</v>
      </c>
      <c r="BR25" s="7">
        <v>25</v>
      </c>
      <c r="BS25" s="7">
        <v>25</v>
      </c>
      <c r="BT25" s="7">
        <v>25</v>
      </c>
      <c r="BU25" s="8">
        <f t="shared" si="7"/>
        <v>100</v>
      </c>
      <c r="BV25" s="7">
        <v>25</v>
      </c>
      <c r="BW25" s="7">
        <v>25</v>
      </c>
      <c r="BX25" s="7">
        <v>25</v>
      </c>
      <c r="BY25" s="7">
        <v>25</v>
      </c>
      <c r="BZ25" s="8">
        <f t="shared" si="8"/>
        <v>100</v>
      </c>
      <c r="CA25" s="7">
        <v>25</v>
      </c>
      <c r="CB25" s="7">
        <v>25</v>
      </c>
      <c r="CC25" s="7">
        <v>25</v>
      </c>
      <c r="CD25" s="7">
        <v>25</v>
      </c>
      <c r="CE25" s="8">
        <f t="shared" si="9"/>
        <v>100</v>
      </c>
      <c r="CF25" s="7">
        <v>25</v>
      </c>
      <c r="CG25" s="7">
        <v>25</v>
      </c>
      <c r="CH25" s="7">
        <v>25</v>
      </c>
      <c r="CI25" s="7">
        <v>25</v>
      </c>
      <c r="CJ25" s="8">
        <f t="shared" si="10"/>
        <v>100</v>
      </c>
      <c r="CK25" s="9">
        <v>4.45</v>
      </c>
      <c r="CL25" s="10" t="s">
        <v>98</v>
      </c>
      <c r="CM25" s="32"/>
      <c r="CN25" s="32"/>
      <c r="CO25" s="33"/>
      <c r="CP25">
        <f>Form_Responses1[[#This Row],[Column89]]</f>
        <v>4.45</v>
      </c>
      <c r="CQ25">
        <f>IF(Form_Responses1[[#This Row],[Column94]]&gt;0,Form_Responses1[[#This Row],[Column94]],Form_Responses1[[#This Row],[Column91]])</f>
        <v>4.45</v>
      </c>
      <c r="CR25">
        <v>4.45</v>
      </c>
    </row>
    <row r="26" spans="1:96" ht="15">
      <c r="A26" s="12">
        <v>45618.510580000002</v>
      </c>
      <c r="B26" s="13">
        <v>0</v>
      </c>
      <c r="C26" s="13" t="s">
        <v>136</v>
      </c>
      <c r="D26" s="13" t="s">
        <v>93</v>
      </c>
      <c r="E26" s="13" t="s">
        <v>112</v>
      </c>
      <c r="F26" s="13" t="s">
        <v>95</v>
      </c>
      <c r="G26" s="13" t="s">
        <v>113</v>
      </c>
      <c r="H26" s="13" t="s">
        <v>120</v>
      </c>
      <c r="I26" s="13">
        <v>4</v>
      </c>
      <c r="J26" s="13">
        <v>4</v>
      </c>
      <c r="K26" s="13">
        <v>5</v>
      </c>
      <c r="L26" s="13">
        <v>4</v>
      </c>
      <c r="M26" s="13">
        <v>5</v>
      </c>
      <c r="N26" s="13">
        <v>4</v>
      </c>
      <c r="O26" s="13">
        <v>5</v>
      </c>
      <c r="P26" s="13">
        <v>4</v>
      </c>
      <c r="Q26" s="13">
        <v>4</v>
      </c>
      <c r="R26" s="13">
        <v>4</v>
      </c>
      <c r="S26" s="13">
        <v>4</v>
      </c>
      <c r="T26" s="13">
        <v>5</v>
      </c>
      <c r="U26" s="13">
        <v>5</v>
      </c>
      <c r="V26" s="13">
        <v>5</v>
      </c>
      <c r="W26" s="13">
        <v>5</v>
      </c>
      <c r="X26" s="13">
        <v>4</v>
      </c>
      <c r="Y26" s="13">
        <v>5</v>
      </c>
      <c r="Z26" s="13">
        <v>5</v>
      </c>
      <c r="AA26" s="13">
        <v>4</v>
      </c>
      <c r="AB26" s="13">
        <v>4</v>
      </c>
      <c r="AC26" s="13">
        <v>20</v>
      </c>
      <c r="AD26" s="13">
        <v>20</v>
      </c>
      <c r="AE26" s="13">
        <v>20</v>
      </c>
      <c r="AF26" s="13">
        <v>40</v>
      </c>
      <c r="AG26" s="8">
        <f t="shared" si="11"/>
        <v>100</v>
      </c>
      <c r="AH26" s="13">
        <v>20</v>
      </c>
      <c r="AI26" s="13">
        <v>20</v>
      </c>
      <c r="AJ26" s="13">
        <v>20</v>
      </c>
      <c r="AK26" s="13">
        <v>40</v>
      </c>
      <c r="AL26" s="8">
        <f t="shared" si="0"/>
        <v>100</v>
      </c>
      <c r="AM26" s="13">
        <v>10</v>
      </c>
      <c r="AN26" s="13">
        <v>10</v>
      </c>
      <c r="AO26" s="13">
        <v>10</v>
      </c>
      <c r="AP26" s="13">
        <v>70</v>
      </c>
      <c r="AQ26" s="8">
        <f t="shared" si="1"/>
        <v>100</v>
      </c>
      <c r="AR26" s="13">
        <v>20</v>
      </c>
      <c r="AS26" s="13">
        <v>20</v>
      </c>
      <c r="AT26" s="13">
        <v>40</v>
      </c>
      <c r="AU26" s="13">
        <v>20</v>
      </c>
      <c r="AV26" s="8">
        <f t="shared" si="2"/>
        <v>100</v>
      </c>
      <c r="AW26" s="13">
        <v>10</v>
      </c>
      <c r="AX26" s="13">
        <v>20</v>
      </c>
      <c r="AY26" s="13">
        <v>20</v>
      </c>
      <c r="AZ26" s="13">
        <v>50</v>
      </c>
      <c r="BA26" s="8">
        <f t="shared" si="3"/>
        <v>100</v>
      </c>
      <c r="BB26" s="13">
        <v>40</v>
      </c>
      <c r="BC26" s="13">
        <v>20</v>
      </c>
      <c r="BD26" s="13">
        <v>20</v>
      </c>
      <c r="BE26" s="13">
        <v>20</v>
      </c>
      <c r="BF26" s="8">
        <f t="shared" si="4"/>
        <v>100</v>
      </c>
      <c r="BG26" s="13">
        <v>40</v>
      </c>
      <c r="BH26" s="13">
        <v>40</v>
      </c>
      <c r="BI26" s="13">
        <v>10</v>
      </c>
      <c r="BJ26" s="13">
        <v>10</v>
      </c>
      <c r="BK26" s="8">
        <f t="shared" si="5"/>
        <v>100</v>
      </c>
      <c r="BL26" s="13">
        <v>30</v>
      </c>
      <c r="BM26" s="13">
        <v>20</v>
      </c>
      <c r="BN26" s="13">
        <v>20</v>
      </c>
      <c r="BO26" s="13">
        <v>30</v>
      </c>
      <c r="BP26" s="8">
        <f t="shared" si="6"/>
        <v>100</v>
      </c>
      <c r="BQ26" s="13">
        <v>20</v>
      </c>
      <c r="BR26" s="13">
        <v>50</v>
      </c>
      <c r="BS26" s="13">
        <v>10</v>
      </c>
      <c r="BT26" s="13">
        <v>20</v>
      </c>
      <c r="BU26" s="8">
        <f t="shared" si="7"/>
        <v>100</v>
      </c>
      <c r="BV26" s="13">
        <v>20</v>
      </c>
      <c r="BW26" s="13">
        <v>20</v>
      </c>
      <c r="BX26" s="13">
        <v>40</v>
      </c>
      <c r="BY26" s="13">
        <v>20</v>
      </c>
      <c r="BZ26" s="8">
        <f t="shared" si="8"/>
        <v>100</v>
      </c>
      <c r="CA26" s="13">
        <v>40</v>
      </c>
      <c r="CB26" s="13">
        <v>20</v>
      </c>
      <c r="CC26" s="13">
        <v>20</v>
      </c>
      <c r="CD26" s="13">
        <v>20</v>
      </c>
      <c r="CE26" s="8">
        <f t="shared" si="9"/>
        <v>100</v>
      </c>
      <c r="CF26" s="13">
        <v>40</v>
      </c>
      <c r="CG26" s="13">
        <v>20</v>
      </c>
      <c r="CH26" s="13">
        <v>20</v>
      </c>
      <c r="CI26" s="13">
        <v>20</v>
      </c>
      <c r="CJ26" s="8">
        <f t="shared" si="10"/>
        <v>100</v>
      </c>
      <c r="CK26" s="28"/>
      <c r="CL26" s="28"/>
      <c r="CM26" s="14">
        <v>4.1500000000000004</v>
      </c>
      <c r="CN26" s="19" t="s">
        <v>98</v>
      </c>
      <c r="CO26" s="20"/>
      <c r="CP26">
        <f>Form_Responses1[[#This Row],[Column89]]</f>
        <v>0</v>
      </c>
      <c r="CQ26">
        <f>IF(Form_Responses1[[#This Row],[Column94]]&gt;0,Form_Responses1[[#This Row],[Column94]],Form_Responses1[[#This Row],[Column91]])</f>
        <v>4.1500000000000004</v>
      </c>
      <c r="CR26">
        <v>4.1500000000000004</v>
      </c>
    </row>
    <row r="27" spans="1:96" ht="15">
      <c r="A27" s="6">
        <v>45618.514169097223</v>
      </c>
      <c r="B27" s="7">
        <v>0</v>
      </c>
      <c r="C27" s="7" t="s">
        <v>137</v>
      </c>
      <c r="D27" s="7" t="s">
        <v>93</v>
      </c>
      <c r="E27" s="7" t="s">
        <v>112</v>
      </c>
      <c r="F27" s="7" t="s">
        <v>95</v>
      </c>
      <c r="G27" s="7" t="s">
        <v>109</v>
      </c>
      <c r="H27" s="7" t="s">
        <v>102</v>
      </c>
      <c r="I27" s="7">
        <v>4</v>
      </c>
      <c r="J27" s="7">
        <v>4</v>
      </c>
      <c r="K27" s="7">
        <v>4</v>
      </c>
      <c r="L27" s="7">
        <v>4</v>
      </c>
      <c r="M27" s="7">
        <v>4</v>
      </c>
      <c r="N27" s="7">
        <v>4</v>
      </c>
      <c r="O27" s="7">
        <v>4</v>
      </c>
      <c r="P27" s="7">
        <v>4</v>
      </c>
      <c r="Q27" s="7">
        <v>4</v>
      </c>
      <c r="R27" s="7">
        <v>4</v>
      </c>
      <c r="S27" s="7">
        <v>4</v>
      </c>
      <c r="T27" s="7">
        <v>4</v>
      </c>
      <c r="U27" s="7">
        <v>4</v>
      </c>
      <c r="V27" s="7">
        <v>4</v>
      </c>
      <c r="W27" s="7">
        <v>4</v>
      </c>
      <c r="X27" s="7">
        <v>4</v>
      </c>
      <c r="Y27" s="7">
        <v>4</v>
      </c>
      <c r="Z27" s="7">
        <v>4</v>
      </c>
      <c r="AA27" s="7">
        <v>4</v>
      </c>
      <c r="AB27" s="7">
        <v>4</v>
      </c>
      <c r="AC27" s="7">
        <v>30</v>
      </c>
      <c r="AD27" s="7">
        <v>30</v>
      </c>
      <c r="AE27" s="7">
        <v>20</v>
      </c>
      <c r="AF27" s="7">
        <v>20</v>
      </c>
      <c r="AG27" s="8">
        <f t="shared" si="11"/>
        <v>100</v>
      </c>
      <c r="AH27" s="7">
        <v>70</v>
      </c>
      <c r="AI27" s="7">
        <v>10</v>
      </c>
      <c r="AJ27" s="7">
        <v>10</v>
      </c>
      <c r="AK27" s="7">
        <v>10</v>
      </c>
      <c r="AL27" s="8">
        <f t="shared" si="0"/>
        <v>100</v>
      </c>
      <c r="AM27" s="7">
        <v>10</v>
      </c>
      <c r="AN27" s="7">
        <v>10</v>
      </c>
      <c r="AO27" s="7">
        <v>10</v>
      </c>
      <c r="AP27" s="7">
        <v>70</v>
      </c>
      <c r="AQ27" s="8">
        <f t="shared" si="1"/>
        <v>100</v>
      </c>
      <c r="AR27" s="7">
        <v>10</v>
      </c>
      <c r="AS27" s="7">
        <v>10</v>
      </c>
      <c r="AT27" s="7">
        <v>10</v>
      </c>
      <c r="AU27" s="7">
        <v>70</v>
      </c>
      <c r="AV27" s="8">
        <f t="shared" si="2"/>
        <v>100</v>
      </c>
      <c r="AW27" s="7">
        <v>10</v>
      </c>
      <c r="AX27" s="7">
        <v>10</v>
      </c>
      <c r="AY27" s="7">
        <v>70</v>
      </c>
      <c r="AZ27" s="7">
        <v>10</v>
      </c>
      <c r="BA27" s="8">
        <f t="shared" si="3"/>
        <v>100</v>
      </c>
      <c r="BB27" s="7">
        <v>10</v>
      </c>
      <c r="BC27" s="7">
        <v>10</v>
      </c>
      <c r="BD27" s="7">
        <v>10</v>
      </c>
      <c r="BE27" s="7">
        <v>70</v>
      </c>
      <c r="BF27" s="8">
        <f t="shared" si="4"/>
        <v>100</v>
      </c>
      <c r="BG27" s="7">
        <v>70</v>
      </c>
      <c r="BH27" s="7">
        <v>10</v>
      </c>
      <c r="BI27" s="7">
        <v>10</v>
      </c>
      <c r="BJ27" s="7">
        <v>10</v>
      </c>
      <c r="BK27" s="8">
        <f t="shared" si="5"/>
        <v>100</v>
      </c>
      <c r="BL27" s="7">
        <v>70</v>
      </c>
      <c r="BM27" s="7">
        <v>10</v>
      </c>
      <c r="BN27" s="7">
        <v>10</v>
      </c>
      <c r="BO27" s="7">
        <v>10</v>
      </c>
      <c r="BP27" s="8">
        <f t="shared" si="6"/>
        <v>100</v>
      </c>
      <c r="BQ27" s="7">
        <v>10</v>
      </c>
      <c r="BR27" s="7">
        <v>70</v>
      </c>
      <c r="BS27" s="7">
        <v>10</v>
      </c>
      <c r="BT27" s="7">
        <v>10</v>
      </c>
      <c r="BU27" s="8">
        <f t="shared" si="7"/>
        <v>100</v>
      </c>
      <c r="BV27" s="7">
        <v>10</v>
      </c>
      <c r="BW27" s="7">
        <v>70</v>
      </c>
      <c r="BX27" s="7">
        <v>10</v>
      </c>
      <c r="BY27" s="7">
        <v>10</v>
      </c>
      <c r="BZ27" s="8">
        <f t="shared" si="8"/>
        <v>100</v>
      </c>
      <c r="CA27" s="7">
        <v>70</v>
      </c>
      <c r="CB27" s="7">
        <v>10</v>
      </c>
      <c r="CC27" s="7">
        <v>10</v>
      </c>
      <c r="CD27" s="7">
        <v>10</v>
      </c>
      <c r="CE27" s="8">
        <f t="shared" si="9"/>
        <v>100</v>
      </c>
      <c r="CF27" s="7">
        <v>70</v>
      </c>
      <c r="CG27" s="7">
        <v>10</v>
      </c>
      <c r="CH27" s="7">
        <v>10</v>
      </c>
      <c r="CI27" s="7">
        <v>10</v>
      </c>
      <c r="CJ27" s="8">
        <f t="shared" si="10"/>
        <v>100</v>
      </c>
      <c r="CK27" s="16">
        <v>4.46</v>
      </c>
      <c r="CL27" s="10" t="s">
        <v>98</v>
      </c>
      <c r="CM27" s="21"/>
      <c r="CN27" s="21"/>
      <c r="CO27" s="22"/>
      <c r="CP27">
        <f>Form_Responses1[[#This Row],[Column89]]</f>
        <v>4.46</v>
      </c>
      <c r="CQ27">
        <f>IF(Form_Responses1[[#This Row],[Column94]]&gt;0,Form_Responses1[[#This Row],[Column94]],Form_Responses1[[#This Row],[Column91]])</f>
        <v>4.46</v>
      </c>
      <c r="CR27">
        <v>4.46</v>
      </c>
    </row>
    <row r="28" spans="1:96" ht="15">
      <c r="A28" s="12">
        <v>45618.515634490745</v>
      </c>
      <c r="B28" s="13">
        <v>0</v>
      </c>
      <c r="C28" s="13" t="s">
        <v>138</v>
      </c>
      <c r="D28" s="13" t="s">
        <v>107</v>
      </c>
      <c r="E28" s="13" t="s">
        <v>94</v>
      </c>
      <c r="F28" s="13" t="s">
        <v>95</v>
      </c>
      <c r="G28" s="13" t="s">
        <v>96</v>
      </c>
      <c r="H28" s="13" t="s">
        <v>104</v>
      </c>
      <c r="I28" s="13">
        <v>5</v>
      </c>
      <c r="J28" s="13">
        <v>5</v>
      </c>
      <c r="K28" s="13">
        <v>5</v>
      </c>
      <c r="L28" s="13">
        <v>5</v>
      </c>
      <c r="M28" s="13">
        <v>5</v>
      </c>
      <c r="N28" s="13">
        <v>4</v>
      </c>
      <c r="O28" s="13">
        <v>5</v>
      </c>
      <c r="P28" s="13">
        <v>4</v>
      </c>
      <c r="Q28" s="13">
        <v>5</v>
      </c>
      <c r="R28" s="13">
        <v>5</v>
      </c>
      <c r="S28" s="13">
        <v>5</v>
      </c>
      <c r="T28" s="13">
        <v>5</v>
      </c>
      <c r="U28" s="13">
        <v>5</v>
      </c>
      <c r="V28" s="13">
        <v>5</v>
      </c>
      <c r="W28" s="13">
        <v>5</v>
      </c>
      <c r="X28" s="13">
        <v>5</v>
      </c>
      <c r="Y28" s="13">
        <v>5</v>
      </c>
      <c r="Z28" s="13">
        <v>5</v>
      </c>
      <c r="AA28" s="13">
        <v>5</v>
      </c>
      <c r="AB28" s="13">
        <v>5</v>
      </c>
      <c r="AC28" s="13">
        <v>10</v>
      </c>
      <c r="AD28" s="13">
        <v>30</v>
      </c>
      <c r="AE28" s="13">
        <v>30</v>
      </c>
      <c r="AF28" s="13">
        <v>30</v>
      </c>
      <c r="AG28" s="8">
        <f t="shared" si="11"/>
        <v>100</v>
      </c>
      <c r="AH28" s="13">
        <v>30</v>
      </c>
      <c r="AI28" s="13">
        <v>10</v>
      </c>
      <c r="AJ28" s="13">
        <v>30</v>
      </c>
      <c r="AK28" s="13">
        <v>30</v>
      </c>
      <c r="AL28" s="8">
        <f t="shared" si="0"/>
        <v>100</v>
      </c>
      <c r="AM28" s="13">
        <v>30</v>
      </c>
      <c r="AN28" s="13">
        <v>20</v>
      </c>
      <c r="AO28" s="13">
        <v>20</v>
      </c>
      <c r="AP28" s="13">
        <v>30</v>
      </c>
      <c r="AQ28" s="8">
        <f t="shared" si="1"/>
        <v>100</v>
      </c>
      <c r="AR28" s="13">
        <v>20</v>
      </c>
      <c r="AS28" s="13">
        <v>20</v>
      </c>
      <c r="AT28" s="13">
        <v>30</v>
      </c>
      <c r="AU28" s="13">
        <v>30</v>
      </c>
      <c r="AV28" s="8">
        <f t="shared" si="2"/>
        <v>100</v>
      </c>
      <c r="AW28" s="13">
        <v>30</v>
      </c>
      <c r="AX28" s="13">
        <v>30</v>
      </c>
      <c r="AY28" s="13">
        <v>30</v>
      </c>
      <c r="AZ28" s="13">
        <v>10</v>
      </c>
      <c r="BA28" s="8">
        <f t="shared" si="3"/>
        <v>100</v>
      </c>
      <c r="BB28" s="13">
        <v>20</v>
      </c>
      <c r="BC28" s="13">
        <v>20</v>
      </c>
      <c r="BD28" s="13">
        <v>30</v>
      </c>
      <c r="BE28" s="13">
        <v>30</v>
      </c>
      <c r="BF28" s="8">
        <f t="shared" si="4"/>
        <v>100</v>
      </c>
      <c r="BG28" s="13">
        <v>30</v>
      </c>
      <c r="BH28" s="13">
        <v>30</v>
      </c>
      <c r="BI28" s="13">
        <v>20</v>
      </c>
      <c r="BJ28" s="13">
        <v>20</v>
      </c>
      <c r="BK28" s="8">
        <f t="shared" si="5"/>
        <v>100</v>
      </c>
      <c r="BL28" s="13">
        <v>30</v>
      </c>
      <c r="BM28" s="13">
        <v>30</v>
      </c>
      <c r="BN28" s="13">
        <v>20</v>
      </c>
      <c r="BO28" s="13">
        <v>20</v>
      </c>
      <c r="BP28" s="8">
        <f t="shared" si="6"/>
        <v>100</v>
      </c>
      <c r="BQ28" s="13">
        <v>30</v>
      </c>
      <c r="BR28" s="13">
        <v>30</v>
      </c>
      <c r="BS28" s="13">
        <v>20</v>
      </c>
      <c r="BT28" s="13">
        <v>20</v>
      </c>
      <c r="BU28" s="8">
        <f t="shared" si="7"/>
        <v>100</v>
      </c>
      <c r="BV28" s="13">
        <v>30</v>
      </c>
      <c r="BW28" s="13">
        <v>30</v>
      </c>
      <c r="BX28" s="13">
        <v>20</v>
      </c>
      <c r="BY28" s="13">
        <v>20</v>
      </c>
      <c r="BZ28" s="8">
        <f t="shared" si="8"/>
        <v>100</v>
      </c>
      <c r="CA28" s="13">
        <v>30</v>
      </c>
      <c r="CB28" s="13">
        <v>20</v>
      </c>
      <c r="CC28" s="13">
        <v>20</v>
      </c>
      <c r="CD28" s="13">
        <v>30</v>
      </c>
      <c r="CE28" s="8">
        <f t="shared" si="9"/>
        <v>100</v>
      </c>
      <c r="CF28" s="13">
        <v>30</v>
      </c>
      <c r="CG28" s="13">
        <v>20</v>
      </c>
      <c r="CH28" s="13">
        <v>20</v>
      </c>
      <c r="CI28" s="13">
        <v>30</v>
      </c>
      <c r="CJ28" s="8">
        <f t="shared" si="10"/>
        <v>100</v>
      </c>
      <c r="CK28" s="14">
        <v>4.91</v>
      </c>
      <c r="CL28" s="19" t="s">
        <v>98</v>
      </c>
      <c r="CM28" s="30" t="s">
        <v>139</v>
      </c>
      <c r="CN28" s="23"/>
      <c r="CO28" s="24"/>
      <c r="CP28">
        <f>Form_Responses1[[#This Row],[Column89]]</f>
        <v>4.91</v>
      </c>
      <c r="CQ28">
        <f>IF(Form_Responses1[[#This Row],[Column94]]&gt;0,Form_Responses1[[#This Row],[Column94]],Form_Responses1[[#This Row],[Column91]])</f>
        <v>4.91</v>
      </c>
      <c r="CR28">
        <v>4.91</v>
      </c>
    </row>
    <row r="29" spans="1:96" ht="15">
      <c r="A29" s="6">
        <v>45618.529426469904</v>
      </c>
      <c r="B29" s="7">
        <v>0</v>
      </c>
      <c r="C29" s="7" t="s">
        <v>140</v>
      </c>
      <c r="D29" s="7" t="s">
        <v>107</v>
      </c>
      <c r="E29" s="7" t="s">
        <v>112</v>
      </c>
      <c r="F29" s="7" t="s">
        <v>101</v>
      </c>
      <c r="G29" s="7" t="s">
        <v>109</v>
      </c>
      <c r="H29" s="7" t="s">
        <v>120</v>
      </c>
      <c r="I29" s="7">
        <v>4</v>
      </c>
      <c r="J29" s="7">
        <v>3</v>
      </c>
      <c r="K29" s="7">
        <v>4</v>
      </c>
      <c r="L29" s="7">
        <v>3</v>
      </c>
      <c r="M29" s="7">
        <v>2</v>
      </c>
      <c r="N29" s="7">
        <v>4</v>
      </c>
      <c r="O29" s="7">
        <v>4</v>
      </c>
      <c r="P29" s="7">
        <v>2</v>
      </c>
      <c r="Q29" s="7">
        <v>3</v>
      </c>
      <c r="R29" s="7">
        <v>4</v>
      </c>
      <c r="S29" s="7">
        <v>4</v>
      </c>
      <c r="T29" s="7">
        <v>3</v>
      </c>
      <c r="U29" s="7">
        <v>2</v>
      </c>
      <c r="V29" s="7">
        <v>2</v>
      </c>
      <c r="W29" s="7">
        <v>4</v>
      </c>
      <c r="X29" s="7">
        <v>3</v>
      </c>
      <c r="Y29" s="7">
        <v>3</v>
      </c>
      <c r="Z29" s="7">
        <v>4</v>
      </c>
      <c r="AA29" s="7">
        <v>4</v>
      </c>
      <c r="AB29" s="7">
        <v>4</v>
      </c>
      <c r="AC29" s="7">
        <v>30</v>
      </c>
      <c r="AD29" s="7">
        <v>20</v>
      </c>
      <c r="AE29" s="7">
        <v>40</v>
      </c>
      <c r="AF29" s="7">
        <v>10</v>
      </c>
      <c r="AG29" s="8">
        <f t="shared" si="11"/>
        <v>100</v>
      </c>
      <c r="AH29" s="7">
        <v>20</v>
      </c>
      <c r="AI29" s="7">
        <v>30</v>
      </c>
      <c r="AJ29" s="7">
        <v>30</v>
      </c>
      <c r="AK29" s="7">
        <v>20</v>
      </c>
      <c r="AL29" s="8">
        <f t="shared" si="0"/>
        <v>100</v>
      </c>
      <c r="AM29" s="7">
        <v>40</v>
      </c>
      <c r="AN29" s="7">
        <v>15</v>
      </c>
      <c r="AO29" s="7">
        <v>30</v>
      </c>
      <c r="AP29" s="7">
        <v>15</v>
      </c>
      <c r="AQ29" s="8">
        <f t="shared" si="1"/>
        <v>100</v>
      </c>
      <c r="AR29" s="7">
        <v>20</v>
      </c>
      <c r="AS29" s="7">
        <v>20</v>
      </c>
      <c r="AT29" s="7">
        <v>30</v>
      </c>
      <c r="AU29" s="7">
        <v>30</v>
      </c>
      <c r="AV29" s="8">
        <f t="shared" si="2"/>
        <v>100</v>
      </c>
      <c r="AW29" s="7">
        <v>30</v>
      </c>
      <c r="AX29" s="7">
        <v>20</v>
      </c>
      <c r="AY29" s="7">
        <v>30</v>
      </c>
      <c r="AZ29" s="7">
        <v>20</v>
      </c>
      <c r="BA29" s="8">
        <f t="shared" si="3"/>
        <v>100</v>
      </c>
      <c r="BB29" s="7">
        <v>30</v>
      </c>
      <c r="BC29" s="7">
        <v>10</v>
      </c>
      <c r="BD29" s="7">
        <v>30</v>
      </c>
      <c r="BE29" s="7">
        <v>30</v>
      </c>
      <c r="BF29" s="8">
        <f t="shared" si="4"/>
        <v>100</v>
      </c>
      <c r="BG29" s="7">
        <v>30</v>
      </c>
      <c r="BH29" s="7">
        <v>20</v>
      </c>
      <c r="BI29" s="7">
        <v>20</v>
      </c>
      <c r="BJ29" s="7">
        <v>30</v>
      </c>
      <c r="BK29" s="8">
        <f t="shared" si="5"/>
        <v>100</v>
      </c>
      <c r="BL29" s="7">
        <v>20</v>
      </c>
      <c r="BM29" s="7">
        <v>30</v>
      </c>
      <c r="BN29" s="7">
        <v>30</v>
      </c>
      <c r="BO29" s="7">
        <v>20</v>
      </c>
      <c r="BP29" s="8">
        <f t="shared" si="6"/>
        <v>100</v>
      </c>
      <c r="BQ29" s="7">
        <v>25</v>
      </c>
      <c r="BR29" s="7">
        <v>25</v>
      </c>
      <c r="BS29" s="7">
        <v>25</v>
      </c>
      <c r="BT29" s="7">
        <v>25</v>
      </c>
      <c r="BU29" s="8">
        <f t="shared" si="7"/>
        <v>100</v>
      </c>
      <c r="BV29" s="7">
        <v>25</v>
      </c>
      <c r="BW29" s="7">
        <v>25</v>
      </c>
      <c r="BX29" s="7">
        <v>25</v>
      </c>
      <c r="BY29" s="7">
        <v>25</v>
      </c>
      <c r="BZ29" s="8">
        <f t="shared" si="8"/>
        <v>100</v>
      </c>
      <c r="CA29" s="7">
        <v>20</v>
      </c>
      <c r="CB29" s="7">
        <v>40</v>
      </c>
      <c r="CC29" s="7">
        <v>20</v>
      </c>
      <c r="CD29" s="7">
        <v>20</v>
      </c>
      <c r="CE29" s="8">
        <f t="shared" si="9"/>
        <v>100</v>
      </c>
      <c r="CF29" s="7">
        <v>30</v>
      </c>
      <c r="CG29" s="7">
        <v>30</v>
      </c>
      <c r="CH29" s="7">
        <v>20</v>
      </c>
      <c r="CI29" s="7">
        <v>20</v>
      </c>
      <c r="CJ29" s="8">
        <f t="shared" si="10"/>
        <v>100</v>
      </c>
      <c r="CK29" s="9">
        <v>4.1100000000000003</v>
      </c>
      <c r="CL29" s="9" t="s">
        <v>98</v>
      </c>
      <c r="CM29" s="25"/>
      <c r="CN29" s="25"/>
      <c r="CO29" s="26"/>
      <c r="CP29">
        <f>Form_Responses1[[#This Row],[Column89]]</f>
        <v>4.1100000000000003</v>
      </c>
      <c r="CQ29">
        <f>IF(Form_Responses1[[#This Row],[Column94]]&gt;0,Form_Responses1[[#This Row],[Column94]],Form_Responses1[[#This Row],[Column91]])</f>
        <v>4.1100000000000003</v>
      </c>
      <c r="CR29">
        <v>4.1100000000000003</v>
      </c>
    </row>
    <row r="30" spans="1:96" ht="15">
      <c r="A30" s="12">
        <v>45618.530364548613</v>
      </c>
      <c r="B30" s="13">
        <v>0</v>
      </c>
      <c r="C30" s="13" t="s">
        <v>141</v>
      </c>
      <c r="D30" s="13" t="s">
        <v>107</v>
      </c>
      <c r="E30" s="13" t="s">
        <v>100</v>
      </c>
      <c r="F30" s="13" t="s">
        <v>130</v>
      </c>
      <c r="G30" s="13" t="s">
        <v>96</v>
      </c>
      <c r="H30" s="13" t="s">
        <v>102</v>
      </c>
      <c r="I30" s="13">
        <v>4</v>
      </c>
      <c r="J30" s="13">
        <v>4</v>
      </c>
      <c r="K30" s="13">
        <v>3</v>
      </c>
      <c r="L30" s="13">
        <v>3</v>
      </c>
      <c r="M30" s="13">
        <v>4</v>
      </c>
      <c r="N30" s="13">
        <v>4</v>
      </c>
      <c r="O30" s="13">
        <v>4</v>
      </c>
      <c r="P30" s="13">
        <v>4</v>
      </c>
      <c r="Q30" s="13">
        <v>4</v>
      </c>
      <c r="R30" s="13">
        <v>4</v>
      </c>
      <c r="S30" s="13">
        <v>4</v>
      </c>
      <c r="T30" s="13">
        <v>4</v>
      </c>
      <c r="U30" s="13">
        <v>4</v>
      </c>
      <c r="V30" s="13">
        <v>4</v>
      </c>
      <c r="W30" s="13">
        <v>4</v>
      </c>
      <c r="X30" s="13">
        <v>4</v>
      </c>
      <c r="Y30" s="13">
        <v>4</v>
      </c>
      <c r="Z30" s="13">
        <v>4</v>
      </c>
      <c r="AA30" s="13">
        <v>4</v>
      </c>
      <c r="AB30" s="13">
        <v>4</v>
      </c>
      <c r="AC30" s="13">
        <v>10</v>
      </c>
      <c r="AD30" s="13">
        <v>30</v>
      </c>
      <c r="AE30" s="13">
        <v>30</v>
      </c>
      <c r="AF30" s="13">
        <v>30</v>
      </c>
      <c r="AG30" s="8">
        <f t="shared" si="11"/>
        <v>100</v>
      </c>
      <c r="AH30" s="13">
        <v>20</v>
      </c>
      <c r="AI30" s="13">
        <v>20</v>
      </c>
      <c r="AJ30" s="13">
        <v>20</v>
      </c>
      <c r="AK30" s="13">
        <v>40</v>
      </c>
      <c r="AL30" s="8">
        <f t="shared" si="0"/>
        <v>100</v>
      </c>
      <c r="AM30" s="13">
        <v>25</v>
      </c>
      <c r="AN30" s="13">
        <v>25</v>
      </c>
      <c r="AO30" s="13">
        <v>25</v>
      </c>
      <c r="AP30" s="13">
        <v>25</v>
      </c>
      <c r="AQ30" s="8">
        <f t="shared" si="1"/>
        <v>100</v>
      </c>
      <c r="AR30" s="13">
        <v>25</v>
      </c>
      <c r="AS30" s="13">
        <v>25</v>
      </c>
      <c r="AT30" s="13">
        <v>25</v>
      </c>
      <c r="AU30" s="13">
        <v>25</v>
      </c>
      <c r="AV30" s="8">
        <f t="shared" si="2"/>
        <v>100</v>
      </c>
      <c r="AW30" s="13">
        <v>10</v>
      </c>
      <c r="AX30" s="13">
        <v>20</v>
      </c>
      <c r="AY30" s="13">
        <v>35</v>
      </c>
      <c r="AZ30" s="13">
        <v>35</v>
      </c>
      <c r="BA30" s="8">
        <f t="shared" si="3"/>
        <v>100</v>
      </c>
      <c r="BB30" s="13">
        <v>10</v>
      </c>
      <c r="BC30" s="13">
        <v>30</v>
      </c>
      <c r="BD30" s="13">
        <v>30</v>
      </c>
      <c r="BE30" s="13">
        <v>30</v>
      </c>
      <c r="BF30" s="8">
        <f t="shared" si="4"/>
        <v>100</v>
      </c>
      <c r="BG30" s="13">
        <v>20</v>
      </c>
      <c r="BH30" s="13">
        <v>40</v>
      </c>
      <c r="BI30" s="13">
        <v>20</v>
      </c>
      <c r="BJ30" s="13">
        <v>20</v>
      </c>
      <c r="BK30" s="8">
        <f t="shared" si="5"/>
        <v>100</v>
      </c>
      <c r="BL30" s="13">
        <v>25</v>
      </c>
      <c r="BM30" s="13">
        <v>25</v>
      </c>
      <c r="BN30" s="13">
        <v>25</v>
      </c>
      <c r="BO30" s="13">
        <v>25</v>
      </c>
      <c r="BP30" s="8">
        <f t="shared" si="6"/>
        <v>100</v>
      </c>
      <c r="BQ30" s="13">
        <v>25</v>
      </c>
      <c r="BR30" s="13">
        <v>25</v>
      </c>
      <c r="BS30" s="13">
        <v>25</v>
      </c>
      <c r="BT30" s="13">
        <v>25</v>
      </c>
      <c r="BU30" s="8">
        <f t="shared" si="7"/>
        <v>100</v>
      </c>
      <c r="BV30" s="13">
        <v>25</v>
      </c>
      <c r="BW30" s="13">
        <v>25</v>
      </c>
      <c r="BX30" s="13">
        <v>25</v>
      </c>
      <c r="BY30" s="13">
        <v>25</v>
      </c>
      <c r="BZ30" s="8">
        <f t="shared" si="8"/>
        <v>100</v>
      </c>
      <c r="CA30" s="13">
        <v>25</v>
      </c>
      <c r="CB30" s="13">
        <v>25</v>
      </c>
      <c r="CC30" s="13">
        <v>25</v>
      </c>
      <c r="CD30" s="13">
        <v>25</v>
      </c>
      <c r="CE30" s="8">
        <f t="shared" si="9"/>
        <v>100</v>
      </c>
      <c r="CF30" s="13">
        <v>25</v>
      </c>
      <c r="CG30" s="13">
        <v>25</v>
      </c>
      <c r="CH30" s="13">
        <v>25</v>
      </c>
      <c r="CI30" s="13">
        <v>25</v>
      </c>
      <c r="CJ30" s="8">
        <f t="shared" si="10"/>
        <v>100</v>
      </c>
      <c r="CK30" s="14">
        <v>4.25</v>
      </c>
      <c r="CL30" s="19" t="s">
        <v>98</v>
      </c>
      <c r="CM30" s="23"/>
      <c r="CN30" s="23"/>
      <c r="CO30" s="24"/>
      <c r="CP30">
        <f>Form_Responses1[[#This Row],[Column89]]</f>
        <v>4.25</v>
      </c>
      <c r="CQ30">
        <f>IF(Form_Responses1[[#This Row],[Column94]]&gt;0,Form_Responses1[[#This Row],[Column94]],Form_Responses1[[#This Row],[Column91]])</f>
        <v>4.25</v>
      </c>
      <c r="CR30">
        <v>4.25</v>
      </c>
    </row>
    <row r="31" spans="1:96" ht="15">
      <c r="A31" s="6">
        <v>45618.538154513888</v>
      </c>
      <c r="B31" s="7">
        <v>0</v>
      </c>
      <c r="C31" s="7" t="s">
        <v>142</v>
      </c>
      <c r="D31" s="7" t="s">
        <v>93</v>
      </c>
      <c r="E31" s="7" t="s">
        <v>112</v>
      </c>
      <c r="F31" s="7" t="s">
        <v>130</v>
      </c>
      <c r="G31" s="7" t="s">
        <v>123</v>
      </c>
      <c r="H31" s="7" t="s">
        <v>102</v>
      </c>
      <c r="I31" s="7">
        <v>4</v>
      </c>
      <c r="J31" s="7">
        <v>4</v>
      </c>
      <c r="K31" s="7">
        <v>4</v>
      </c>
      <c r="L31" s="7">
        <v>4</v>
      </c>
      <c r="M31" s="7">
        <v>5</v>
      </c>
      <c r="N31" s="7">
        <v>4</v>
      </c>
      <c r="O31" s="7">
        <v>5</v>
      </c>
      <c r="P31" s="7">
        <v>4</v>
      </c>
      <c r="Q31" s="7">
        <v>5</v>
      </c>
      <c r="R31" s="7">
        <v>4</v>
      </c>
      <c r="S31" s="7">
        <v>4</v>
      </c>
      <c r="T31" s="7">
        <v>5</v>
      </c>
      <c r="U31" s="7">
        <v>5</v>
      </c>
      <c r="V31" s="7">
        <v>4</v>
      </c>
      <c r="W31" s="7">
        <v>4</v>
      </c>
      <c r="X31" s="7">
        <v>3</v>
      </c>
      <c r="Y31" s="7">
        <v>4</v>
      </c>
      <c r="Z31" s="7">
        <v>3</v>
      </c>
      <c r="AA31" s="7">
        <v>4</v>
      </c>
      <c r="AB31" s="7">
        <v>4</v>
      </c>
      <c r="AC31" s="7">
        <v>30</v>
      </c>
      <c r="AD31" s="7">
        <v>30</v>
      </c>
      <c r="AE31" s="7">
        <v>10</v>
      </c>
      <c r="AF31" s="7">
        <v>30</v>
      </c>
      <c r="AG31" s="8">
        <f t="shared" si="11"/>
        <v>100</v>
      </c>
      <c r="AH31" s="7">
        <v>20</v>
      </c>
      <c r="AI31" s="7">
        <v>20</v>
      </c>
      <c r="AJ31" s="7">
        <v>20</v>
      </c>
      <c r="AK31" s="7">
        <v>40</v>
      </c>
      <c r="AL31" s="8">
        <f t="shared" si="0"/>
        <v>100</v>
      </c>
      <c r="AM31" s="7">
        <v>25</v>
      </c>
      <c r="AN31" s="7">
        <v>25</v>
      </c>
      <c r="AO31" s="7">
        <v>25</v>
      </c>
      <c r="AP31" s="7">
        <v>25</v>
      </c>
      <c r="AQ31" s="8">
        <f t="shared" si="1"/>
        <v>100</v>
      </c>
      <c r="AR31" s="7">
        <v>30</v>
      </c>
      <c r="AS31" s="7">
        <v>30</v>
      </c>
      <c r="AT31" s="7">
        <v>30</v>
      </c>
      <c r="AU31" s="7">
        <v>10</v>
      </c>
      <c r="AV31" s="8">
        <f t="shared" si="2"/>
        <v>100</v>
      </c>
      <c r="AW31" s="7">
        <v>10</v>
      </c>
      <c r="AX31" s="7">
        <v>30</v>
      </c>
      <c r="AY31" s="7">
        <v>30</v>
      </c>
      <c r="AZ31" s="7">
        <v>30</v>
      </c>
      <c r="BA31" s="8">
        <f t="shared" si="3"/>
        <v>100</v>
      </c>
      <c r="BB31" s="7">
        <v>10</v>
      </c>
      <c r="BC31" s="7">
        <v>30</v>
      </c>
      <c r="BD31" s="7">
        <v>30</v>
      </c>
      <c r="BE31" s="7">
        <v>30</v>
      </c>
      <c r="BF31" s="8">
        <f t="shared" si="4"/>
        <v>100</v>
      </c>
      <c r="BG31" s="7">
        <v>30</v>
      </c>
      <c r="BH31" s="7">
        <v>30</v>
      </c>
      <c r="BI31" s="7">
        <v>10</v>
      </c>
      <c r="BJ31" s="7">
        <v>30</v>
      </c>
      <c r="BK31" s="8">
        <f t="shared" si="5"/>
        <v>100</v>
      </c>
      <c r="BL31" s="7">
        <v>20</v>
      </c>
      <c r="BM31" s="7">
        <v>30</v>
      </c>
      <c r="BN31" s="7">
        <v>20</v>
      </c>
      <c r="BO31" s="7">
        <v>30</v>
      </c>
      <c r="BP31" s="8">
        <f t="shared" si="6"/>
        <v>100</v>
      </c>
      <c r="BQ31" s="7">
        <v>25</v>
      </c>
      <c r="BR31" s="7">
        <v>25</v>
      </c>
      <c r="BS31" s="7">
        <v>25</v>
      </c>
      <c r="BT31" s="7">
        <v>25</v>
      </c>
      <c r="BU31" s="8">
        <f t="shared" si="7"/>
        <v>100</v>
      </c>
      <c r="BV31" s="7">
        <v>20</v>
      </c>
      <c r="BW31" s="7">
        <v>20</v>
      </c>
      <c r="BX31" s="7">
        <v>40</v>
      </c>
      <c r="BY31" s="7">
        <v>20</v>
      </c>
      <c r="BZ31" s="8">
        <f t="shared" si="8"/>
        <v>100</v>
      </c>
      <c r="CA31" s="7">
        <v>50</v>
      </c>
      <c r="CB31" s="7">
        <v>10</v>
      </c>
      <c r="CC31" s="7">
        <v>20</v>
      </c>
      <c r="CD31" s="7">
        <v>20</v>
      </c>
      <c r="CE31" s="8">
        <f t="shared" si="9"/>
        <v>100</v>
      </c>
      <c r="CF31" s="7">
        <v>30</v>
      </c>
      <c r="CG31" s="7">
        <v>10</v>
      </c>
      <c r="CH31" s="7">
        <v>30</v>
      </c>
      <c r="CI31" s="7">
        <v>30</v>
      </c>
      <c r="CJ31" s="8">
        <f t="shared" si="10"/>
        <v>100</v>
      </c>
      <c r="CK31" s="16">
        <v>4.49</v>
      </c>
      <c r="CL31" s="21" t="s">
        <v>98</v>
      </c>
      <c r="CM31" s="21"/>
      <c r="CN31" s="21"/>
      <c r="CO31" s="22"/>
      <c r="CP31">
        <f>Form_Responses1[[#This Row],[Column89]]</f>
        <v>4.49</v>
      </c>
      <c r="CQ31">
        <f>IF(Form_Responses1[[#This Row],[Column94]]&gt;0,Form_Responses1[[#This Row],[Column94]],Form_Responses1[[#This Row],[Column91]])</f>
        <v>4.49</v>
      </c>
      <c r="CR31">
        <v>4.49</v>
      </c>
    </row>
    <row r="32" spans="1:96" ht="15">
      <c r="A32" s="12">
        <v>45618.540253865736</v>
      </c>
      <c r="B32" s="13">
        <v>0</v>
      </c>
      <c r="C32" s="13" t="s">
        <v>143</v>
      </c>
      <c r="D32" s="13" t="s">
        <v>93</v>
      </c>
      <c r="E32" s="13" t="s">
        <v>100</v>
      </c>
      <c r="F32" s="13" t="s">
        <v>130</v>
      </c>
      <c r="G32" s="13" t="s">
        <v>96</v>
      </c>
      <c r="H32" s="13" t="s">
        <v>102</v>
      </c>
      <c r="I32" s="13">
        <v>4</v>
      </c>
      <c r="J32" s="13">
        <v>3</v>
      </c>
      <c r="K32" s="13">
        <v>3</v>
      </c>
      <c r="L32" s="13">
        <v>4</v>
      </c>
      <c r="M32" s="13">
        <v>4</v>
      </c>
      <c r="N32" s="13">
        <v>4</v>
      </c>
      <c r="O32" s="13">
        <v>4</v>
      </c>
      <c r="P32" s="13">
        <v>4</v>
      </c>
      <c r="Q32" s="13">
        <v>4</v>
      </c>
      <c r="R32" s="13">
        <v>4</v>
      </c>
      <c r="S32" s="13">
        <v>4</v>
      </c>
      <c r="T32" s="13">
        <v>4</v>
      </c>
      <c r="U32" s="13">
        <v>4</v>
      </c>
      <c r="V32" s="13">
        <v>4</v>
      </c>
      <c r="W32" s="13">
        <v>4</v>
      </c>
      <c r="X32" s="13">
        <v>4</v>
      </c>
      <c r="Y32" s="13">
        <v>4</v>
      </c>
      <c r="Z32" s="13">
        <v>3</v>
      </c>
      <c r="AA32" s="13">
        <v>3</v>
      </c>
      <c r="AB32" s="13">
        <v>4</v>
      </c>
      <c r="AC32" s="13">
        <v>20</v>
      </c>
      <c r="AD32" s="13">
        <v>20</v>
      </c>
      <c r="AE32" s="13">
        <v>30</v>
      </c>
      <c r="AF32" s="13">
        <v>30</v>
      </c>
      <c r="AG32" s="8">
        <f t="shared" si="11"/>
        <v>100</v>
      </c>
      <c r="AH32" s="13">
        <v>20</v>
      </c>
      <c r="AI32" s="13">
        <v>20</v>
      </c>
      <c r="AJ32" s="13">
        <v>30</v>
      </c>
      <c r="AK32" s="13">
        <v>30</v>
      </c>
      <c r="AL32" s="8">
        <f t="shared" si="0"/>
        <v>100</v>
      </c>
      <c r="AM32" s="13">
        <v>20</v>
      </c>
      <c r="AN32" s="13">
        <v>30</v>
      </c>
      <c r="AO32" s="13">
        <v>20</v>
      </c>
      <c r="AP32" s="13">
        <v>30</v>
      </c>
      <c r="AQ32" s="8">
        <f t="shared" si="1"/>
        <v>100</v>
      </c>
      <c r="AR32" s="13">
        <v>20</v>
      </c>
      <c r="AS32" s="13">
        <v>20</v>
      </c>
      <c r="AT32" s="13">
        <v>30</v>
      </c>
      <c r="AU32" s="13">
        <v>30</v>
      </c>
      <c r="AV32" s="8">
        <f t="shared" si="2"/>
        <v>100</v>
      </c>
      <c r="AW32" s="13">
        <v>30</v>
      </c>
      <c r="AX32" s="13">
        <v>30</v>
      </c>
      <c r="AY32" s="13">
        <v>20</v>
      </c>
      <c r="AZ32" s="13">
        <v>20</v>
      </c>
      <c r="BA32" s="8">
        <f t="shared" si="3"/>
        <v>100</v>
      </c>
      <c r="BB32" s="13">
        <v>30</v>
      </c>
      <c r="BC32" s="13">
        <v>30</v>
      </c>
      <c r="BD32" s="13">
        <v>20</v>
      </c>
      <c r="BE32" s="13">
        <v>20</v>
      </c>
      <c r="BF32" s="8">
        <f t="shared" si="4"/>
        <v>100</v>
      </c>
      <c r="BG32" s="13">
        <v>20</v>
      </c>
      <c r="BH32" s="13">
        <v>30</v>
      </c>
      <c r="BI32" s="13">
        <v>20</v>
      </c>
      <c r="BJ32" s="13">
        <v>30</v>
      </c>
      <c r="BK32" s="8">
        <f t="shared" si="5"/>
        <v>100</v>
      </c>
      <c r="BL32" s="13">
        <v>20</v>
      </c>
      <c r="BM32" s="13">
        <v>30</v>
      </c>
      <c r="BN32" s="13">
        <v>20</v>
      </c>
      <c r="BO32" s="13">
        <v>30</v>
      </c>
      <c r="BP32" s="8">
        <f t="shared" si="6"/>
        <v>100</v>
      </c>
      <c r="BQ32" s="13">
        <v>20</v>
      </c>
      <c r="BR32" s="13">
        <v>20</v>
      </c>
      <c r="BS32" s="13">
        <v>30</v>
      </c>
      <c r="BT32" s="13">
        <v>30</v>
      </c>
      <c r="BU32" s="8">
        <f t="shared" si="7"/>
        <v>100</v>
      </c>
      <c r="BV32" s="13">
        <v>20</v>
      </c>
      <c r="BW32" s="13">
        <v>20</v>
      </c>
      <c r="BX32" s="13">
        <v>30</v>
      </c>
      <c r="BY32" s="13">
        <v>30</v>
      </c>
      <c r="BZ32" s="8">
        <f t="shared" si="8"/>
        <v>100</v>
      </c>
      <c r="CA32" s="13">
        <v>30</v>
      </c>
      <c r="CB32" s="13">
        <v>20</v>
      </c>
      <c r="CC32" s="13">
        <v>20</v>
      </c>
      <c r="CD32" s="13">
        <v>30</v>
      </c>
      <c r="CE32" s="8">
        <f t="shared" si="9"/>
        <v>100</v>
      </c>
      <c r="CF32" s="13">
        <v>30</v>
      </c>
      <c r="CG32" s="13">
        <v>20</v>
      </c>
      <c r="CH32" s="13">
        <v>20</v>
      </c>
      <c r="CI32" s="13">
        <v>30</v>
      </c>
      <c r="CJ32" s="8">
        <f t="shared" si="10"/>
        <v>100</v>
      </c>
      <c r="CK32" s="18">
        <v>4.55</v>
      </c>
      <c r="CL32" s="18" t="s">
        <v>98</v>
      </c>
      <c r="CM32" s="23" t="s">
        <v>144</v>
      </c>
      <c r="CN32" s="23"/>
      <c r="CO32" s="24"/>
      <c r="CP32">
        <f>Form_Responses1[[#This Row],[Column89]]</f>
        <v>4.55</v>
      </c>
      <c r="CQ32">
        <f>IF(Form_Responses1[[#This Row],[Column94]]&gt;0,Form_Responses1[[#This Row],[Column94]],Form_Responses1[[#This Row],[Column91]])</f>
        <v>4.55</v>
      </c>
      <c r="CR32">
        <v>4.55</v>
      </c>
    </row>
    <row r="33" spans="1:96" ht="15">
      <c r="A33" s="6">
        <v>45618.541108576392</v>
      </c>
      <c r="B33" s="7">
        <v>0</v>
      </c>
      <c r="C33" s="7" t="s">
        <v>145</v>
      </c>
      <c r="D33" s="7" t="s">
        <v>93</v>
      </c>
      <c r="E33" s="7" t="s">
        <v>100</v>
      </c>
      <c r="F33" s="7" t="s">
        <v>101</v>
      </c>
      <c r="G33" s="7" t="s">
        <v>96</v>
      </c>
      <c r="H33" s="7" t="s">
        <v>102</v>
      </c>
      <c r="I33" s="7">
        <v>3</v>
      </c>
      <c r="J33" s="7">
        <v>3</v>
      </c>
      <c r="K33" s="7">
        <v>3</v>
      </c>
      <c r="L33" s="7">
        <v>3</v>
      </c>
      <c r="M33" s="7">
        <v>4</v>
      </c>
      <c r="N33" s="7">
        <v>4</v>
      </c>
      <c r="O33" s="7">
        <v>4</v>
      </c>
      <c r="P33" s="7">
        <v>4</v>
      </c>
      <c r="Q33" s="7">
        <v>4</v>
      </c>
      <c r="R33" s="7">
        <v>4</v>
      </c>
      <c r="S33" s="7">
        <v>3</v>
      </c>
      <c r="T33" s="7">
        <v>4</v>
      </c>
      <c r="U33" s="7">
        <v>3</v>
      </c>
      <c r="V33" s="7">
        <v>4</v>
      </c>
      <c r="W33" s="7">
        <v>4</v>
      </c>
      <c r="X33" s="7">
        <v>3</v>
      </c>
      <c r="Y33" s="7">
        <v>5</v>
      </c>
      <c r="Z33" s="7">
        <v>4</v>
      </c>
      <c r="AA33" s="7">
        <v>3</v>
      </c>
      <c r="AB33" s="7">
        <v>3</v>
      </c>
      <c r="AC33" s="7">
        <v>25</v>
      </c>
      <c r="AD33" s="7">
        <v>25</v>
      </c>
      <c r="AE33" s="7">
        <v>25</v>
      </c>
      <c r="AF33" s="7">
        <v>25</v>
      </c>
      <c r="AG33" s="8">
        <f t="shared" si="11"/>
        <v>100</v>
      </c>
      <c r="AH33" s="7">
        <v>25</v>
      </c>
      <c r="AI33" s="7">
        <v>25</v>
      </c>
      <c r="AJ33" s="7">
        <v>25</v>
      </c>
      <c r="AK33" s="7">
        <v>25</v>
      </c>
      <c r="AL33" s="8">
        <f t="shared" si="0"/>
        <v>100</v>
      </c>
      <c r="AM33" s="7">
        <v>25</v>
      </c>
      <c r="AN33" s="7">
        <v>25</v>
      </c>
      <c r="AO33" s="7">
        <v>25</v>
      </c>
      <c r="AP33" s="7">
        <v>25</v>
      </c>
      <c r="AQ33" s="8">
        <f t="shared" si="1"/>
        <v>100</v>
      </c>
      <c r="AR33" s="7">
        <v>25</v>
      </c>
      <c r="AS33" s="7">
        <v>25</v>
      </c>
      <c r="AT33" s="7">
        <v>25</v>
      </c>
      <c r="AU33" s="7">
        <v>25</v>
      </c>
      <c r="AV33" s="8">
        <f t="shared" si="2"/>
        <v>100</v>
      </c>
      <c r="AW33" s="7">
        <v>25</v>
      </c>
      <c r="AX33" s="7">
        <v>25</v>
      </c>
      <c r="AY33" s="7">
        <v>25</v>
      </c>
      <c r="AZ33" s="7">
        <v>25</v>
      </c>
      <c r="BA33" s="8">
        <f t="shared" si="3"/>
        <v>100</v>
      </c>
      <c r="BB33" s="7">
        <v>25</v>
      </c>
      <c r="BC33" s="7">
        <v>25</v>
      </c>
      <c r="BD33" s="7">
        <v>25</v>
      </c>
      <c r="BE33" s="7">
        <v>25</v>
      </c>
      <c r="BF33" s="8">
        <f t="shared" si="4"/>
        <v>100</v>
      </c>
      <c r="BG33" s="7">
        <v>25</v>
      </c>
      <c r="BH33" s="7">
        <v>25</v>
      </c>
      <c r="BI33" s="7">
        <v>25</v>
      </c>
      <c r="BJ33" s="7">
        <v>25</v>
      </c>
      <c r="BK33" s="8">
        <f t="shared" si="5"/>
        <v>100</v>
      </c>
      <c r="BL33" s="7">
        <v>25</v>
      </c>
      <c r="BM33" s="7">
        <v>25</v>
      </c>
      <c r="BN33" s="7">
        <v>25</v>
      </c>
      <c r="BO33" s="7">
        <v>25</v>
      </c>
      <c r="BP33" s="8">
        <f t="shared" si="6"/>
        <v>100</v>
      </c>
      <c r="BQ33" s="7">
        <v>25</v>
      </c>
      <c r="BR33" s="7">
        <v>25</v>
      </c>
      <c r="BS33" s="7">
        <v>25</v>
      </c>
      <c r="BT33" s="7">
        <v>25</v>
      </c>
      <c r="BU33" s="8">
        <f t="shared" si="7"/>
        <v>100</v>
      </c>
      <c r="BV33" s="7">
        <v>10</v>
      </c>
      <c r="BW33" s="7">
        <v>10</v>
      </c>
      <c r="BX33" s="7">
        <v>30</v>
      </c>
      <c r="BY33" s="7">
        <v>50</v>
      </c>
      <c r="BZ33" s="8">
        <f t="shared" si="8"/>
        <v>100</v>
      </c>
      <c r="CA33" s="7">
        <v>40</v>
      </c>
      <c r="CB33" s="7">
        <v>20</v>
      </c>
      <c r="CC33" s="7">
        <v>20</v>
      </c>
      <c r="CD33" s="7">
        <v>20</v>
      </c>
      <c r="CE33" s="8">
        <f t="shared" si="9"/>
        <v>100</v>
      </c>
      <c r="CF33" s="7">
        <v>10</v>
      </c>
      <c r="CG33" s="7">
        <v>30</v>
      </c>
      <c r="CH33" s="7">
        <v>30</v>
      </c>
      <c r="CI33" s="7">
        <v>30</v>
      </c>
      <c r="CJ33" s="8">
        <f t="shared" si="10"/>
        <v>100</v>
      </c>
      <c r="CK33" s="9">
        <v>4.1500000000000004</v>
      </c>
      <c r="CL33" s="10" t="s">
        <v>98</v>
      </c>
      <c r="CM33" s="25"/>
      <c r="CN33" s="25"/>
      <c r="CO33" s="26"/>
      <c r="CP33">
        <f>Form_Responses1[[#This Row],[Column89]]</f>
        <v>4.1500000000000004</v>
      </c>
      <c r="CQ33">
        <f>IF(Form_Responses1[[#This Row],[Column94]]&gt;0,Form_Responses1[[#This Row],[Column94]],Form_Responses1[[#This Row],[Column91]])</f>
        <v>4.1500000000000004</v>
      </c>
      <c r="CR33">
        <v>4.1500000000000004</v>
      </c>
    </row>
    <row r="34" spans="1:96" ht="15">
      <c r="A34" s="12">
        <v>45618.543983101852</v>
      </c>
      <c r="B34" s="13">
        <v>0</v>
      </c>
      <c r="C34" s="13" t="s">
        <v>146</v>
      </c>
      <c r="D34" s="13" t="s">
        <v>107</v>
      </c>
      <c r="E34" s="13" t="s">
        <v>112</v>
      </c>
      <c r="F34" s="13" t="s">
        <v>130</v>
      </c>
      <c r="G34" s="13" t="s">
        <v>96</v>
      </c>
      <c r="H34" s="13" t="s">
        <v>120</v>
      </c>
      <c r="I34" s="13">
        <v>3</v>
      </c>
      <c r="J34" s="13">
        <v>4</v>
      </c>
      <c r="K34" s="13">
        <v>3</v>
      </c>
      <c r="L34" s="13">
        <v>3</v>
      </c>
      <c r="M34" s="13">
        <v>4</v>
      </c>
      <c r="N34" s="13">
        <v>4</v>
      </c>
      <c r="O34" s="13">
        <v>4</v>
      </c>
      <c r="P34" s="13">
        <v>4</v>
      </c>
      <c r="Q34" s="13">
        <v>4</v>
      </c>
      <c r="R34" s="13">
        <v>4</v>
      </c>
      <c r="S34" s="13">
        <v>3</v>
      </c>
      <c r="T34" s="13">
        <v>4</v>
      </c>
      <c r="U34" s="13">
        <v>4</v>
      </c>
      <c r="V34" s="13">
        <v>4</v>
      </c>
      <c r="W34" s="13">
        <v>5</v>
      </c>
      <c r="X34" s="13">
        <v>3</v>
      </c>
      <c r="Y34" s="13">
        <v>4</v>
      </c>
      <c r="Z34" s="13">
        <v>3</v>
      </c>
      <c r="AA34" s="13">
        <v>4</v>
      </c>
      <c r="AB34" s="13">
        <v>2</v>
      </c>
      <c r="AC34" s="13">
        <v>30</v>
      </c>
      <c r="AD34" s="13">
        <v>30</v>
      </c>
      <c r="AE34" s="13">
        <v>20</v>
      </c>
      <c r="AF34" s="13">
        <v>20</v>
      </c>
      <c r="AG34" s="8">
        <f t="shared" si="11"/>
        <v>100</v>
      </c>
      <c r="AH34" s="13">
        <v>30</v>
      </c>
      <c r="AI34" s="13">
        <v>30</v>
      </c>
      <c r="AJ34" s="13">
        <v>20</v>
      </c>
      <c r="AK34" s="13">
        <v>20</v>
      </c>
      <c r="AL34" s="8">
        <f t="shared" si="0"/>
        <v>100</v>
      </c>
      <c r="AM34" s="13">
        <v>30</v>
      </c>
      <c r="AN34" s="13">
        <v>30</v>
      </c>
      <c r="AO34" s="13">
        <v>20</v>
      </c>
      <c r="AP34" s="13">
        <v>20</v>
      </c>
      <c r="AQ34" s="8">
        <f t="shared" si="1"/>
        <v>100</v>
      </c>
      <c r="AR34" s="13">
        <v>30</v>
      </c>
      <c r="AS34" s="13">
        <v>30</v>
      </c>
      <c r="AT34" s="13">
        <v>20</v>
      </c>
      <c r="AU34" s="13">
        <v>20</v>
      </c>
      <c r="AV34" s="8">
        <f t="shared" si="2"/>
        <v>100</v>
      </c>
      <c r="AW34" s="13">
        <v>30</v>
      </c>
      <c r="AX34" s="13">
        <v>30</v>
      </c>
      <c r="AY34" s="13">
        <v>20</v>
      </c>
      <c r="AZ34" s="13">
        <v>20</v>
      </c>
      <c r="BA34" s="8">
        <f t="shared" si="3"/>
        <v>100</v>
      </c>
      <c r="BB34" s="13">
        <v>30</v>
      </c>
      <c r="BC34" s="13">
        <v>30</v>
      </c>
      <c r="BD34" s="13">
        <v>20</v>
      </c>
      <c r="BE34" s="13">
        <v>20</v>
      </c>
      <c r="BF34" s="8">
        <f t="shared" si="4"/>
        <v>100</v>
      </c>
      <c r="BG34" s="13">
        <v>20</v>
      </c>
      <c r="BH34" s="13">
        <v>20</v>
      </c>
      <c r="BI34" s="13">
        <v>30</v>
      </c>
      <c r="BJ34" s="13">
        <v>30</v>
      </c>
      <c r="BK34" s="8">
        <f t="shared" si="5"/>
        <v>100</v>
      </c>
      <c r="BL34" s="13">
        <v>30</v>
      </c>
      <c r="BM34" s="13">
        <v>30</v>
      </c>
      <c r="BN34" s="13">
        <v>20</v>
      </c>
      <c r="BO34" s="13">
        <v>20</v>
      </c>
      <c r="BP34" s="8">
        <f t="shared" si="6"/>
        <v>100</v>
      </c>
      <c r="BQ34" s="13">
        <v>20</v>
      </c>
      <c r="BR34" s="13">
        <v>20</v>
      </c>
      <c r="BS34" s="13">
        <v>30</v>
      </c>
      <c r="BT34" s="13">
        <v>30</v>
      </c>
      <c r="BU34" s="8">
        <f t="shared" si="7"/>
        <v>100</v>
      </c>
      <c r="BV34" s="13">
        <v>30</v>
      </c>
      <c r="BW34" s="13">
        <v>30</v>
      </c>
      <c r="BX34" s="13">
        <v>20</v>
      </c>
      <c r="BY34" s="13">
        <v>20</v>
      </c>
      <c r="BZ34" s="8">
        <f t="shared" si="8"/>
        <v>100</v>
      </c>
      <c r="CA34" s="13">
        <v>20</v>
      </c>
      <c r="CB34" s="13">
        <v>20</v>
      </c>
      <c r="CC34" s="13">
        <v>30</v>
      </c>
      <c r="CD34" s="13">
        <v>30</v>
      </c>
      <c r="CE34" s="8">
        <f t="shared" si="9"/>
        <v>100</v>
      </c>
      <c r="CF34" s="13">
        <v>30</v>
      </c>
      <c r="CG34" s="13">
        <v>20</v>
      </c>
      <c r="CH34" s="13">
        <v>30</v>
      </c>
      <c r="CI34" s="13">
        <v>20</v>
      </c>
      <c r="CJ34" s="8">
        <f t="shared" si="10"/>
        <v>100</v>
      </c>
      <c r="CK34" s="14">
        <v>4.1500000000000004</v>
      </c>
      <c r="CL34" s="19" t="s">
        <v>98</v>
      </c>
      <c r="CM34" s="23" t="s">
        <v>147</v>
      </c>
      <c r="CN34" s="23"/>
      <c r="CO34" s="24"/>
      <c r="CP34">
        <f>Form_Responses1[[#This Row],[Column89]]</f>
        <v>4.1500000000000004</v>
      </c>
      <c r="CQ34">
        <f>IF(Form_Responses1[[#This Row],[Column94]]&gt;0,Form_Responses1[[#This Row],[Column94]],Form_Responses1[[#This Row],[Column91]])</f>
        <v>4.1500000000000004</v>
      </c>
      <c r="CR34">
        <v>4.1500000000000004</v>
      </c>
    </row>
    <row r="35" spans="1:96" ht="15">
      <c r="A35" s="6">
        <v>45618.544498368057</v>
      </c>
      <c r="B35" s="7">
        <v>0</v>
      </c>
      <c r="C35" s="7" t="s">
        <v>148</v>
      </c>
      <c r="D35" s="7" t="s">
        <v>93</v>
      </c>
      <c r="E35" s="7" t="s">
        <v>94</v>
      </c>
      <c r="F35" s="7" t="s">
        <v>101</v>
      </c>
      <c r="G35" s="7" t="s">
        <v>96</v>
      </c>
      <c r="H35" s="7" t="s">
        <v>102</v>
      </c>
      <c r="I35" s="7">
        <v>4</v>
      </c>
      <c r="J35" s="7">
        <v>5</v>
      </c>
      <c r="K35" s="7">
        <v>4</v>
      </c>
      <c r="L35" s="7">
        <v>5</v>
      </c>
      <c r="M35" s="7">
        <v>5</v>
      </c>
      <c r="N35" s="7">
        <v>4</v>
      </c>
      <c r="O35" s="7">
        <v>4</v>
      </c>
      <c r="P35" s="7">
        <v>4</v>
      </c>
      <c r="Q35" s="7">
        <v>5</v>
      </c>
      <c r="R35" s="7">
        <v>5</v>
      </c>
      <c r="S35" s="7">
        <v>5</v>
      </c>
      <c r="T35" s="7">
        <v>5</v>
      </c>
      <c r="U35" s="7">
        <v>5</v>
      </c>
      <c r="V35" s="7">
        <v>4</v>
      </c>
      <c r="W35" s="7">
        <v>4</v>
      </c>
      <c r="X35" s="7">
        <v>5</v>
      </c>
      <c r="Y35" s="7">
        <v>4</v>
      </c>
      <c r="Z35" s="7">
        <v>4</v>
      </c>
      <c r="AA35" s="7">
        <v>5</v>
      </c>
      <c r="AB35" s="7">
        <v>5</v>
      </c>
      <c r="AC35" s="7">
        <v>40</v>
      </c>
      <c r="AD35" s="7">
        <v>20</v>
      </c>
      <c r="AE35" s="7">
        <v>20</v>
      </c>
      <c r="AF35" s="7">
        <v>20</v>
      </c>
      <c r="AG35" s="8">
        <f t="shared" si="11"/>
        <v>100</v>
      </c>
      <c r="AH35" s="7">
        <v>20</v>
      </c>
      <c r="AI35" s="7">
        <v>20</v>
      </c>
      <c r="AJ35" s="7">
        <v>30</v>
      </c>
      <c r="AK35" s="7">
        <v>30</v>
      </c>
      <c r="AL35" s="8">
        <f t="shared" si="0"/>
        <v>100</v>
      </c>
      <c r="AM35" s="7">
        <v>40</v>
      </c>
      <c r="AN35" s="7">
        <v>20</v>
      </c>
      <c r="AO35" s="7">
        <v>20</v>
      </c>
      <c r="AP35" s="7">
        <v>20</v>
      </c>
      <c r="AQ35" s="8">
        <f t="shared" si="1"/>
        <v>100</v>
      </c>
      <c r="AR35" s="7">
        <v>30</v>
      </c>
      <c r="AS35" s="7">
        <v>20</v>
      </c>
      <c r="AT35" s="7">
        <v>20</v>
      </c>
      <c r="AU35" s="7">
        <v>30</v>
      </c>
      <c r="AV35" s="8">
        <f t="shared" si="2"/>
        <v>100</v>
      </c>
      <c r="AW35" s="7">
        <v>20</v>
      </c>
      <c r="AX35" s="7">
        <v>20</v>
      </c>
      <c r="AY35" s="7">
        <v>10</v>
      </c>
      <c r="AZ35" s="7">
        <v>50</v>
      </c>
      <c r="BA35" s="8">
        <f t="shared" si="3"/>
        <v>100</v>
      </c>
      <c r="BB35" s="7">
        <v>20</v>
      </c>
      <c r="BC35" s="7">
        <v>20</v>
      </c>
      <c r="BD35" s="7">
        <v>30</v>
      </c>
      <c r="BE35" s="7">
        <v>30</v>
      </c>
      <c r="BF35" s="8">
        <f t="shared" si="4"/>
        <v>100</v>
      </c>
      <c r="BG35" s="7">
        <v>30</v>
      </c>
      <c r="BH35" s="7">
        <v>30</v>
      </c>
      <c r="BI35" s="7">
        <v>20</v>
      </c>
      <c r="BJ35" s="7">
        <v>20</v>
      </c>
      <c r="BK35" s="8">
        <f t="shared" si="5"/>
        <v>100</v>
      </c>
      <c r="BL35" s="7">
        <v>20</v>
      </c>
      <c r="BM35" s="7">
        <v>20</v>
      </c>
      <c r="BN35" s="7">
        <v>20</v>
      </c>
      <c r="BO35" s="7">
        <v>40</v>
      </c>
      <c r="BP35" s="8">
        <f t="shared" si="6"/>
        <v>100</v>
      </c>
      <c r="BQ35" s="7">
        <v>20</v>
      </c>
      <c r="BR35" s="7">
        <v>20</v>
      </c>
      <c r="BS35" s="7">
        <v>30</v>
      </c>
      <c r="BT35" s="7">
        <v>30</v>
      </c>
      <c r="BU35" s="8">
        <f t="shared" si="7"/>
        <v>100</v>
      </c>
      <c r="BV35" s="7">
        <v>10</v>
      </c>
      <c r="BW35" s="7">
        <v>20</v>
      </c>
      <c r="BX35" s="7">
        <v>30</v>
      </c>
      <c r="BY35" s="7">
        <v>40</v>
      </c>
      <c r="BZ35" s="8">
        <f t="shared" si="8"/>
        <v>100</v>
      </c>
      <c r="CA35" s="7">
        <v>20</v>
      </c>
      <c r="CB35" s="7">
        <v>10</v>
      </c>
      <c r="CC35" s="7">
        <v>30</v>
      </c>
      <c r="CD35" s="7">
        <v>40</v>
      </c>
      <c r="CE35" s="8">
        <f t="shared" si="9"/>
        <v>100</v>
      </c>
      <c r="CF35" s="7">
        <v>30</v>
      </c>
      <c r="CG35" s="7">
        <v>20</v>
      </c>
      <c r="CH35" s="7">
        <v>20</v>
      </c>
      <c r="CI35" s="7">
        <v>30</v>
      </c>
      <c r="CJ35" s="8">
        <f t="shared" si="10"/>
        <v>100</v>
      </c>
      <c r="CK35" s="9">
        <v>4.8600000000000003</v>
      </c>
      <c r="CL35" s="9" t="s">
        <v>98</v>
      </c>
      <c r="CM35" s="25"/>
      <c r="CN35" s="25"/>
      <c r="CO35" s="26"/>
      <c r="CP35">
        <f>Form_Responses1[[#This Row],[Column89]]</f>
        <v>4.8600000000000003</v>
      </c>
      <c r="CQ35">
        <f>IF(Form_Responses1[[#This Row],[Column94]]&gt;0,Form_Responses1[[#This Row],[Column94]],Form_Responses1[[#This Row],[Column91]])</f>
        <v>4.8600000000000003</v>
      </c>
      <c r="CR35">
        <v>4.8600000000000003</v>
      </c>
    </row>
    <row r="36" spans="1:96" ht="15">
      <c r="A36" s="12">
        <v>45618.544540925926</v>
      </c>
      <c r="B36" s="13">
        <v>0</v>
      </c>
      <c r="C36" s="13" t="s">
        <v>149</v>
      </c>
      <c r="D36" s="13" t="s">
        <v>107</v>
      </c>
      <c r="E36" s="13" t="s">
        <v>100</v>
      </c>
      <c r="F36" s="13" t="s">
        <v>130</v>
      </c>
      <c r="G36" s="13" t="s">
        <v>96</v>
      </c>
      <c r="H36" s="13" t="s">
        <v>102</v>
      </c>
      <c r="I36" s="13">
        <v>4</v>
      </c>
      <c r="J36" s="13">
        <v>4</v>
      </c>
      <c r="K36" s="13">
        <v>4</v>
      </c>
      <c r="L36" s="13">
        <v>4</v>
      </c>
      <c r="M36" s="13">
        <v>3</v>
      </c>
      <c r="N36" s="13">
        <v>3</v>
      </c>
      <c r="O36" s="13">
        <v>4</v>
      </c>
      <c r="P36" s="13">
        <v>4</v>
      </c>
      <c r="Q36" s="13">
        <v>4</v>
      </c>
      <c r="R36" s="13">
        <v>3</v>
      </c>
      <c r="S36" s="13">
        <v>4</v>
      </c>
      <c r="T36" s="13">
        <v>4</v>
      </c>
      <c r="U36" s="13">
        <v>3</v>
      </c>
      <c r="V36" s="13">
        <v>4</v>
      </c>
      <c r="W36" s="13">
        <v>4</v>
      </c>
      <c r="X36" s="13">
        <v>3</v>
      </c>
      <c r="Y36" s="13">
        <v>3</v>
      </c>
      <c r="Z36" s="13">
        <v>4</v>
      </c>
      <c r="AA36" s="13">
        <v>4</v>
      </c>
      <c r="AB36" s="13">
        <v>3</v>
      </c>
      <c r="AC36" s="13">
        <v>20</v>
      </c>
      <c r="AD36" s="13">
        <v>20</v>
      </c>
      <c r="AE36" s="13">
        <v>30</v>
      </c>
      <c r="AF36" s="13">
        <v>30</v>
      </c>
      <c r="AG36" s="8">
        <f t="shared" si="11"/>
        <v>100</v>
      </c>
      <c r="AH36" s="13">
        <v>20</v>
      </c>
      <c r="AI36" s="13">
        <v>30</v>
      </c>
      <c r="AJ36" s="13">
        <v>30</v>
      </c>
      <c r="AK36" s="13">
        <v>20</v>
      </c>
      <c r="AL36" s="8">
        <f t="shared" si="0"/>
        <v>100</v>
      </c>
      <c r="AM36" s="13">
        <v>30</v>
      </c>
      <c r="AN36" s="13">
        <v>10</v>
      </c>
      <c r="AO36" s="13">
        <v>30</v>
      </c>
      <c r="AP36" s="13">
        <v>30</v>
      </c>
      <c r="AQ36" s="8">
        <f t="shared" si="1"/>
        <v>100</v>
      </c>
      <c r="AR36" s="13">
        <v>10</v>
      </c>
      <c r="AS36" s="13">
        <v>30</v>
      </c>
      <c r="AT36" s="13">
        <v>30</v>
      </c>
      <c r="AU36" s="13">
        <v>30</v>
      </c>
      <c r="AV36" s="8">
        <f t="shared" si="2"/>
        <v>100</v>
      </c>
      <c r="AW36" s="13">
        <v>10</v>
      </c>
      <c r="AX36" s="13">
        <v>30</v>
      </c>
      <c r="AY36" s="13">
        <v>30</v>
      </c>
      <c r="AZ36" s="13">
        <v>30</v>
      </c>
      <c r="BA36" s="8">
        <f t="shared" si="3"/>
        <v>100</v>
      </c>
      <c r="BB36" s="13">
        <v>15</v>
      </c>
      <c r="BC36" s="13">
        <v>25</v>
      </c>
      <c r="BD36" s="13">
        <v>25</v>
      </c>
      <c r="BE36" s="13">
        <v>35</v>
      </c>
      <c r="BF36" s="8">
        <f t="shared" si="4"/>
        <v>100</v>
      </c>
      <c r="BG36" s="13">
        <v>10</v>
      </c>
      <c r="BH36" s="13">
        <v>30</v>
      </c>
      <c r="BI36" s="13">
        <v>30</v>
      </c>
      <c r="BJ36" s="13">
        <v>30</v>
      </c>
      <c r="BK36" s="8">
        <f t="shared" si="5"/>
        <v>100</v>
      </c>
      <c r="BL36" s="13">
        <v>25</v>
      </c>
      <c r="BM36" s="13">
        <v>25</v>
      </c>
      <c r="BN36" s="13">
        <v>25</v>
      </c>
      <c r="BO36" s="13">
        <v>25</v>
      </c>
      <c r="BP36" s="8">
        <f t="shared" si="6"/>
        <v>100</v>
      </c>
      <c r="BQ36" s="13">
        <v>25</v>
      </c>
      <c r="BR36" s="13">
        <v>25</v>
      </c>
      <c r="BS36" s="13">
        <v>25</v>
      </c>
      <c r="BT36" s="13">
        <v>25</v>
      </c>
      <c r="BU36" s="8">
        <f t="shared" si="7"/>
        <v>100</v>
      </c>
      <c r="BV36" s="13">
        <v>30</v>
      </c>
      <c r="BW36" s="13">
        <v>30</v>
      </c>
      <c r="BX36" s="13">
        <v>10</v>
      </c>
      <c r="BY36" s="13">
        <v>30</v>
      </c>
      <c r="BZ36" s="8">
        <f t="shared" si="8"/>
        <v>100</v>
      </c>
      <c r="CA36" s="13">
        <v>10</v>
      </c>
      <c r="CB36" s="13">
        <v>30</v>
      </c>
      <c r="CC36" s="13">
        <v>30</v>
      </c>
      <c r="CD36" s="13">
        <v>30</v>
      </c>
      <c r="CE36" s="8">
        <f t="shared" si="9"/>
        <v>100</v>
      </c>
      <c r="CF36" s="13">
        <v>10</v>
      </c>
      <c r="CG36" s="13">
        <v>30</v>
      </c>
      <c r="CH36" s="13">
        <v>30</v>
      </c>
      <c r="CI36" s="13">
        <v>30</v>
      </c>
      <c r="CJ36" s="8">
        <f t="shared" si="10"/>
        <v>100</v>
      </c>
      <c r="CK36" s="14">
        <v>4.1500000000000004</v>
      </c>
      <c r="CL36" s="19" t="s">
        <v>98</v>
      </c>
      <c r="CM36" s="23"/>
      <c r="CN36" s="23"/>
      <c r="CO36" s="24"/>
      <c r="CP36">
        <f>Form_Responses1[[#This Row],[Column89]]</f>
        <v>4.1500000000000004</v>
      </c>
      <c r="CQ36">
        <f>IF(Form_Responses1[[#This Row],[Column94]]&gt;0,Form_Responses1[[#This Row],[Column94]],Form_Responses1[[#This Row],[Column91]])</f>
        <v>4.1500000000000004</v>
      </c>
      <c r="CR36">
        <v>4.1500000000000004</v>
      </c>
    </row>
    <row r="37" spans="1:96" ht="15">
      <c r="A37" s="6">
        <v>45618.54561804398</v>
      </c>
      <c r="B37" s="7">
        <v>0</v>
      </c>
      <c r="C37" s="7" t="s">
        <v>150</v>
      </c>
      <c r="D37" s="7" t="s">
        <v>107</v>
      </c>
      <c r="E37" s="7" t="s">
        <v>112</v>
      </c>
      <c r="F37" s="7" t="s">
        <v>101</v>
      </c>
      <c r="G37" s="7" t="s">
        <v>113</v>
      </c>
      <c r="H37" s="7" t="s">
        <v>102</v>
      </c>
      <c r="I37" s="7">
        <v>2</v>
      </c>
      <c r="J37" s="7">
        <v>2</v>
      </c>
      <c r="K37" s="7">
        <v>2</v>
      </c>
      <c r="L37" s="7">
        <v>2</v>
      </c>
      <c r="M37" s="7">
        <v>2</v>
      </c>
      <c r="N37" s="7">
        <v>2</v>
      </c>
      <c r="O37" s="7">
        <v>1</v>
      </c>
      <c r="P37" s="7">
        <v>2</v>
      </c>
      <c r="Q37" s="7">
        <v>2</v>
      </c>
      <c r="R37" s="7">
        <v>2</v>
      </c>
      <c r="S37" s="7">
        <v>1</v>
      </c>
      <c r="T37" s="7">
        <v>2</v>
      </c>
      <c r="U37" s="7">
        <v>1</v>
      </c>
      <c r="V37" s="7">
        <v>1</v>
      </c>
      <c r="W37" s="7">
        <v>1</v>
      </c>
      <c r="X37" s="7">
        <v>2</v>
      </c>
      <c r="Y37" s="7">
        <v>2</v>
      </c>
      <c r="Z37" s="7">
        <v>1</v>
      </c>
      <c r="AA37" s="7">
        <v>1</v>
      </c>
      <c r="AB37" s="7">
        <v>1</v>
      </c>
      <c r="AC37" s="7">
        <v>40</v>
      </c>
      <c r="AD37" s="7">
        <v>30</v>
      </c>
      <c r="AE37" s="7">
        <v>10</v>
      </c>
      <c r="AF37" s="7">
        <v>20</v>
      </c>
      <c r="AG37" s="8">
        <f t="shared" si="11"/>
        <v>100</v>
      </c>
      <c r="AH37" s="7">
        <v>40</v>
      </c>
      <c r="AI37" s="7">
        <v>20</v>
      </c>
      <c r="AJ37" s="7">
        <v>10</v>
      </c>
      <c r="AK37" s="7">
        <v>30</v>
      </c>
      <c r="AL37" s="8">
        <f t="shared" si="0"/>
        <v>100</v>
      </c>
      <c r="AM37" s="7">
        <v>20</v>
      </c>
      <c r="AN37" s="7">
        <v>10</v>
      </c>
      <c r="AO37" s="7">
        <v>30</v>
      </c>
      <c r="AP37" s="7">
        <v>40</v>
      </c>
      <c r="AQ37" s="8">
        <f t="shared" si="1"/>
        <v>100</v>
      </c>
      <c r="AR37" s="7">
        <v>20</v>
      </c>
      <c r="AS37" s="7">
        <v>10</v>
      </c>
      <c r="AT37" s="7">
        <v>30</v>
      </c>
      <c r="AU37" s="7">
        <v>40</v>
      </c>
      <c r="AV37" s="8">
        <f t="shared" si="2"/>
        <v>100</v>
      </c>
      <c r="AW37" s="7">
        <v>10</v>
      </c>
      <c r="AX37" s="7">
        <v>30</v>
      </c>
      <c r="AY37" s="7">
        <v>20</v>
      </c>
      <c r="AZ37" s="7">
        <v>40</v>
      </c>
      <c r="BA37" s="8">
        <f t="shared" si="3"/>
        <v>100</v>
      </c>
      <c r="BB37" s="7">
        <v>10</v>
      </c>
      <c r="BC37" s="7">
        <v>20</v>
      </c>
      <c r="BD37" s="7">
        <v>30</v>
      </c>
      <c r="BE37" s="7">
        <v>40</v>
      </c>
      <c r="BF37" s="8">
        <f t="shared" si="4"/>
        <v>100</v>
      </c>
      <c r="BG37" s="7">
        <v>20</v>
      </c>
      <c r="BH37" s="7">
        <v>20</v>
      </c>
      <c r="BI37" s="7">
        <v>30</v>
      </c>
      <c r="BJ37" s="7">
        <v>30</v>
      </c>
      <c r="BK37" s="8">
        <f t="shared" si="5"/>
        <v>100</v>
      </c>
      <c r="BL37" s="7">
        <v>20</v>
      </c>
      <c r="BM37" s="7">
        <v>20</v>
      </c>
      <c r="BN37" s="7">
        <v>20</v>
      </c>
      <c r="BO37" s="7">
        <v>40</v>
      </c>
      <c r="BP37" s="8">
        <f t="shared" si="6"/>
        <v>100</v>
      </c>
      <c r="BQ37" s="7">
        <v>40</v>
      </c>
      <c r="BR37" s="7">
        <v>30</v>
      </c>
      <c r="BS37" s="7">
        <v>10</v>
      </c>
      <c r="BT37" s="7">
        <v>20</v>
      </c>
      <c r="BU37" s="8">
        <f t="shared" si="7"/>
        <v>100</v>
      </c>
      <c r="BV37" s="7">
        <v>40</v>
      </c>
      <c r="BW37" s="7">
        <v>20</v>
      </c>
      <c r="BX37" s="7">
        <v>30</v>
      </c>
      <c r="BY37" s="7">
        <v>10</v>
      </c>
      <c r="BZ37" s="8">
        <f t="shared" si="8"/>
        <v>100</v>
      </c>
      <c r="CA37" s="7">
        <v>20</v>
      </c>
      <c r="CB37" s="7">
        <v>20</v>
      </c>
      <c r="CC37" s="7">
        <v>30</v>
      </c>
      <c r="CD37" s="7">
        <v>30</v>
      </c>
      <c r="CE37" s="8">
        <f t="shared" si="9"/>
        <v>100</v>
      </c>
      <c r="CF37" s="7">
        <v>30</v>
      </c>
      <c r="CG37" s="7">
        <v>30</v>
      </c>
      <c r="CH37" s="7">
        <v>20</v>
      </c>
      <c r="CI37" s="7">
        <v>20</v>
      </c>
      <c r="CJ37" s="8">
        <f t="shared" si="10"/>
        <v>100</v>
      </c>
      <c r="CK37" s="21"/>
      <c r="CL37" s="21"/>
      <c r="CM37" s="9">
        <v>3.74</v>
      </c>
      <c r="CN37" s="9" t="s">
        <v>117</v>
      </c>
      <c r="CO37" s="34"/>
      <c r="CP37">
        <f>Form_Responses1[[#This Row],[Column89]]</f>
        <v>0</v>
      </c>
      <c r="CQ37">
        <f>IF(Form_Responses1[[#This Row],[Column94]]&gt;0,Form_Responses1[[#This Row],[Column94]],Form_Responses1[[#This Row],[Column91]])</f>
        <v>3.74</v>
      </c>
      <c r="CR37">
        <v>3.74</v>
      </c>
    </row>
    <row r="38" spans="1:96" ht="15">
      <c r="A38" s="12">
        <v>45618.545889560184</v>
      </c>
      <c r="B38" s="13">
        <v>0</v>
      </c>
      <c r="C38" s="13" t="s">
        <v>151</v>
      </c>
      <c r="D38" s="13" t="s">
        <v>107</v>
      </c>
      <c r="E38" s="13" t="s">
        <v>112</v>
      </c>
      <c r="F38" s="13" t="s">
        <v>130</v>
      </c>
      <c r="G38" s="13" t="s">
        <v>113</v>
      </c>
      <c r="H38" s="13" t="s">
        <v>102</v>
      </c>
      <c r="I38" s="13">
        <v>3</v>
      </c>
      <c r="J38" s="13">
        <v>3</v>
      </c>
      <c r="K38" s="13">
        <v>3</v>
      </c>
      <c r="L38" s="13">
        <v>3</v>
      </c>
      <c r="M38" s="13">
        <v>3</v>
      </c>
      <c r="N38" s="13">
        <v>3</v>
      </c>
      <c r="O38" s="13">
        <v>3</v>
      </c>
      <c r="P38" s="13">
        <v>3</v>
      </c>
      <c r="Q38" s="13">
        <v>3</v>
      </c>
      <c r="R38" s="13">
        <v>3</v>
      </c>
      <c r="S38" s="13">
        <v>3</v>
      </c>
      <c r="T38" s="13">
        <v>3</v>
      </c>
      <c r="U38" s="13">
        <v>3</v>
      </c>
      <c r="V38" s="13">
        <v>3</v>
      </c>
      <c r="W38" s="13">
        <v>3</v>
      </c>
      <c r="X38" s="13">
        <v>3</v>
      </c>
      <c r="Y38" s="13">
        <v>3</v>
      </c>
      <c r="Z38" s="13">
        <v>3</v>
      </c>
      <c r="AA38" s="13">
        <v>3</v>
      </c>
      <c r="AB38" s="13">
        <v>3</v>
      </c>
      <c r="AC38" s="13">
        <v>30</v>
      </c>
      <c r="AD38" s="13">
        <v>20</v>
      </c>
      <c r="AE38" s="13">
        <v>30</v>
      </c>
      <c r="AF38" s="13">
        <v>20</v>
      </c>
      <c r="AG38" s="8">
        <f t="shared" si="11"/>
        <v>100</v>
      </c>
      <c r="AH38" s="13">
        <v>30</v>
      </c>
      <c r="AI38" s="13">
        <v>30</v>
      </c>
      <c r="AJ38" s="13">
        <v>20</v>
      </c>
      <c r="AK38" s="13">
        <v>20</v>
      </c>
      <c r="AL38" s="8">
        <f t="shared" si="0"/>
        <v>100</v>
      </c>
      <c r="AM38" s="13">
        <v>30</v>
      </c>
      <c r="AN38" s="13">
        <v>20</v>
      </c>
      <c r="AO38" s="13">
        <v>20</v>
      </c>
      <c r="AP38" s="13">
        <v>30</v>
      </c>
      <c r="AQ38" s="8">
        <f t="shared" si="1"/>
        <v>100</v>
      </c>
      <c r="AR38" s="13">
        <v>20</v>
      </c>
      <c r="AS38" s="13">
        <v>20</v>
      </c>
      <c r="AT38" s="13">
        <v>20</v>
      </c>
      <c r="AU38" s="13">
        <v>40</v>
      </c>
      <c r="AV38" s="8">
        <f t="shared" si="2"/>
        <v>100</v>
      </c>
      <c r="AW38" s="13">
        <v>30</v>
      </c>
      <c r="AX38" s="13">
        <v>30</v>
      </c>
      <c r="AY38" s="13">
        <v>20</v>
      </c>
      <c r="AZ38" s="13">
        <v>20</v>
      </c>
      <c r="BA38" s="8">
        <f t="shared" si="3"/>
        <v>100</v>
      </c>
      <c r="BB38" s="13">
        <v>30</v>
      </c>
      <c r="BC38" s="13">
        <v>30</v>
      </c>
      <c r="BD38" s="13">
        <v>20</v>
      </c>
      <c r="BE38" s="13">
        <v>20</v>
      </c>
      <c r="BF38" s="8">
        <f t="shared" si="4"/>
        <v>100</v>
      </c>
      <c r="BG38" s="13">
        <v>30</v>
      </c>
      <c r="BH38" s="13">
        <v>20</v>
      </c>
      <c r="BI38" s="13">
        <v>30</v>
      </c>
      <c r="BJ38" s="13">
        <v>20</v>
      </c>
      <c r="BK38" s="8">
        <f t="shared" si="5"/>
        <v>100</v>
      </c>
      <c r="BL38" s="13">
        <v>30</v>
      </c>
      <c r="BM38" s="13">
        <v>30</v>
      </c>
      <c r="BN38" s="13">
        <v>20</v>
      </c>
      <c r="BO38" s="13">
        <v>20</v>
      </c>
      <c r="BP38" s="8">
        <f t="shared" si="6"/>
        <v>100</v>
      </c>
      <c r="BQ38" s="13">
        <v>20</v>
      </c>
      <c r="BR38" s="13">
        <v>20</v>
      </c>
      <c r="BS38" s="13">
        <v>30</v>
      </c>
      <c r="BT38" s="13">
        <v>30</v>
      </c>
      <c r="BU38" s="8">
        <f t="shared" si="7"/>
        <v>100</v>
      </c>
      <c r="BV38" s="13">
        <v>20</v>
      </c>
      <c r="BW38" s="13">
        <v>30</v>
      </c>
      <c r="BX38" s="13">
        <v>30</v>
      </c>
      <c r="BY38" s="13">
        <v>20</v>
      </c>
      <c r="BZ38" s="8">
        <f t="shared" si="8"/>
        <v>100</v>
      </c>
      <c r="CA38" s="13">
        <v>30</v>
      </c>
      <c r="CB38" s="13">
        <v>30</v>
      </c>
      <c r="CC38" s="13">
        <v>20</v>
      </c>
      <c r="CD38" s="13">
        <v>20</v>
      </c>
      <c r="CE38" s="8">
        <f t="shared" si="9"/>
        <v>100</v>
      </c>
      <c r="CF38" s="13">
        <v>20</v>
      </c>
      <c r="CG38" s="13">
        <v>20</v>
      </c>
      <c r="CH38" s="13">
        <v>30</v>
      </c>
      <c r="CI38" s="13">
        <v>30</v>
      </c>
      <c r="CJ38" s="8">
        <f t="shared" si="10"/>
        <v>100</v>
      </c>
      <c r="CK38" s="27"/>
      <c r="CL38" s="27"/>
      <c r="CM38" s="14">
        <v>3.94</v>
      </c>
      <c r="CN38" s="14" t="s">
        <v>117</v>
      </c>
      <c r="CO38" s="15"/>
      <c r="CP38">
        <f>Form_Responses1[[#This Row],[Column89]]</f>
        <v>0</v>
      </c>
      <c r="CQ38">
        <f>IF(Form_Responses1[[#This Row],[Column94]]&gt;0,Form_Responses1[[#This Row],[Column94]],Form_Responses1[[#This Row],[Column91]])</f>
        <v>3.94</v>
      </c>
      <c r="CR38">
        <v>3.94</v>
      </c>
    </row>
    <row r="39" spans="1:96" ht="15">
      <c r="A39" s="6">
        <v>45618.555311886579</v>
      </c>
      <c r="B39" s="7">
        <v>0</v>
      </c>
      <c r="C39" s="7" t="s">
        <v>152</v>
      </c>
      <c r="D39" s="7" t="s">
        <v>107</v>
      </c>
      <c r="E39" s="7" t="s">
        <v>112</v>
      </c>
      <c r="F39" s="7" t="s">
        <v>130</v>
      </c>
      <c r="G39" s="7" t="s">
        <v>96</v>
      </c>
      <c r="H39" s="7" t="s">
        <v>102</v>
      </c>
      <c r="I39" s="7">
        <v>4</v>
      </c>
      <c r="J39" s="7">
        <v>4</v>
      </c>
      <c r="K39" s="7">
        <v>4</v>
      </c>
      <c r="L39" s="7">
        <v>4</v>
      </c>
      <c r="M39" s="7">
        <v>4</v>
      </c>
      <c r="N39" s="7">
        <v>4</v>
      </c>
      <c r="O39" s="7">
        <v>4</v>
      </c>
      <c r="P39" s="7">
        <v>4</v>
      </c>
      <c r="Q39" s="7">
        <v>4</v>
      </c>
      <c r="R39" s="7">
        <v>4</v>
      </c>
      <c r="S39" s="7">
        <v>3</v>
      </c>
      <c r="T39" s="7">
        <v>4</v>
      </c>
      <c r="U39" s="7">
        <v>3</v>
      </c>
      <c r="V39" s="7">
        <v>3</v>
      </c>
      <c r="W39" s="7">
        <v>3</v>
      </c>
      <c r="X39" s="7">
        <v>4</v>
      </c>
      <c r="Y39" s="7">
        <v>4</v>
      </c>
      <c r="Z39" s="7">
        <v>4</v>
      </c>
      <c r="AA39" s="7">
        <v>4</v>
      </c>
      <c r="AB39" s="7">
        <v>4</v>
      </c>
      <c r="AC39" s="7">
        <v>20</v>
      </c>
      <c r="AD39" s="7">
        <v>30</v>
      </c>
      <c r="AE39" s="7">
        <v>20</v>
      </c>
      <c r="AF39" s="7">
        <v>30</v>
      </c>
      <c r="AG39" s="8">
        <f t="shared" si="11"/>
        <v>100</v>
      </c>
      <c r="AH39" s="7">
        <v>20</v>
      </c>
      <c r="AI39" s="7">
        <v>30</v>
      </c>
      <c r="AJ39" s="7">
        <v>20</v>
      </c>
      <c r="AK39" s="7">
        <v>30</v>
      </c>
      <c r="AL39" s="8">
        <f t="shared" si="0"/>
        <v>100</v>
      </c>
      <c r="AM39" s="7">
        <v>20</v>
      </c>
      <c r="AN39" s="7">
        <v>30</v>
      </c>
      <c r="AO39" s="7">
        <v>20</v>
      </c>
      <c r="AP39" s="7">
        <v>30</v>
      </c>
      <c r="AQ39" s="8">
        <f t="shared" si="1"/>
        <v>100</v>
      </c>
      <c r="AR39" s="7">
        <v>20</v>
      </c>
      <c r="AS39" s="7">
        <v>30</v>
      </c>
      <c r="AT39" s="7">
        <v>20</v>
      </c>
      <c r="AU39" s="7">
        <v>30</v>
      </c>
      <c r="AV39" s="8">
        <f t="shared" si="2"/>
        <v>100</v>
      </c>
      <c r="AW39" s="7">
        <v>30</v>
      </c>
      <c r="AX39" s="7">
        <v>20</v>
      </c>
      <c r="AY39" s="7">
        <v>30</v>
      </c>
      <c r="AZ39" s="7">
        <v>20</v>
      </c>
      <c r="BA39" s="8">
        <f t="shared" si="3"/>
        <v>100</v>
      </c>
      <c r="BB39" s="7">
        <v>20</v>
      </c>
      <c r="BC39" s="7">
        <v>30</v>
      </c>
      <c r="BD39" s="7">
        <v>20</v>
      </c>
      <c r="BE39" s="7">
        <v>30</v>
      </c>
      <c r="BF39" s="8">
        <f t="shared" si="4"/>
        <v>100</v>
      </c>
      <c r="BG39" s="7">
        <v>30</v>
      </c>
      <c r="BH39" s="7">
        <v>20</v>
      </c>
      <c r="BI39" s="7">
        <v>30</v>
      </c>
      <c r="BJ39" s="7">
        <v>20</v>
      </c>
      <c r="BK39" s="8">
        <f t="shared" si="5"/>
        <v>100</v>
      </c>
      <c r="BL39" s="7">
        <v>30</v>
      </c>
      <c r="BM39" s="7">
        <v>20</v>
      </c>
      <c r="BN39" s="7">
        <v>30</v>
      </c>
      <c r="BO39" s="7">
        <v>20</v>
      </c>
      <c r="BP39" s="8">
        <f t="shared" si="6"/>
        <v>100</v>
      </c>
      <c r="BQ39" s="7">
        <v>30</v>
      </c>
      <c r="BR39" s="7">
        <v>20</v>
      </c>
      <c r="BS39" s="7">
        <v>30</v>
      </c>
      <c r="BT39" s="7">
        <v>20</v>
      </c>
      <c r="BU39" s="8">
        <f t="shared" si="7"/>
        <v>100</v>
      </c>
      <c r="BV39" s="7">
        <v>30</v>
      </c>
      <c r="BW39" s="7">
        <v>20</v>
      </c>
      <c r="BX39" s="7">
        <v>30</v>
      </c>
      <c r="BY39" s="7">
        <v>20</v>
      </c>
      <c r="BZ39" s="8">
        <f t="shared" si="8"/>
        <v>100</v>
      </c>
      <c r="CA39" s="7">
        <v>20</v>
      </c>
      <c r="CB39" s="7">
        <v>30</v>
      </c>
      <c r="CC39" s="7">
        <v>20</v>
      </c>
      <c r="CD39" s="7">
        <v>30</v>
      </c>
      <c r="CE39" s="8">
        <f t="shared" si="9"/>
        <v>100</v>
      </c>
      <c r="CF39" s="7">
        <v>30</v>
      </c>
      <c r="CG39" s="7">
        <v>20</v>
      </c>
      <c r="CH39" s="7">
        <v>30</v>
      </c>
      <c r="CI39" s="7">
        <v>20</v>
      </c>
      <c r="CJ39" s="8">
        <f t="shared" si="10"/>
        <v>100</v>
      </c>
      <c r="CK39" s="9">
        <v>4.3499999999999996</v>
      </c>
      <c r="CL39" s="10" t="s">
        <v>98</v>
      </c>
      <c r="CM39" s="25" t="s">
        <v>153</v>
      </c>
      <c r="CN39" s="25"/>
      <c r="CO39" s="26"/>
      <c r="CP39">
        <f>Form_Responses1[[#This Row],[Column89]]</f>
        <v>4.3499999999999996</v>
      </c>
      <c r="CQ39">
        <f>IF(Form_Responses1[[#This Row],[Column94]]&gt;0,Form_Responses1[[#This Row],[Column94]],Form_Responses1[[#This Row],[Column91]])</f>
        <v>4.3499999999999996</v>
      </c>
      <c r="CR39">
        <v>4.3499999999999996</v>
      </c>
    </row>
    <row r="40" spans="1:96" ht="15">
      <c r="A40" s="12">
        <v>45618.565861643518</v>
      </c>
      <c r="B40" s="13">
        <v>0</v>
      </c>
      <c r="C40" s="13" t="s">
        <v>154</v>
      </c>
      <c r="D40" s="13" t="s">
        <v>93</v>
      </c>
      <c r="E40" s="13" t="s">
        <v>112</v>
      </c>
      <c r="F40" s="13" t="s">
        <v>101</v>
      </c>
      <c r="G40" s="13" t="s">
        <v>123</v>
      </c>
      <c r="H40" s="13" t="s">
        <v>102</v>
      </c>
      <c r="I40" s="13">
        <v>4</v>
      </c>
      <c r="J40" s="13">
        <v>5</v>
      </c>
      <c r="K40" s="13">
        <v>4</v>
      </c>
      <c r="L40" s="13">
        <v>4</v>
      </c>
      <c r="M40" s="13">
        <v>5</v>
      </c>
      <c r="N40" s="13">
        <v>5</v>
      </c>
      <c r="O40" s="13">
        <v>5</v>
      </c>
      <c r="P40" s="13">
        <v>4</v>
      </c>
      <c r="Q40" s="13">
        <v>4</v>
      </c>
      <c r="R40" s="13">
        <v>4</v>
      </c>
      <c r="S40" s="13">
        <v>5</v>
      </c>
      <c r="T40" s="13">
        <v>4</v>
      </c>
      <c r="U40" s="13">
        <v>5</v>
      </c>
      <c r="V40" s="13">
        <v>4</v>
      </c>
      <c r="W40" s="13">
        <v>5</v>
      </c>
      <c r="X40" s="13">
        <v>5</v>
      </c>
      <c r="Y40" s="13">
        <v>5</v>
      </c>
      <c r="Z40" s="13">
        <v>5</v>
      </c>
      <c r="AA40" s="13">
        <v>4</v>
      </c>
      <c r="AB40" s="13">
        <v>5</v>
      </c>
      <c r="AC40" s="13">
        <v>30</v>
      </c>
      <c r="AD40" s="13">
        <v>30</v>
      </c>
      <c r="AE40" s="13">
        <v>20</v>
      </c>
      <c r="AF40" s="13">
        <v>20</v>
      </c>
      <c r="AG40" s="8">
        <f t="shared" si="11"/>
        <v>100</v>
      </c>
      <c r="AH40" s="13">
        <v>25</v>
      </c>
      <c r="AI40" s="13">
        <v>25</v>
      </c>
      <c r="AJ40" s="13">
        <v>25</v>
      </c>
      <c r="AK40" s="13">
        <v>25</v>
      </c>
      <c r="AL40" s="8">
        <f t="shared" si="0"/>
        <v>100</v>
      </c>
      <c r="AM40" s="13">
        <v>25</v>
      </c>
      <c r="AN40" s="13">
        <v>25</v>
      </c>
      <c r="AO40" s="13">
        <v>25</v>
      </c>
      <c r="AP40" s="13">
        <v>25</v>
      </c>
      <c r="AQ40" s="8">
        <f t="shared" si="1"/>
        <v>100</v>
      </c>
      <c r="AR40" s="13">
        <v>25</v>
      </c>
      <c r="AS40" s="13">
        <v>25</v>
      </c>
      <c r="AT40" s="13">
        <v>25</v>
      </c>
      <c r="AU40" s="13">
        <v>25</v>
      </c>
      <c r="AV40" s="8">
        <f t="shared" si="2"/>
        <v>100</v>
      </c>
      <c r="AW40" s="13">
        <v>25</v>
      </c>
      <c r="AX40" s="13">
        <v>25</v>
      </c>
      <c r="AY40" s="13">
        <v>25</v>
      </c>
      <c r="AZ40" s="13">
        <v>25</v>
      </c>
      <c r="BA40" s="8">
        <f t="shared" si="3"/>
        <v>100</v>
      </c>
      <c r="BB40" s="13">
        <v>25</v>
      </c>
      <c r="BC40" s="13">
        <v>25</v>
      </c>
      <c r="BD40" s="13">
        <v>25</v>
      </c>
      <c r="BE40" s="13">
        <v>25</v>
      </c>
      <c r="BF40" s="8">
        <f t="shared" si="4"/>
        <v>100</v>
      </c>
      <c r="BG40" s="13">
        <v>25</v>
      </c>
      <c r="BH40" s="13">
        <v>25</v>
      </c>
      <c r="BI40" s="13">
        <v>25</v>
      </c>
      <c r="BJ40" s="13">
        <v>25</v>
      </c>
      <c r="BK40" s="8">
        <f t="shared" si="5"/>
        <v>100</v>
      </c>
      <c r="BL40" s="13">
        <v>25</v>
      </c>
      <c r="BM40" s="13">
        <v>25</v>
      </c>
      <c r="BN40" s="13">
        <v>25</v>
      </c>
      <c r="BO40" s="13">
        <v>25</v>
      </c>
      <c r="BP40" s="8">
        <f t="shared" si="6"/>
        <v>100</v>
      </c>
      <c r="BQ40" s="13">
        <v>25</v>
      </c>
      <c r="BR40" s="13">
        <v>25</v>
      </c>
      <c r="BS40" s="13">
        <v>25</v>
      </c>
      <c r="BT40" s="13">
        <v>25</v>
      </c>
      <c r="BU40" s="8">
        <f t="shared" si="7"/>
        <v>100</v>
      </c>
      <c r="BV40" s="13">
        <v>25</v>
      </c>
      <c r="BW40" s="13">
        <v>25</v>
      </c>
      <c r="BX40" s="13">
        <v>25</v>
      </c>
      <c r="BY40" s="13">
        <v>25</v>
      </c>
      <c r="BZ40" s="8">
        <f t="shared" si="8"/>
        <v>100</v>
      </c>
      <c r="CA40" s="13">
        <v>25</v>
      </c>
      <c r="CB40" s="13">
        <v>25</v>
      </c>
      <c r="CC40" s="13">
        <v>25</v>
      </c>
      <c r="CD40" s="13">
        <v>25</v>
      </c>
      <c r="CE40" s="8">
        <f t="shared" si="9"/>
        <v>100</v>
      </c>
      <c r="CF40" s="13">
        <v>25</v>
      </c>
      <c r="CG40" s="13">
        <v>25</v>
      </c>
      <c r="CH40" s="13">
        <v>25</v>
      </c>
      <c r="CI40" s="13">
        <v>25</v>
      </c>
      <c r="CJ40" s="8">
        <f t="shared" si="10"/>
        <v>100</v>
      </c>
      <c r="CK40" s="14">
        <v>4.8</v>
      </c>
      <c r="CL40" s="19" t="s">
        <v>98</v>
      </c>
      <c r="CM40" s="23"/>
      <c r="CN40" s="23"/>
      <c r="CO40" s="24"/>
      <c r="CP40">
        <f>Form_Responses1[[#This Row],[Column89]]</f>
        <v>4.8</v>
      </c>
      <c r="CQ40">
        <f>IF(Form_Responses1[[#This Row],[Column94]]&gt;0,Form_Responses1[[#This Row],[Column94]],Form_Responses1[[#This Row],[Column91]])</f>
        <v>4.8</v>
      </c>
      <c r="CR40">
        <v>4.8</v>
      </c>
    </row>
    <row r="41" spans="1:96" ht="15">
      <c r="A41" s="6">
        <v>45618.566276712962</v>
      </c>
      <c r="B41" s="7">
        <v>0</v>
      </c>
      <c r="C41" s="7" t="s">
        <v>155</v>
      </c>
      <c r="D41" s="7" t="s">
        <v>93</v>
      </c>
      <c r="E41" s="7" t="s">
        <v>112</v>
      </c>
      <c r="F41" s="7" t="s">
        <v>95</v>
      </c>
      <c r="G41" s="7" t="s">
        <v>123</v>
      </c>
      <c r="H41" s="7" t="s">
        <v>102</v>
      </c>
      <c r="I41" s="7">
        <v>4</v>
      </c>
      <c r="J41" s="7">
        <v>4</v>
      </c>
      <c r="K41" s="7">
        <v>5</v>
      </c>
      <c r="L41" s="7">
        <v>4</v>
      </c>
      <c r="M41" s="7">
        <v>5</v>
      </c>
      <c r="N41" s="7">
        <v>4</v>
      </c>
      <c r="O41" s="7">
        <v>5</v>
      </c>
      <c r="P41" s="7">
        <v>4</v>
      </c>
      <c r="Q41" s="7">
        <v>4</v>
      </c>
      <c r="R41" s="7">
        <v>4</v>
      </c>
      <c r="S41" s="7">
        <v>4</v>
      </c>
      <c r="T41" s="7">
        <v>4</v>
      </c>
      <c r="U41" s="7">
        <v>5</v>
      </c>
      <c r="V41" s="7">
        <v>5</v>
      </c>
      <c r="W41" s="7">
        <v>4</v>
      </c>
      <c r="X41" s="7">
        <v>4</v>
      </c>
      <c r="Y41" s="7">
        <v>5</v>
      </c>
      <c r="Z41" s="7">
        <v>5</v>
      </c>
      <c r="AA41" s="7">
        <v>4</v>
      </c>
      <c r="AB41" s="7">
        <v>4</v>
      </c>
      <c r="AC41" s="7">
        <v>10</v>
      </c>
      <c r="AD41" s="7">
        <v>30</v>
      </c>
      <c r="AE41" s="7">
        <v>30</v>
      </c>
      <c r="AF41" s="7">
        <v>30</v>
      </c>
      <c r="AG41" s="8">
        <f t="shared" si="11"/>
        <v>100</v>
      </c>
      <c r="AH41" s="7">
        <v>25</v>
      </c>
      <c r="AI41" s="7">
        <v>25</v>
      </c>
      <c r="AJ41" s="7">
        <v>25</v>
      </c>
      <c r="AK41" s="7">
        <v>25</v>
      </c>
      <c r="AL41" s="8">
        <f t="shared" si="0"/>
        <v>100</v>
      </c>
      <c r="AM41" s="7">
        <v>25</v>
      </c>
      <c r="AN41" s="7">
        <v>25</v>
      </c>
      <c r="AO41" s="7">
        <v>25</v>
      </c>
      <c r="AP41" s="7">
        <v>25</v>
      </c>
      <c r="AQ41" s="8">
        <f t="shared" si="1"/>
        <v>100</v>
      </c>
      <c r="AR41" s="7">
        <v>25</v>
      </c>
      <c r="AS41" s="7">
        <v>25</v>
      </c>
      <c r="AT41" s="7">
        <v>25</v>
      </c>
      <c r="AU41" s="7">
        <v>25</v>
      </c>
      <c r="AV41" s="8">
        <f t="shared" si="2"/>
        <v>100</v>
      </c>
      <c r="AW41" s="7">
        <v>25</v>
      </c>
      <c r="AX41" s="7">
        <v>25</v>
      </c>
      <c r="AY41" s="7">
        <v>25</v>
      </c>
      <c r="AZ41" s="7">
        <v>25</v>
      </c>
      <c r="BA41" s="8">
        <f t="shared" si="3"/>
        <v>100</v>
      </c>
      <c r="BB41" s="7">
        <v>25</v>
      </c>
      <c r="BC41" s="7">
        <v>25</v>
      </c>
      <c r="BD41" s="7">
        <v>25</v>
      </c>
      <c r="BE41" s="7">
        <v>25</v>
      </c>
      <c r="BF41" s="8">
        <f t="shared" si="4"/>
        <v>100</v>
      </c>
      <c r="BG41" s="7">
        <v>25</v>
      </c>
      <c r="BH41" s="7">
        <v>25</v>
      </c>
      <c r="BI41" s="7">
        <v>25</v>
      </c>
      <c r="BJ41" s="7">
        <v>25</v>
      </c>
      <c r="BK41" s="8">
        <f t="shared" si="5"/>
        <v>100</v>
      </c>
      <c r="BL41" s="7">
        <v>25</v>
      </c>
      <c r="BM41" s="7">
        <v>25</v>
      </c>
      <c r="BN41" s="7">
        <v>25</v>
      </c>
      <c r="BO41" s="7">
        <v>25</v>
      </c>
      <c r="BP41" s="8">
        <f t="shared" si="6"/>
        <v>100</v>
      </c>
      <c r="BQ41" s="7">
        <v>25</v>
      </c>
      <c r="BR41" s="7">
        <v>25</v>
      </c>
      <c r="BS41" s="7">
        <v>25</v>
      </c>
      <c r="BT41" s="7">
        <v>25</v>
      </c>
      <c r="BU41" s="8">
        <f t="shared" si="7"/>
        <v>100</v>
      </c>
      <c r="BV41" s="7">
        <v>25</v>
      </c>
      <c r="BW41" s="7">
        <v>25</v>
      </c>
      <c r="BX41" s="7">
        <v>25</v>
      </c>
      <c r="BY41" s="7">
        <v>25</v>
      </c>
      <c r="BZ41" s="8">
        <f t="shared" si="8"/>
        <v>100</v>
      </c>
      <c r="CA41" s="7">
        <v>25</v>
      </c>
      <c r="CB41" s="7">
        <v>25</v>
      </c>
      <c r="CC41" s="7">
        <v>25</v>
      </c>
      <c r="CD41" s="7">
        <v>25</v>
      </c>
      <c r="CE41" s="8">
        <f t="shared" si="9"/>
        <v>100</v>
      </c>
      <c r="CF41" s="7">
        <v>25</v>
      </c>
      <c r="CG41" s="7">
        <v>25</v>
      </c>
      <c r="CH41" s="7">
        <v>25</v>
      </c>
      <c r="CI41" s="7">
        <v>25</v>
      </c>
      <c r="CJ41" s="8">
        <f t="shared" si="10"/>
        <v>100</v>
      </c>
      <c r="CK41" s="9">
        <v>4.8</v>
      </c>
      <c r="CL41" s="10" t="s">
        <v>98</v>
      </c>
      <c r="CM41" s="25"/>
      <c r="CN41" s="25"/>
      <c r="CO41" s="26"/>
      <c r="CP41">
        <f>Form_Responses1[[#This Row],[Column89]]</f>
        <v>4.8</v>
      </c>
      <c r="CQ41">
        <f>IF(Form_Responses1[[#This Row],[Column94]]&gt;0,Form_Responses1[[#This Row],[Column94]],Form_Responses1[[#This Row],[Column91]])</f>
        <v>4.8</v>
      </c>
      <c r="CR41">
        <v>4.8</v>
      </c>
    </row>
    <row r="42" spans="1:96" ht="15">
      <c r="A42" s="12">
        <v>45618.569265208338</v>
      </c>
      <c r="B42" s="13">
        <v>0</v>
      </c>
      <c r="C42" s="13" t="s">
        <v>156</v>
      </c>
      <c r="D42" s="13" t="s">
        <v>93</v>
      </c>
      <c r="E42" s="13" t="s">
        <v>100</v>
      </c>
      <c r="F42" s="13" t="s">
        <v>95</v>
      </c>
      <c r="G42" s="13" t="s">
        <v>109</v>
      </c>
      <c r="H42" s="13" t="s">
        <v>104</v>
      </c>
      <c r="I42" s="13">
        <v>5</v>
      </c>
      <c r="J42" s="13">
        <v>5</v>
      </c>
      <c r="K42" s="13">
        <v>5</v>
      </c>
      <c r="L42" s="13">
        <v>5</v>
      </c>
      <c r="M42" s="13">
        <v>5</v>
      </c>
      <c r="N42" s="13">
        <v>5</v>
      </c>
      <c r="O42" s="13">
        <v>5</v>
      </c>
      <c r="P42" s="13">
        <v>5</v>
      </c>
      <c r="Q42" s="13">
        <v>5</v>
      </c>
      <c r="R42" s="13">
        <v>5</v>
      </c>
      <c r="S42" s="13">
        <v>5</v>
      </c>
      <c r="T42" s="13">
        <v>5</v>
      </c>
      <c r="U42" s="13">
        <v>5</v>
      </c>
      <c r="V42" s="13">
        <v>5</v>
      </c>
      <c r="W42" s="13">
        <v>5</v>
      </c>
      <c r="X42" s="13">
        <v>5</v>
      </c>
      <c r="Y42" s="13">
        <v>5</v>
      </c>
      <c r="Z42" s="13">
        <v>5</v>
      </c>
      <c r="AA42" s="13">
        <v>5</v>
      </c>
      <c r="AB42" s="13">
        <v>5</v>
      </c>
      <c r="AC42" s="13">
        <v>40</v>
      </c>
      <c r="AD42" s="13">
        <v>30</v>
      </c>
      <c r="AE42" s="13">
        <v>20</v>
      </c>
      <c r="AF42" s="13">
        <v>10</v>
      </c>
      <c r="AG42" s="8">
        <f t="shared" si="11"/>
        <v>100</v>
      </c>
      <c r="AH42" s="13">
        <v>40</v>
      </c>
      <c r="AI42" s="13">
        <v>30</v>
      </c>
      <c r="AJ42" s="13">
        <v>20</v>
      </c>
      <c r="AK42" s="13">
        <v>10</v>
      </c>
      <c r="AL42" s="8">
        <f t="shared" si="0"/>
        <v>100</v>
      </c>
      <c r="AM42" s="13">
        <v>40</v>
      </c>
      <c r="AN42" s="13">
        <v>30</v>
      </c>
      <c r="AO42" s="13">
        <v>20</v>
      </c>
      <c r="AP42" s="13">
        <v>10</v>
      </c>
      <c r="AQ42" s="8">
        <f t="shared" si="1"/>
        <v>100</v>
      </c>
      <c r="AR42" s="13">
        <v>40</v>
      </c>
      <c r="AS42" s="13">
        <v>30</v>
      </c>
      <c r="AT42" s="13">
        <v>20</v>
      </c>
      <c r="AU42" s="13">
        <v>10</v>
      </c>
      <c r="AV42" s="8">
        <f t="shared" si="2"/>
        <v>100</v>
      </c>
      <c r="AW42" s="13">
        <v>40</v>
      </c>
      <c r="AX42" s="13">
        <v>30</v>
      </c>
      <c r="AY42" s="13">
        <v>20</v>
      </c>
      <c r="AZ42" s="13">
        <v>10</v>
      </c>
      <c r="BA42" s="8">
        <f t="shared" si="3"/>
        <v>100</v>
      </c>
      <c r="BB42" s="13">
        <v>40</v>
      </c>
      <c r="BC42" s="13">
        <v>30</v>
      </c>
      <c r="BD42" s="13">
        <v>20</v>
      </c>
      <c r="BE42" s="13">
        <v>10</v>
      </c>
      <c r="BF42" s="8">
        <f t="shared" si="4"/>
        <v>100</v>
      </c>
      <c r="BG42" s="13">
        <v>40</v>
      </c>
      <c r="BH42" s="13">
        <v>30</v>
      </c>
      <c r="BI42" s="13">
        <v>20</v>
      </c>
      <c r="BJ42" s="13">
        <v>10</v>
      </c>
      <c r="BK42" s="8">
        <f t="shared" si="5"/>
        <v>100</v>
      </c>
      <c r="BL42" s="13">
        <v>40</v>
      </c>
      <c r="BM42" s="13">
        <v>30</v>
      </c>
      <c r="BN42" s="13">
        <v>20</v>
      </c>
      <c r="BO42" s="13">
        <v>10</v>
      </c>
      <c r="BP42" s="8">
        <f t="shared" si="6"/>
        <v>100</v>
      </c>
      <c r="BQ42" s="13">
        <v>40</v>
      </c>
      <c r="BR42" s="13">
        <v>30</v>
      </c>
      <c r="BS42" s="13">
        <v>20</v>
      </c>
      <c r="BT42" s="13">
        <v>10</v>
      </c>
      <c r="BU42" s="8">
        <f t="shared" si="7"/>
        <v>100</v>
      </c>
      <c r="BV42" s="13">
        <v>40</v>
      </c>
      <c r="BW42" s="13">
        <v>30</v>
      </c>
      <c r="BX42" s="13">
        <v>20</v>
      </c>
      <c r="BY42" s="13">
        <v>10</v>
      </c>
      <c r="BZ42" s="8">
        <f t="shared" si="8"/>
        <v>100</v>
      </c>
      <c r="CA42" s="13">
        <v>40</v>
      </c>
      <c r="CB42" s="13">
        <v>30</v>
      </c>
      <c r="CC42" s="13">
        <v>20</v>
      </c>
      <c r="CD42" s="13">
        <v>10</v>
      </c>
      <c r="CE42" s="8">
        <f t="shared" si="9"/>
        <v>100</v>
      </c>
      <c r="CF42" s="13">
        <v>40</v>
      </c>
      <c r="CG42" s="13">
        <v>30</v>
      </c>
      <c r="CH42" s="13">
        <v>20</v>
      </c>
      <c r="CI42" s="13">
        <v>10</v>
      </c>
      <c r="CJ42" s="8">
        <f t="shared" si="10"/>
        <v>100</v>
      </c>
      <c r="CK42" s="14">
        <v>4.95</v>
      </c>
      <c r="CL42" s="14" t="s">
        <v>98</v>
      </c>
      <c r="CM42" s="23"/>
      <c r="CN42" s="23"/>
      <c r="CO42" s="24"/>
      <c r="CP42">
        <f>Form_Responses1[[#This Row],[Column89]]</f>
        <v>4.95</v>
      </c>
      <c r="CQ42">
        <f>IF(Form_Responses1[[#This Row],[Column94]]&gt;0,Form_Responses1[[#This Row],[Column94]],Form_Responses1[[#This Row],[Column91]])</f>
        <v>4.95</v>
      </c>
      <c r="CR42">
        <v>4.95</v>
      </c>
    </row>
    <row r="43" spans="1:96" ht="15">
      <c r="A43" s="6">
        <v>45618.570961400459</v>
      </c>
      <c r="B43" s="7">
        <v>0</v>
      </c>
      <c r="C43" s="7" t="s">
        <v>157</v>
      </c>
      <c r="D43" s="7" t="s">
        <v>93</v>
      </c>
      <c r="E43" s="7" t="s">
        <v>112</v>
      </c>
      <c r="F43" s="7" t="s">
        <v>95</v>
      </c>
      <c r="G43" s="7" t="s">
        <v>113</v>
      </c>
      <c r="H43" s="7" t="s">
        <v>102</v>
      </c>
      <c r="I43" s="7">
        <v>4</v>
      </c>
      <c r="J43" s="7">
        <v>2</v>
      </c>
      <c r="K43" s="7">
        <v>2</v>
      </c>
      <c r="L43" s="7">
        <v>3</v>
      </c>
      <c r="M43" s="7">
        <v>2</v>
      </c>
      <c r="N43" s="7">
        <v>4</v>
      </c>
      <c r="O43" s="7">
        <v>3</v>
      </c>
      <c r="P43" s="7">
        <v>4</v>
      </c>
      <c r="Q43" s="7">
        <v>3</v>
      </c>
      <c r="R43" s="7">
        <v>2</v>
      </c>
      <c r="S43" s="7">
        <v>4</v>
      </c>
      <c r="T43" s="7">
        <v>4</v>
      </c>
      <c r="U43" s="7">
        <v>3</v>
      </c>
      <c r="V43" s="7">
        <v>4</v>
      </c>
      <c r="W43" s="7">
        <v>2</v>
      </c>
      <c r="X43" s="7">
        <v>3</v>
      </c>
      <c r="Y43" s="7">
        <v>4</v>
      </c>
      <c r="Z43" s="7">
        <v>3</v>
      </c>
      <c r="AA43" s="7">
        <v>2</v>
      </c>
      <c r="AB43" s="7">
        <v>3</v>
      </c>
      <c r="AC43" s="7">
        <v>30</v>
      </c>
      <c r="AD43" s="7">
        <v>30</v>
      </c>
      <c r="AE43" s="7">
        <v>20</v>
      </c>
      <c r="AF43" s="7">
        <v>20</v>
      </c>
      <c r="AG43" s="8">
        <f t="shared" si="11"/>
        <v>100</v>
      </c>
      <c r="AH43" s="7">
        <v>20</v>
      </c>
      <c r="AI43" s="7">
        <v>20</v>
      </c>
      <c r="AJ43" s="7">
        <v>30</v>
      </c>
      <c r="AK43" s="7">
        <v>30</v>
      </c>
      <c r="AL43" s="8">
        <f t="shared" si="0"/>
        <v>100</v>
      </c>
      <c r="AM43" s="7">
        <v>20</v>
      </c>
      <c r="AN43" s="7">
        <v>20</v>
      </c>
      <c r="AO43" s="7">
        <v>30</v>
      </c>
      <c r="AP43" s="7">
        <v>30</v>
      </c>
      <c r="AQ43" s="8">
        <f t="shared" si="1"/>
        <v>100</v>
      </c>
      <c r="AR43" s="7">
        <v>20</v>
      </c>
      <c r="AS43" s="7">
        <v>20</v>
      </c>
      <c r="AT43" s="7">
        <v>20</v>
      </c>
      <c r="AU43" s="7">
        <v>40</v>
      </c>
      <c r="AV43" s="8">
        <f t="shared" si="2"/>
        <v>100</v>
      </c>
      <c r="AW43" s="7">
        <v>20</v>
      </c>
      <c r="AX43" s="7">
        <v>20</v>
      </c>
      <c r="AY43" s="7">
        <v>30</v>
      </c>
      <c r="AZ43" s="7">
        <v>30</v>
      </c>
      <c r="BA43" s="8">
        <f t="shared" si="3"/>
        <v>100</v>
      </c>
      <c r="BB43" s="7">
        <v>30</v>
      </c>
      <c r="BC43" s="7">
        <v>30</v>
      </c>
      <c r="BD43" s="7">
        <v>20</v>
      </c>
      <c r="BE43" s="7">
        <v>20</v>
      </c>
      <c r="BF43" s="8">
        <f t="shared" si="4"/>
        <v>100</v>
      </c>
      <c r="BG43" s="7">
        <v>20</v>
      </c>
      <c r="BH43" s="7">
        <v>20</v>
      </c>
      <c r="BI43" s="7">
        <v>40</v>
      </c>
      <c r="BJ43" s="7">
        <v>20</v>
      </c>
      <c r="BK43" s="8">
        <f t="shared" si="5"/>
        <v>100</v>
      </c>
      <c r="BL43" s="7">
        <v>30</v>
      </c>
      <c r="BM43" s="7">
        <v>30</v>
      </c>
      <c r="BN43" s="7">
        <v>20</v>
      </c>
      <c r="BO43" s="7">
        <v>20</v>
      </c>
      <c r="BP43" s="8">
        <f t="shared" si="6"/>
        <v>100</v>
      </c>
      <c r="BQ43" s="7">
        <v>30</v>
      </c>
      <c r="BR43" s="7">
        <v>30</v>
      </c>
      <c r="BS43" s="7">
        <v>20</v>
      </c>
      <c r="BT43" s="7">
        <v>20</v>
      </c>
      <c r="BU43" s="8">
        <f t="shared" si="7"/>
        <v>100</v>
      </c>
      <c r="BV43" s="7">
        <v>20</v>
      </c>
      <c r="BW43" s="7">
        <v>20</v>
      </c>
      <c r="BX43" s="7">
        <v>20</v>
      </c>
      <c r="BY43" s="7">
        <v>40</v>
      </c>
      <c r="BZ43" s="8">
        <f t="shared" si="8"/>
        <v>100</v>
      </c>
      <c r="CA43" s="7">
        <v>30</v>
      </c>
      <c r="CB43" s="7">
        <v>30</v>
      </c>
      <c r="CC43" s="7">
        <v>20</v>
      </c>
      <c r="CD43" s="7">
        <v>20</v>
      </c>
      <c r="CE43" s="8">
        <f t="shared" si="9"/>
        <v>100</v>
      </c>
      <c r="CF43" s="7">
        <v>20</v>
      </c>
      <c r="CG43" s="7">
        <v>20</v>
      </c>
      <c r="CH43" s="7">
        <v>30</v>
      </c>
      <c r="CI43" s="7">
        <v>30</v>
      </c>
      <c r="CJ43" s="8">
        <f t="shared" si="10"/>
        <v>100</v>
      </c>
      <c r="CK43" s="32"/>
      <c r="CL43" s="32"/>
      <c r="CM43" s="9">
        <v>4.05</v>
      </c>
      <c r="CN43" s="16" t="s">
        <v>98</v>
      </c>
      <c r="CO43" s="17"/>
      <c r="CP43">
        <f>Form_Responses1[[#This Row],[Column89]]</f>
        <v>0</v>
      </c>
      <c r="CQ43">
        <f>IF(Form_Responses1[[#This Row],[Column94]]&gt;0,Form_Responses1[[#This Row],[Column94]],Form_Responses1[[#This Row],[Column91]])</f>
        <v>4.05</v>
      </c>
      <c r="CR43">
        <v>4.05</v>
      </c>
    </row>
    <row r="44" spans="1:96" ht="15">
      <c r="A44" s="12">
        <v>45618.570974918985</v>
      </c>
      <c r="B44" s="13">
        <v>0</v>
      </c>
      <c r="C44" s="13" t="s">
        <v>158</v>
      </c>
      <c r="D44" s="13" t="s">
        <v>93</v>
      </c>
      <c r="E44" s="13" t="s">
        <v>100</v>
      </c>
      <c r="F44" s="13" t="s">
        <v>101</v>
      </c>
      <c r="G44" s="13" t="s">
        <v>109</v>
      </c>
      <c r="H44" s="13" t="s">
        <v>102</v>
      </c>
      <c r="I44" s="13">
        <v>4</v>
      </c>
      <c r="J44" s="13">
        <v>4</v>
      </c>
      <c r="K44" s="13">
        <v>3</v>
      </c>
      <c r="L44" s="13">
        <v>4</v>
      </c>
      <c r="M44" s="13">
        <v>4</v>
      </c>
      <c r="N44" s="13">
        <v>3</v>
      </c>
      <c r="O44" s="13">
        <v>4</v>
      </c>
      <c r="P44" s="13">
        <v>4</v>
      </c>
      <c r="Q44" s="13">
        <v>4</v>
      </c>
      <c r="R44" s="13">
        <v>4</v>
      </c>
      <c r="S44" s="13">
        <v>3</v>
      </c>
      <c r="T44" s="13">
        <v>3</v>
      </c>
      <c r="U44" s="13">
        <v>3</v>
      </c>
      <c r="V44" s="13">
        <v>3</v>
      </c>
      <c r="W44" s="13">
        <v>4</v>
      </c>
      <c r="X44" s="13">
        <v>4</v>
      </c>
      <c r="Y44" s="13">
        <v>4</v>
      </c>
      <c r="Z44" s="13">
        <v>4</v>
      </c>
      <c r="AA44" s="13">
        <v>3</v>
      </c>
      <c r="AB44" s="13">
        <v>4</v>
      </c>
      <c r="AC44" s="13">
        <v>40</v>
      </c>
      <c r="AD44" s="13">
        <v>20</v>
      </c>
      <c r="AE44" s="13">
        <v>20</v>
      </c>
      <c r="AF44" s="13">
        <v>20</v>
      </c>
      <c r="AG44" s="8">
        <f t="shared" si="11"/>
        <v>100</v>
      </c>
      <c r="AH44" s="13">
        <v>40</v>
      </c>
      <c r="AI44" s="13">
        <v>20</v>
      </c>
      <c r="AJ44" s="13">
        <v>20</v>
      </c>
      <c r="AK44" s="13">
        <v>20</v>
      </c>
      <c r="AL44" s="8">
        <f t="shared" si="0"/>
        <v>100</v>
      </c>
      <c r="AM44" s="13">
        <v>50</v>
      </c>
      <c r="AN44" s="13">
        <v>30</v>
      </c>
      <c r="AO44" s="13">
        <v>10</v>
      </c>
      <c r="AP44" s="13">
        <v>10</v>
      </c>
      <c r="AQ44" s="8">
        <f t="shared" si="1"/>
        <v>100</v>
      </c>
      <c r="AR44" s="13">
        <v>40</v>
      </c>
      <c r="AS44" s="13">
        <v>20</v>
      </c>
      <c r="AT44" s="13">
        <v>20</v>
      </c>
      <c r="AU44" s="13">
        <v>20</v>
      </c>
      <c r="AV44" s="8">
        <f t="shared" si="2"/>
        <v>100</v>
      </c>
      <c r="AW44" s="13">
        <v>50</v>
      </c>
      <c r="AX44" s="13">
        <v>30</v>
      </c>
      <c r="AY44" s="13">
        <v>10</v>
      </c>
      <c r="AZ44" s="13">
        <v>10</v>
      </c>
      <c r="BA44" s="8">
        <f t="shared" si="3"/>
        <v>100</v>
      </c>
      <c r="BB44" s="13">
        <v>40</v>
      </c>
      <c r="BC44" s="13">
        <v>20</v>
      </c>
      <c r="BD44" s="13">
        <v>20</v>
      </c>
      <c r="BE44" s="13">
        <v>20</v>
      </c>
      <c r="BF44" s="8">
        <f t="shared" si="4"/>
        <v>100</v>
      </c>
      <c r="BG44" s="13">
        <v>40</v>
      </c>
      <c r="BH44" s="13">
        <v>30</v>
      </c>
      <c r="BI44" s="13">
        <v>15</v>
      </c>
      <c r="BJ44" s="13">
        <v>15</v>
      </c>
      <c r="BK44" s="8">
        <f t="shared" si="5"/>
        <v>100</v>
      </c>
      <c r="BL44" s="13">
        <v>50</v>
      </c>
      <c r="BM44" s="13">
        <v>30</v>
      </c>
      <c r="BN44" s="13">
        <v>10</v>
      </c>
      <c r="BO44" s="13">
        <v>10</v>
      </c>
      <c r="BP44" s="8">
        <f t="shared" si="6"/>
        <v>100</v>
      </c>
      <c r="BQ44" s="13">
        <v>50</v>
      </c>
      <c r="BR44" s="13">
        <v>30</v>
      </c>
      <c r="BS44" s="13">
        <v>10</v>
      </c>
      <c r="BT44" s="13">
        <v>10</v>
      </c>
      <c r="BU44" s="8">
        <f t="shared" si="7"/>
        <v>100</v>
      </c>
      <c r="BV44" s="13">
        <v>50</v>
      </c>
      <c r="BW44" s="13">
        <v>30</v>
      </c>
      <c r="BX44" s="13">
        <v>10</v>
      </c>
      <c r="BY44" s="13">
        <v>10</v>
      </c>
      <c r="BZ44" s="8">
        <f t="shared" si="8"/>
        <v>100</v>
      </c>
      <c r="CA44" s="13">
        <v>50</v>
      </c>
      <c r="CB44" s="13">
        <v>30</v>
      </c>
      <c r="CC44" s="13">
        <v>10</v>
      </c>
      <c r="CD44" s="13">
        <v>10</v>
      </c>
      <c r="CE44" s="8">
        <f t="shared" si="9"/>
        <v>100</v>
      </c>
      <c r="CF44" s="13">
        <v>40</v>
      </c>
      <c r="CG44" s="13">
        <v>20</v>
      </c>
      <c r="CH44" s="13">
        <v>20</v>
      </c>
      <c r="CI44" s="13">
        <v>20</v>
      </c>
      <c r="CJ44" s="8">
        <f t="shared" si="10"/>
        <v>100</v>
      </c>
      <c r="CK44" s="14">
        <v>4.1500000000000004</v>
      </c>
      <c r="CL44" s="19" t="s">
        <v>98</v>
      </c>
      <c r="CM44" s="23"/>
      <c r="CN44" s="23"/>
      <c r="CO44" s="24"/>
      <c r="CP44">
        <f>Form_Responses1[[#This Row],[Column89]]</f>
        <v>4.1500000000000004</v>
      </c>
      <c r="CQ44">
        <f>IF(Form_Responses1[[#This Row],[Column94]]&gt;0,Form_Responses1[[#This Row],[Column94]],Form_Responses1[[#This Row],[Column91]])</f>
        <v>4.1500000000000004</v>
      </c>
      <c r="CR44">
        <v>4.1500000000000004</v>
      </c>
    </row>
    <row r="45" spans="1:96" ht="15">
      <c r="A45" s="6">
        <v>45618.573929814811</v>
      </c>
      <c r="B45" s="7">
        <v>0</v>
      </c>
      <c r="C45" s="7" t="s">
        <v>159</v>
      </c>
      <c r="D45" s="7" t="s">
        <v>93</v>
      </c>
      <c r="E45" s="7" t="s">
        <v>94</v>
      </c>
      <c r="F45" s="7" t="s">
        <v>130</v>
      </c>
      <c r="G45" s="7" t="s">
        <v>96</v>
      </c>
      <c r="H45" s="7" t="s">
        <v>102</v>
      </c>
      <c r="I45" s="7">
        <v>5</v>
      </c>
      <c r="J45" s="7">
        <v>4</v>
      </c>
      <c r="K45" s="7">
        <v>5</v>
      </c>
      <c r="L45" s="7">
        <v>5</v>
      </c>
      <c r="M45" s="7">
        <v>5</v>
      </c>
      <c r="N45" s="7">
        <v>4</v>
      </c>
      <c r="O45" s="7">
        <v>5</v>
      </c>
      <c r="P45" s="7">
        <v>5</v>
      </c>
      <c r="Q45" s="7">
        <v>4</v>
      </c>
      <c r="R45" s="7">
        <v>4</v>
      </c>
      <c r="S45" s="7">
        <v>4</v>
      </c>
      <c r="T45" s="7">
        <v>5</v>
      </c>
      <c r="U45" s="7">
        <v>4</v>
      </c>
      <c r="V45" s="7">
        <v>4</v>
      </c>
      <c r="W45" s="7">
        <v>5</v>
      </c>
      <c r="X45" s="7">
        <v>5</v>
      </c>
      <c r="Y45" s="7">
        <v>4</v>
      </c>
      <c r="Z45" s="7">
        <v>5</v>
      </c>
      <c r="AA45" s="7">
        <v>4</v>
      </c>
      <c r="AB45" s="7">
        <v>5</v>
      </c>
      <c r="AC45" s="7">
        <v>40</v>
      </c>
      <c r="AD45" s="7">
        <v>25</v>
      </c>
      <c r="AE45" s="7">
        <v>25</v>
      </c>
      <c r="AF45" s="7">
        <v>10</v>
      </c>
      <c r="AG45" s="8">
        <f t="shared" si="11"/>
        <v>100</v>
      </c>
      <c r="AH45" s="7">
        <v>50</v>
      </c>
      <c r="AI45" s="7">
        <v>20</v>
      </c>
      <c r="AJ45" s="7">
        <v>10</v>
      </c>
      <c r="AK45" s="7">
        <v>20</v>
      </c>
      <c r="AL45" s="8">
        <f t="shared" si="0"/>
        <v>100</v>
      </c>
      <c r="AM45" s="7">
        <v>15</v>
      </c>
      <c r="AN45" s="7">
        <v>40</v>
      </c>
      <c r="AO45" s="7">
        <v>30</v>
      </c>
      <c r="AP45" s="7">
        <v>15</v>
      </c>
      <c r="AQ45" s="8">
        <f t="shared" si="1"/>
        <v>100</v>
      </c>
      <c r="AR45" s="7">
        <v>20</v>
      </c>
      <c r="AS45" s="7">
        <v>10</v>
      </c>
      <c r="AT45" s="7">
        <v>30</v>
      </c>
      <c r="AU45" s="7">
        <v>40</v>
      </c>
      <c r="AV45" s="8">
        <f t="shared" si="2"/>
        <v>100</v>
      </c>
      <c r="AW45" s="7">
        <v>10</v>
      </c>
      <c r="AX45" s="7">
        <v>20</v>
      </c>
      <c r="AY45" s="7">
        <v>30</v>
      </c>
      <c r="AZ45" s="7">
        <v>40</v>
      </c>
      <c r="BA45" s="8">
        <f t="shared" si="3"/>
        <v>100</v>
      </c>
      <c r="BB45" s="7">
        <v>10</v>
      </c>
      <c r="BC45" s="7">
        <v>20</v>
      </c>
      <c r="BD45" s="7">
        <v>30</v>
      </c>
      <c r="BE45" s="7">
        <v>40</v>
      </c>
      <c r="BF45" s="8">
        <f t="shared" si="4"/>
        <v>100</v>
      </c>
      <c r="BG45" s="7">
        <v>40</v>
      </c>
      <c r="BH45" s="7">
        <v>30</v>
      </c>
      <c r="BI45" s="7">
        <v>20</v>
      </c>
      <c r="BJ45" s="7">
        <v>10</v>
      </c>
      <c r="BK45" s="8">
        <f t="shared" si="5"/>
        <v>100</v>
      </c>
      <c r="BL45" s="7">
        <v>15</v>
      </c>
      <c r="BM45" s="7">
        <v>25</v>
      </c>
      <c r="BN45" s="7">
        <v>35</v>
      </c>
      <c r="BO45" s="7">
        <v>25</v>
      </c>
      <c r="BP45" s="8">
        <f t="shared" si="6"/>
        <v>100</v>
      </c>
      <c r="BQ45" s="7">
        <v>20</v>
      </c>
      <c r="BR45" s="7">
        <v>30</v>
      </c>
      <c r="BS45" s="7">
        <v>10</v>
      </c>
      <c r="BT45" s="7">
        <v>40</v>
      </c>
      <c r="BU45" s="8">
        <f t="shared" si="7"/>
        <v>100</v>
      </c>
      <c r="BV45" s="7">
        <v>10</v>
      </c>
      <c r="BW45" s="7">
        <v>20</v>
      </c>
      <c r="BX45" s="7">
        <v>30</v>
      </c>
      <c r="BY45" s="7">
        <v>40</v>
      </c>
      <c r="BZ45" s="8">
        <f t="shared" si="8"/>
        <v>100</v>
      </c>
      <c r="CA45" s="7">
        <v>35</v>
      </c>
      <c r="CB45" s="7">
        <v>25</v>
      </c>
      <c r="CC45" s="7">
        <v>25</v>
      </c>
      <c r="CD45" s="7">
        <v>15</v>
      </c>
      <c r="CE45" s="8">
        <f t="shared" si="9"/>
        <v>100</v>
      </c>
      <c r="CF45" s="7">
        <v>20</v>
      </c>
      <c r="CG45" s="7">
        <v>30</v>
      </c>
      <c r="CH45" s="7">
        <v>40</v>
      </c>
      <c r="CI45" s="7">
        <v>10</v>
      </c>
      <c r="CJ45" s="8">
        <f t="shared" si="10"/>
        <v>100</v>
      </c>
      <c r="CK45" s="9">
        <v>4.8600000000000003</v>
      </c>
      <c r="CL45" s="10" t="s">
        <v>98</v>
      </c>
      <c r="CM45" s="25"/>
      <c r="CN45" s="25"/>
      <c r="CO45" s="26"/>
      <c r="CP45">
        <f>Form_Responses1[[#This Row],[Column89]]</f>
        <v>4.8600000000000003</v>
      </c>
      <c r="CQ45">
        <f>IF(Form_Responses1[[#This Row],[Column94]]&gt;0,Form_Responses1[[#This Row],[Column94]],Form_Responses1[[#This Row],[Column91]])</f>
        <v>4.8600000000000003</v>
      </c>
      <c r="CR45">
        <v>4.8600000000000003</v>
      </c>
    </row>
    <row r="46" spans="1:96" ht="15">
      <c r="A46" s="12">
        <v>45618.574008449075</v>
      </c>
      <c r="B46" s="13">
        <v>0</v>
      </c>
      <c r="C46" s="13" t="s">
        <v>160</v>
      </c>
      <c r="D46" s="13" t="s">
        <v>107</v>
      </c>
      <c r="E46" s="13" t="s">
        <v>100</v>
      </c>
      <c r="F46" s="13" t="s">
        <v>101</v>
      </c>
      <c r="G46" s="13" t="s">
        <v>96</v>
      </c>
      <c r="H46" s="13" t="s">
        <v>120</v>
      </c>
      <c r="I46" s="13">
        <v>5</v>
      </c>
      <c r="J46" s="13">
        <v>4</v>
      </c>
      <c r="K46" s="13">
        <v>4</v>
      </c>
      <c r="L46" s="13">
        <v>4</v>
      </c>
      <c r="M46" s="13">
        <v>4</v>
      </c>
      <c r="N46" s="13">
        <v>4</v>
      </c>
      <c r="O46" s="13">
        <v>4</v>
      </c>
      <c r="P46" s="13">
        <v>5</v>
      </c>
      <c r="Q46" s="13">
        <v>4</v>
      </c>
      <c r="R46" s="13">
        <v>4</v>
      </c>
      <c r="S46" s="13">
        <v>5</v>
      </c>
      <c r="T46" s="13">
        <v>5</v>
      </c>
      <c r="U46" s="13">
        <v>5</v>
      </c>
      <c r="V46" s="13">
        <v>4</v>
      </c>
      <c r="W46" s="13">
        <v>5</v>
      </c>
      <c r="X46" s="13">
        <v>5</v>
      </c>
      <c r="Y46" s="13">
        <v>5</v>
      </c>
      <c r="Z46" s="13">
        <v>5</v>
      </c>
      <c r="AA46" s="13">
        <v>5</v>
      </c>
      <c r="AB46" s="13">
        <v>5</v>
      </c>
      <c r="AC46" s="13">
        <v>20</v>
      </c>
      <c r="AD46" s="13">
        <v>10</v>
      </c>
      <c r="AE46" s="13">
        <v>30</v>
      </c>
      <c r="AF46" s="13">
        <v>40</v>
      </c>
      <c r="AG46" s="8">
        <f t="shared" si="11"/>
        <v>100</v>
      </c>
      <c r="AH46" s="13">
        <v>40</v>
      </c>
      <c r="AI46" s="13">
        <v>10</v>
      </c>
      <c r="AJ46" s="13">
        <v>20</v>
      </c>
      <c r="AK46" s="13">
        <v>30</v>
      </c>
      <c r="AL46" s="8">
        <f t="shared" si="0"/>
        <v>100</v>
      </c>
      <c r="AM46" s="13">
        <v>20</v>
      </c>
      <c r="AN46" s="13">
        <v>30</v>
      </c>
      <c r="AO46" s="13">
        <v>10</v>
      </c>
      <c r="AP46" s="13">
        <v>40</v>
      </c>
      <c r="AQ46" s="8">
        <f t="shared" si="1"/>
        <v>100</v>
      </c>
      <c r="AR46" s="13">
        <v>10</v>
      </c>
      <c r="AS46" s="13">
        <v>20</v>
      </c>
      <c r="AT46" s="13">
        <v>40</v>
      </c>
      <c r="AU46" s="13">
        <v>30</v>
      </c>
      <c r="AV46" s="8">
        <f t="shared" si="2"/>
        <v>100</v>
      </c>
      <c r="AW46" s="13">
        <v>30</v>
      </c>
      <c r="AX46" s="13">
        <v>20</v>
      </c>
      <c r="AY46" s="13">
        <v>10</v>
      </c>
      <c r="AZ46" s="13">
        <v>40</v>
      </c>
      <c r="BA46" s="8">
        <f t="shared" si="3"/>
        <v>100</v>
      </c>
      <c r="BB46" s="13">
        <v>20</v>
      </c>
      <c r="BC46" s="13">
        <v>30</v>
      </c>
      <c r="BD46" s="13">
        <v>10</v>
      </c>
      <c r="BE46" s="13">
        <v>40</v>
      </c>
      <c r="BF46" s="8">
        <f t="shared" si="4"/>
        <v>100</v>
      </c>
      <c r="BG46" s="13">
        <v>20</v>
      </c>
      <c r="BH46" s="13">
        <v>30</v>
      </c>
      <c r="BI46" s="13">
        <v>10</v>
      </c>
      <c r="BJ46" s="13">
        <v>40</v>
      </c>
      <c r="BK46" s="8">
        <f t="shared" si="5"/>
        <v>100</v>
      </c>
      <c r="BL46" s="13">
        <v>10</v>
      </c>
      <c r="BM46" s="13">
        <v>20</v>
      </c>
      <c r="BN46" s="13">
        <v>30</v>
      </c>
      <c r="BO46" s="13">
        <v>40</v>
      </c>
      <c r="BP46" s="8">
        <f t="shared" si="6"/>
        <v>100</v>
      </c>
      <c r="BQ46" s="13">
        <v>40</v>
      </c>
      <c r="BR46" s="13">
        <v>30</v>
      </c>
      <c r="BS46" s="13">
        <v>20</v>
      </c>
      <c r="BT46" s="13">
        <v>10</v>
      </c>
      <c r="BU46" s="8">
        <f t="shared" si="7"/>
        <v>100</v>
      </c>
      <c r="BV46" s="13">
        <v>40</v>
      </c>
      <c r="BW46" s="13">
        <v>30</v>
      </c>
      <c r="BX46" s="13">
        <v>20</v>
      </c>
      <c r="BY46" s="13">
        <v>10</v>
      </c>
      <c r="BZ46" s="8">
        <f t="shared" si="8"/>
        <v>100</v>
      </c>
      <c r="CA46" s="13">
        <v>40</v>
      </c>
      <c r="CB46" s="13">
        <v>30</v>
      </c>
      <c r="CC46" s="13">
        <v>10</v>
      </c>
      <c r="CD46" s="13">
        <v>20</v>
      </c>
      <c r="CE46" s="8">
        <f t="shared" si="9"/>
        <v>100</v>
      </c>
      <c r="CF46" s="13">
        <v>40</v>
      </c>
      <c r="CG46" s="13">
        <v>30</v>
      </c>
      <c r="CH46" s="13">
        <v>20</v>
      </c>
      <c r="CI46" s="13">
        <v>10</v>
      </c>
      <c r="CJ46" s="8">
        <f t="shared" si="10"/>
        <v>100</v>
      </c>
      <c r="CK46" s="14">
        <v>4.2300000000000004</v>
      </c>
      <c r="CL46" s="19" t="s">
        <v>98</v>
      </c>
      <c r="CM46" s="23"/>
      <c r="CN46" s="23"/>
      <c r="CO46" s="24"/>
      <c r="CP46">
        <f>Form_Responses1[[#This Row],[Column89]]</f>
        <v>4.2300000000000004</v>
      </c>
      <c r="CQ46">
        <f>IF(Form_Responses1[[#This Row],[Column94]]&gt;0,Form_Responses1[[#This Row],[Column94]],Form_Responses1[[#This Row],[Column91]])</f>
        <v>4.2300000000000004</v>
      </c>
      <c r="CR46">
        <v>4.2300000000000004</v>
      </c>
    </row>
    <row r="47" spans="1:96" ht="15">
      <c r="A47" s="6">
        <v>45618.574410474539</v>
      </c>
      <c r="B47" s="7">
        <v>0</v>
      </c>
      <c r="C47" s="7" t="s">
        <v>161</v>
      </c>
      <c r="D47" s="7" t="s">
        <v>107</v>
      </c>
      <c r="E47" s="7" t="s">
        <v>112</v>
      </c>
      <c r="F47" s="7" t="s">
        <v>130</v>
      </c>
      <c r="G47" s="7" t="s">
        <v>123</v>
      </c>
      <c r="H47" s="7" t="s">
        <v>102</v>
      </c>
      <c r="I47" s="7">
        <v>5</v>
      </c>
      <c r="J47" s="7">
        <v>3</v>
      </c>
      <c r="K47" s="7">
        <v>3</v>
      </c>
      <c r="L47" s="7">
        <v>3</v>
      </c>
      <c r="M47" s="7">
        <v>4</v>
      </c>
      <c r="N47" s="7">
        <v>3</v>
      </c>
      <c r="O47" s="7">
        <v>3</v>
      </c>
      <c r="P47" s="7">
        <v>2</v>
      </c>
      <c r="Q47" s="7">
        <v>4</v>
      </c>
      <c r="R47" s="7">
        <v>3</v>
      </c>
      <c r="S47" s="7">
        <v>3</v>
      </c>
      <c r="T47" s="7">
        <v>4</v>
      </c>
      <c r="U47" s="7">
        <v>3</v>
      </c>
      <c r="V47" s="7">
        <v>3</v>
      </c>
      <c r="W47" s="7">
        <v>3</v>
      </c>
      <c r="X47" s="7">
        <v>2</v>
      </c>
      <c r="Y47" s="7">
        <v>3</v>
      </c>
      <c r="Z47" s="7">
        <v>4</v>
      </c>
      <c r="AA47" s="7">
        <v>4</v>
      </c>
      <c r="AB47" s="7">
        <v>3</v>
      </c>
      <c r="AC47" s="7">
        <v>10</v>
      </c>
      <c r="AD47" s="7">
        <v>25</v>
      </c>
      <c r="AE47" s="7">
        <v>25</v>
      </c>
      <c r="AF47" s="7">
        <v>40</v>
      </c>
      <c r="AG47" s="8">
        <f t="shared" si="11"/>
        <v>100</v>
      </c>
      <c r="AH47" s="7">
        <v>15</v>
      </c>
      <c r="AI47" s="7">
        <v>15</v>
      </c>
      <c r="AJ47" s="7">
        <v>30</v>
      </c>
      <c r="AK47" s="7">
        <v>40</v>
      </c>
      <c r="AL47" s="8">
        <f t="shared" si="0"/>
        <v>100</v>
      </c>
      <c r="AM47" s="7">
        <v>20</v>
      </c>
      <c r="AN47" s="7">
        <v>20</v>
      </c>
      <c r="AO47" s="7">
        <v>20</v>
      </c>
      <c r="AP47" s="7">
        <v>40</v>
      </c>
      <c r="AQ47" s="8">
        <f t="shared" si="1"/>
        <v>100</v>
      </c>
      <c r="AR47" s="7">
        <v>25</v>
      </c>
      <c r="AS47" s="7">
        <v>25</v>
      </c>
      <c r="AT47" s="7">
        <v>25</v>
      </c>
      <c r="AU47" s="7">
        <v>25</v>
      </c>
      <c r="AV47" s="8">
        <f t="shared" si="2"/>
        <v>100</v>
      </c>
      <c r="AW47" s="7">
        <v>25</v>
      </c>
      <c r="AX47" s="7">
        <v>25</v>
      </c>
      <c r="AY47" s="7">
        <v>25</v>
      </c>
      <c r="AZ47" s="7">
        <v>25</v>
      </c>
      <c r="BA47" s="8">
        <f t="shared" si="3"/>
        <v>100</v>
      </c>
      <c r="BB47" s="7">
        <v>25</v>
      </c>
      <c r="BC47" s="7">
        <v>25</v>
      </c>
      <c r="BD47" s="7">
        <v>25</v>
      </c>
      <c r="BE47" s="7">
        <v>25</v>
      </c>
      <c r="BF47" s="8">
        <f t="shared" si="4"/>
        <v>100</v>
      </c>
      <c r="BG47" s="7">
        <v>20</v>
      </c>
      <c r="BH47" s="7">
        <v>20</v>
      </c>
      <c r="BI47" s="7">
        <v>10</v>
      </c>
      <c r="BJ47" s="7">
        <v>50</v>
      </c>
      <c r="BK47" s="8">
        <f t="shared" si="5"/>
        <v>100</v>
      </c>
      <c r="BL47" s="7">
        <v>20</v>
      </c>
      <c r="BM47" s="7">
        <v>30</v>
      </c>
      <c r="BN47" s="7">
        <v>20</v>
      </c>
      <c r="BO47" s="7">
        <v>30</v>
      </c>
      <c r="BP47" s="8">
        <f t="shared" si="6"/>
        <v>100</v>
      </c>
      <c r="BQ47" s="7">
        <v>20</v>
      </c>
      <c r="BR47" s="7">
        <v>30</v>
      </c>
      <c r="BS47" s="7">
        <v>20</v>
      </c>
      <c r="BT47" s="7">
        <v>30</v>
      </c>
      <c r="BU47" s="8">
        <f t="shared" si="7"/>
        <v>100</v>
      </c>
      <c r="BV47" s="7">
        <v>25</v>
      </c>
      <c r="BW47" s="7">
        <v>25</v>
      </c>
      <c r="BX47" s="7">
        <v>25</v>
      </c>
      <c r="BY47" s="7">
        <v>25</v>
      </c>
      <c r="BZ47" s="8">
        <f t="shared" si="8"/>
        <v>100</v>
      </c>
      <c r="CA47" s="7">
        <v>25</v>
      </c>
      <c r="CB47" s="7">
        <v>25</v>
      </c>
      <c r="CC47" s="7">
        <v>25</v>
      </c>
      <c r="CD47" s="7">
        <v>25</v>
      </c>
      <c r="CE47" s="8">
        <f t="shared" si="9"/>
        <v>100</v>
      </c>
      <c r="CF47" s="7">
        <v>25</v>
      </c>
      <c r="CG47" s="7">
        <v>25</v>
      </c>
      <c r="CH47" s="7">
        <v>25</v>
      </c>
      <c r="CI47" s="7">
        <v>25</v>
      </c>
      <c r="CJ47" s="8">
        <f t="shared" si="10"/>
        <v>100</v>
      </c>
      <c r="CK47" s="9">
        <v>4.1500000000000004</v>
      </c>
      <c r="CL47" s="10" t="s">
        <v>98</v>
      </c>
      <c r="CM47" s="25"/>
      <c r="CN47" s="25"/>
      <c r="CO47" s="26"/>
      <c r="CP47">
        <f>Form_Responses1[[#This Row],[Column89]]</f>
        <v>4.1500000000000004</v>
      </c>
      <c r="CQ47">
        <f>IF(Form_Responses1[[#This Row],[Column94]]&gt;0,Form_Responses1[[#This Row],[Column94]],Form_Responses1[[#This Row],[Column91]])</f>
        <v>4.1500000000000004</v>
      </c>
      <c r="CR47">
        <v>4.1500000000000004</v>
      </c>
    </row>
    <row r="48" spans="1:96" ht="15">
      <c r="A48" s="12">
        <v>45618.575233784723</v>
      </c>
      <c r="B48" s="13">
        <v>0</v>
      </c>
      <c r="C48" s="13" t="s">
        <v>162</v>
      </c>
      <c r="D48" s="13" t="s">
        <v>93</v>
      </c>
      <c r="E48" s="13" t="s">
        <v>112</v>
      </c>
      <c r="F48" s="13" t="s">
        <v>130</v>
      </c>
      <c r="G48" s="13" t="s">
        <v>96</v>
      </c>
      <c r="H48" s="13" t="s">
        <v>102</v>
      </c>
      <c r="I48" s="13">
        <v>5</v>
      </c>
      <c r="J48" s="13">
        <v>4</v>
      </c>
      <c r="K48" s="13">
        <v>5</v>
      </c>
      <c r="L48" s="13">
        <v>5</v>
      </c>
      <c r="M48" s="13">
        <v>5</v>
      </c>
      <c r="N48" s="13">
        <v>4</v>
      </c>
      <c r="O48" s="13">
        <v>5</v>
      </c>
      <c r="P48" s="13">
        <v>4</v>
      </c>
      <c r="Q48" s="13">
        <v>4</v>
      </c>
      <c r="R48" s="13">
        <v>5</v>
      </c>
      <c r="S48" s="13">
        <v>5</v>
      </c>
      <c r="T48" s="13">
        <v>5</v>
      </c>
      <c r="U48" s="13">
        <v>5</v>
      </c>
      <c r="V48" s="13">
        <v>5</v>
      </c>
      <c r="W48" s="13">
        <v>4</v>
      </c>
      <c r="X48" s="13">
        <v>5</v>
      </c>
      <c r="Y48" s="13">
        <v>4</v>
      </c>
      <c r="Z48" s="13">
        <v>5</v>
      </c>
      <c r="AA48" s="13">
        <v>4</v>
      </c>
      <c r="AB48" s="13">
        <v>4</v>
      </c>
      <c r="AC48" s="13">
        <v>30</v>
      </c>
      <c r="AD48" s="13">
        <v>30</v>
      </c>
      <c r="AE48" s="13">
        <v>30</v>
      </c>
      <c r="AF48" s="13">
        <v>10</v>
      </c>
      <c r="AG48" s="8">
        <f t="shared" si="11"/>
        <v>100</v>
      </c>
      <c r="AH48" s="13">
        <v>30</v>
      </c>
      <c r="AI48" s="13">
        <v>30</v>
      </c>
      <c r="AJ48" s="13">
        <v>30</v>
      </c>
      <c r="AK48" s="13">
        <v>10</v>
      </c>
      <c r="AL48" s="8">
        <f t="shared" si="0"/>
        <v>100</v>
      </c>
      <c r="AM48" s="13">
        <v>25</v>
      </c>
      <c r="AN48" s="13">
        <v>25</v>
      </c>
      <c r="AO48" s="13">
        <v>25</v>
      </c>
      <c r="AP48" s="13">
        <v>25</v>
      </c>
      <c r="AQ48" s="8">
        <f t="shared" si="1"/>
        <v>100</v>
      </c>
      <c r="AR48" s="13">
        <v>30</v>
      </c>
      <c r="AS48" s="13">
        <v>30</v>
      </c>
      <c r="AT48" s="13">
        <v>30</v>
      </c>
      <c r="AU48" s="13">
        <v>10</v>
      </c>
      <c r="AV48" s="8">
        <f t="shared" si="2"/>
        <v>100</v>
      </c>
      <c r="AW48" s="13">
        <v>30</v>
      </c>
      <c r="AX48" s="13">
        <v>30</v>
      </c>
      <c r="AY48" s="13">
        <v>30</v>
      </c>
      <c r="AZ48" s="13">
        <v>10</v>
      </c>
      <c r="BA48" s="8">
        <f t="shared" si="3"/>
        <v>100</v>
      </c>
      <c r="BB48" s="13">
        <v>30</v>
      </c>
      <c r="BC48" s="13">
        <v>30</v>
      </c>
      <c r="BD48" s="13">
        <v>30</v>
      </c>
      <c r="BE48" s="13">
        <v>10</v>
      </c>
      <c r="BF48" s="8">
        <f t="shared" si="4"/>
        <v>100</v>
      </c>
      <c r="BG48" s="13">
        <v>30</v>
      </c>
      <c r="BH48" s="13">
        <v>30</v>
      </c>
      <c r="BI48" s="13">
        <v>30</v>
      </c>
      <c r="BJ48" s="13">
        <v>10</v>
      </c>
      <c r="BK48" s="8">
        <f t="shared" si="5"/>
        <v>100</v>
      </c>
      <c r="BL48" s="13">
        <v>30</v>
      </c>
      <c r="BM48" s="13">
        <v>30</v>
      </c>
      <c r="BN48" s="13">
        <v>30</v>
      </c>
      <c r="BO48" s="13">
        <v>10</v>
      </c>
      <c r="BP48" s="8">
        <f t="shared" si="6"/>
        <v>100</v>
      </c>
      <c r="BQ48" s="13">
        <v>40</v>
      </c>
      <c r="BR48" s="13">
        <v>20</v>
      </c>
      <c r="BS48" s="13">
        <v>10</v>
      </c>
      <c r="BT48" s="13">
        <v>30</v>
      </c>
      <c r="BU48" s="8">
        <f t="shared" si="7"/>
        <v>100</v>
      </c>
      <c r="BV48" s="13">
        <v>30</v>
      </c>
      <c r="BW48" s="13">
        <v>30</v>
      </c>
      <c r="BX48" s="13">
        <v>30</v>
      </c>
      <c r="BY48" s="13">
        <v>10</v>
      </c>
      <c r="BZ48" s="8">
        <f t="shared" si="8"/>
        <v>100</v>
      </c>
      <c r="CA48" s="13">
        <v>40</v>
      </c>
      <c r="CB48" s="13">
        <v>30</v>
      </c>
      <c r="CC48" s="13">
        <v>20</v>
      </c>
      <c r="CD48" s="13">
        <v>10</v>
      </c>
      <c r="CE48" s="8">
        <f t="shared" si="9"/>
        <v>100</v>
      </c>
      <c r="CF48" s="13">
        <v>30</v>
      </c>
      <c r="CG48" s="13">
        <v>40</v>
      </c>
      <c r="CH48" s="13">
        <v>20</v>
      </c>
      <c r="CI48" s="13">
        <v>10</v>
      </c>
      <c r="CJ48" s="8">
        <f t="shared" si="10"/>
        <v>100</v>
      </c>
      <c r="CK48" s="14">
        <v>4.8600000000000003</v>
      </c>
      <c r="CL48" s="19" t="s">
        <v>98</v>
      </c>
      <c r="CM48" s="23"/>
      <c r="CN48" s="23"/>
      <c r="CO48" s="24"/>
      <c r="CP48">
        <f>Form_Responses1[[#This Row],[Column89]]</f>
        <v>4.8600000000000003</v>
      </c>
      <c r="CQ48">
        <f>IF(Form_Responses1[[#This Row],[Column94]]&gt;0,Form_Responses1[[#This Row],[Column94]],Form_Responses1[[#This Row],[Column91]])</f>
        <v>4.8600000000000003</v>
      </c>
      <c r="CR48">
        <v>4.8600000000000003</v>
      </c>
    </row>
    <row r="49" spans="1:96" ht="15">
      <c r="A49" s="6">
        <v>45618.575934305554</v>
      </c>
      <c r="B49" s="7">
        <v>0</v>
      </c>
      <c r="C49" s="7" t="s">
        <v>163</v>
      </c>
      <c r="D49" s="7" t="s">
        <v>93</v>
      </c>
      <c r="E49" s="7" t="s">
        <v>94</v>
      </c>
      <c r="F49" s="7" t="s">
        <v>130</v>
      </c>
      <c r="G49" s="7" t="s">
        <v>96</v>
      </c>
      <c r="H49" s="7" t="s">
        <v>102</v>
      </c>
      <c r="I49" s="7">
        <v>4</v>
      </c>
      <c r="J49" s="7">
        <v>3</v>
      </c>
      <c r="K49" s="7">
        <v>3</v>
      </c>
      <c r="L49" s="7">
        <v>3</v>
      </c>
      <c r="M49" s="7">
        <v>4</v>
      </c>
      <c r="N49" s="7">
        <v>3</v>
      </c>
      <c r="O49" s="7">
        <v>3</v>
      </c>
      <c r="P49" s="7">
        <v>3</v>
      </c>
      <c r="Q49" s="7">
        <v>4</v>
      </c>
      <c r="R49" s="7">
        <v>3</v>
      </c>
      <c r="S49" s="7">
        <v>3</v>
      </c>
      <c r="T49" s="7">
        <v>4</v>
      </c>
      <c r="U49" s="7">
        <v>4</v>
      </c>
      <c r="V49" s="7">
        <v>4</v>
      </c>
      <c r="W49" s="7">
        <v>4</v>
      </c>
      <c r="X49" s="7">
        <v>3</v>
      </c>
      <c r="Y49" s="7">
        <v>4</v>
      </c>
      <c r="Z49" s="7">
        <v>4</v>
      </c>
      <c r="AA49" s="7">
        <v>3</v>
      </c>
      <c r="AB49" s="7">
        <v>3</v>
      </c>
      <c r="AC49" s="7">
        <v>20</v>
      </c>
      <c r="AD49" s="7">
        <v>20</v>
      </c>
      <c r="AE49" s="7">
        <v>30</v>
      </c>
      <c r="AF49" s="7">
        <v>30</v>
      </c>
      <c r="AG49" s="8">
        <f t="shared" si="11"/>
        <v>100</v>
      </c>
      <c r="AH49" s="7">
        <v>30</v>
      </c>
      <c r="AI49" s="7">
        <v>30</v>
      </c>
      <c r="AJ49" s="7">
        <v>20</v>
      </c>
      <c r="AK49" s="7">
        <v>20</v>
      </c>
      <c r="AL49" s="8">
        <f t="shared" si="0"/>
        <v>100</v>
      </c>
      <c r="AM49" s="7">
        <v>20</v>
      </c>
      <c r="AN49" s="7">
        <v>30</v>
      </c>
      <c r="AO49" s="7">
        <v>30</v>
      </c>
      <c r="AP49" s="7">
        <v>20</v>
      </c>
      <c r="AQ49" s="8">
        <f t="shared" si="1"/>
        <v>100</v>
      </c>
      <c r="AR49" s="7">
        <v>10</v>
      </c>
      <c r="AS49" s="7">
        <v>30</v>
      </c>
      <c r="AT49" s="7">
        <v>30</v>
      </c>
      <c r="AU49" s="7">
        <v>30</v>
      </c>
      <c r="AV49" s="8">
        <f t="shared" si="2"/>
        <v>100</v>
      </c>
      <c r="AW49" s="7">
        <v>25</v>
      </c>
      <c r="AX49" s="7">
        <v>25</v>
      </c>
      <c r="AY49" s="7">
        <v>25</v>
      </c>
      <c r="AZ49" s="7">
        <v>25</v>
      </c>
      <c r="BA49" s="8">
        <f t="shared" si="3"/>
        <v>100</v>
      </c>
      <c r="BB49" s="7">
        <v>25</v>
      </c>
      <c r="BC49" s="7">
        <v>25</v>
      </c>
      <c r="BD49" s="7">
        <v>25</v>
      </c>
      <c r="BE49" s="7">
        <v>25</v>
      </c>
      <c r="BF49" s="8">
        <f t="shared" si="4"/>
        <v>100</v>
      </c>
      <c r="BG49" s="7">
        <v>25</v>
      </c>
      <c r="BH49" s="7">
        <v>25</v>
      </c>
      <c r="BI49" s="7">
        <v>25</v>
      </c>
      <c r="BJ49" s="7">
        <v>25</v>
      </c>
      <c r="BK49" s="8">
        <f t="shared" si="5"/>
        <v>100</v>
      </c>
      <c r="BL49" s="7">
        <v>25</v>
      </c>
      <c r="BM49" s="7">
        <v>25</v>
      </c>
      <c r="BN49" s="7">
        <v>25</v>
      </c>
      <c r="BO49" s="7">
        <v>25</v>
      </c>
      <c r="BP49" s="8">
        <f t="shared" si="6"/>
        <v>100</v>
      </c>
      <c r="BQ49" s="7">
        <v>25</v>
      </c>
      <c r="BR49" s="7">
        <v>25</v>
      </c>
      <c r="BS49" s="7">
        <v>25</v>
      </c>
      <c r="BT49" s="7">
        <v>25</v>
      </c>
      <c r="BU49" s="8">
        <f t="shared" si="7"/>
        <v>100</v>
      </c>
      <c r="BV49" s="7">
        <v>25</v>
      </c>
      <c r="BW49" s="7">
        <v>25</v>
      </c>
      <c r="BX49" s="7">
        <v>25</v>
      </c>
      <c r="BY49" s="7">
        <v>25</v>
      </c>
      <c r="BZ49" s="8">
        <f t="shared" si="8"/>
        <v>100</v>
      </c>
      <c r="CA49" s="7">
        <v>25</v>
      </c>
      <c r="CB49" s="7">
        <v>25</v>
      </c>
      <c r="CC49" s="7">
        <v>25</v>
      </c>
      <c r="CD49" s="7">
        <v>25</v>
      </c>
      <c r="CE49" s="8">
        <f t="shared" si="9"/>
        <v>100</v>
      </c>
      <c r="CF49" s="7">
        <v>25</v>
      </c>
      <c r="CG49" s="7">
        <v>25</v>
      </c>
      <c r="CH49" s="7">
        <v>25</v>
      </c>
      <c r="CI49" s="7">
        <v>25</v>
      </c>
      <c r="CJ49" s="8">
        <f t="shared" si="10"/>
        <v>100</v>
      </c>
      <c r="CK49" s="9">
        <v>4.26</v>
      </c>
      <c r="CL49" s="9" t="s">
        <v>98</v>
      </c>
      <c r="CM49" s="25"/>
      <c r="CN49" s="25"/>
      <c r="CO49" s="26"/>
      <c r="CP49">
        <f>Form_Responses1[[#This Row],[Column89]]</f>
        <v>4.26</v>
      </c>
      <c r="CQ49">
        <f>IF(Form_Responses1[[#This Row],[Column94]]&gt;0,Form_Responses1[[#This Row],[Column94]],Form_Responses1[[#This Row],[Column91]])</f>
        <v>4.26</v>
      </c>
      <c r="CR49">
        <v>4.26</v>
      </c>
    </row>
    <row r="50" spans="1:96" ht="15">
      <c r="A50" s="12">
        <v>45618.577084780089</v>
      </c>
      <c r="B50" s="13">
        <v>0</v>
      </c>
      <c r="C50" s="13" t="s">
        <v>164</v>
      </c>
      <c r="D50" s="13" t="s">
        <v>93</v>
      </c>
      <c r="E50" s="13" t="s">
        <v>112</v>
      </c>
      <c r="F50" s="13" t="s">
        <v>101</v>
      </c>
      <c r="G50" s="13" t="s">
        <v>109</v>
      </c>
      <c r="H50" s="13" t="s">
        <v>120</v>
      </c>
      <c r="I50" s="13">
        <v>4</v>
      </c>
      <c r="J50" s="13">
        <v>4</v>
      </c>
      <c r="K50" s="13">
        <v>3</v>
      </c>
      <c r="L50" s="13">
        <v>4</v>
      </c>
      <c r="M50" s="13">
        <v>4</v>
      </c>
      <c r="N50" s="13">
        <v>4</v>
      </c>
      <c r="O50" s="13">
        <v>4</v>
      </c>
      <c r="P50" s="13">
        <v>4</v>
      </c>
      <c r="Q50" s="13">
        <v>4</v>
      </c>
      <c r="R50" s="13">
        <v>4</v>
      </c>
      <c r="S50" s="13">
        <v>4</v>
      </c>
      <c r="T50" s="13">
        <v>3</v>
      </c>
      <c r="U50" s="13">
        <v>3</v>
      </c>
      <c r="V50" s="13">
        <v>4</v>
      </c>
      <c r="W50" s="13">
        <v>3</v>
      </c>
      <c r="X50" s="13">
        <v>3</v>
      </c>
      <c r="Y50" s="13">
        <v>4</v>
      </c>
      <c r="Z50" s="13">
        <v>4</v>
      </c>
      <c r="AA50" s="13">
        <v>3</v>
      </c>
      <c r="AB50" s="13">
        <v>3</v>
      </c>
      <c r="AC50" s="13">
        <v>25</v>
      </c>
      <c r="AD50" s="13">
        <v>25</v>
      </c>
      <c r="AE50" s="13">
        <v>25</v>
      </c>
      <c r="AF50" s="13">
        <v>25</v>
      </c>
      <c r="AG50" s="8">
        <f t="shared" si="11"/>
        <v>100</v>
      </c>
      <c r="AH50" s="13">
        <v>40</v>
      </c>
      <c r="AI50" s="13">
        <v>15</v>
      </c>
      <c r="AJ50" s="13">
        <v>15</v>
      </c>
      <c r="AK50" s="13">
        <v>30</v>
      </c>
      <c r="AL50" s="8">
        <f t="shared" si="0"/>
        <v>100</v>
      </c>
      <c r="AM50" s="13">
        <v>25</v>
      </c>
      <c r="AN50" s="13">
        <v>25</v>
      </c>
      <c r="AO50" s="13">
        <v>25</v>
      </c>
      <c r="AP50" s="13">
        <v>25</v>
      </c>
      <c r="AQ50" s="8">
        <f t="shared" si="1"/>
        <v>100</v>
      </c>
      <c r="AR50" s="13">
        <v>30</v>
      </c>
      <c r="AS50" s="13">
        <v>30</v>
      </c>
      <c r="AT50" s="13">
        <v>10</v>
      </c>
      <c r="AU50" s="13">
        <v>30</v>
      </c>
      <c r="AV50" s="8">
        <f t="shared" si="2"/>
        <v>100</v>
      </c>
      <c r="AW50" s="13">
        <v>25</v>
      </c>
      <c r="AX50" s="13">
        <v>25</v>
      </c>
      <c r="AY50" s="13">
        <v>25</v>
      </c>
      <c r="AZ50" s="13">
        <v>25</v>
      </c>
      <c r="BA50" s="8">
        <f t="shared" si="3"/>
        <v>100</v>
      </c>
      <c r="BB50" s="13">
        <v>10</v>
      </c>
      <c r="BC50" s="13">
        <v>40</v>
      </c>
      <c r="BD50" s="13">
        <v>25</v>
      </c>
      <c r="BE50" s="13">
        <v>25</v>
      </c>
      <c r="BF50" s="8">
        <f t="shared" si="4"/>
        <v>100</v>
      </c>
      <c r="BG50" s="13">
        <v>25</v>
      </c>
      <c r="BH50" s="13">
        <v>25</v>
      </c>
      <c r="BI50" s="13">
        <v>25</v>
      </c>
      <c r="BJ50" s="13">
        <v>25</v>
      </c>
      <c r="BK50" s="8">
        <f t="shared" si="5"/>
        <v>100</v>
      </c>
      <c r="BL50" s="13">
        <v>25</v>
      </c>
      <c r="BM50" s="13">
        <v>25</v>
      </c>
      <c r="BN50" s="13">
        <v>25</v>
      </c>
      <c r="BO50" s="13">
        <v>25</v>
      </c>
      <c r="BP50" s="8">
        <f t="shared" si="6"/>
        <v>100</v>
      </c>
      <c r="BQ50" s="13">
        <v>25</v>
      </c>
      <c r="BR50" s="13">
        <v>25</v>
      </c>
      <c r="BS50" s="13">
        <v>25</v>
      </c>
      <c r="BT50" s="13">
        <v>25</v>
      </c>
      <c r="BU50" s="8">
        <f t="shared" si="7"/>
        <v>100</v>
      </c>
      <c r="BV50" s="13">
        <v>20</v>
      </c>
      <c r="BW50" s="13">
        <v>20</v>
      </c>
      <c r="BX50" s="13">
        <v>30</v>
      </c>
      <c r="BY50" s="13">
        <v>30</v>
      </c>
      <c r="BZ50" s="8">
        <f t="shared" si="8"/>
        <v>100</v>
      </c>
      <c r="CA50" s="13">
        <v>25</v>
      </c>
      <c r="CB50" s="13">
        <v>25</v>
      </c>
      <c r="CC50" s="13">
        <v>25</v>
      </c>
      <c r="CD50" s="13">
        <v>25</v>
      </c>
      <c r="CE50" s="8">
        <f t="shared" si="9"/>
        <v>100</v>
      </c>
      <c r="CF50" s="13">
        <v>25</v>
      </c>
      <c r="CG50" s="13">
        <v>25</v>
      </c>
      <c r="CH50" s="13">
        <v>25</v>
      </c>
      <c r="CI50" s="13">
        <v>25</v>
      </c>
      <c r="CJ50" s="8">
        <f t="shared" si="10"/>
        <v>100</v>
      </c>
      <c r="CK50" s="14">
        <v>4.3499999999999996</v>
      </c>
      <c r="CL50" s="19" t="s">
        <v>98</v>
      </c>
      <c r="CM50" s="23"/>
      <c r="CN50" s="23"/>
      <c r="CO50" s="24"/>
      <c r="CP50">
        <f>Form_Responses1[[#This Row],[Column89]]</f>
        <v>4.3499999999999996</v>
      </c>
      <c r="CQ50">
        <f>IF(Form_Responses1[[#This Row],[Column94]]&gt;0,Form_Responses1[[#This Row],[Column94]],Form_Responses1[[#This Row],[Column91]])</f>
        <v>4.3499999999999996</v>
      </c>
      <c r="CR50">
        <v>4.3499999999999996</v>
      </c>
    </row>
    <row r="51" spans="1:96" ht="15">
      <c r="A51" s="6">
        <v>45618.580966678244</v>
      </c>
      <c r="B51" s="7">
        <v>0</v>
      </c>
      <c r="C51" s="7" t="s">
        <v>165</v>
      </c>
      <c r="D51" s="7" t="s">
        <v>107</v>
      </c>
      <c r="E51" s="7" t="s">
        <v>112</v>
      </c>
      <c r="F51" s="7" t="s">
        <v>95</v>
      </c>
      <c r="G51" s="7" t="s">
        <v>109</v>
      </c>
      <c r="H51" s="7" t="s">
        <v>102</v>
      </c>
      <c r="I51" s="7">
        <v>4</v>
      </c>
      <c r="J51" s="7">
        <v>5</v>
      </c>
      <c r="K51" s="7">
        <v>4</v>
      </c>
      <c r="L51" s="7">
        <v>4</v>
      </c>
      <c r="M51" s="7">
        <v>4</v>
      </c>
      <c r="N51" s="7">
        <v>4</v>
      </c>
      <c r="O51" s="7">
        <v>4</v>
      </c>
      <c r="P51" s="7">
        <v>4</v>
      </c>
      <c r="Q51" s="7">
        <v>4</v>
      </c>
      <c r="R51" s="7">
        <v>4</v>
      </c>
      <c r="S51" s="7">
        <v>3</v>
      </c>
      <c r="T51" s="7">
        <v>4</v>
      </c>
      <c r="U51" s="7">
        <v>3</v>
      </c>
      <c r="V51" s="7">
        <v>4</v>
      </c>
      <c r="W51" s="7">
        <v>4</v>
      </c>
      <c r="X51" s="7">
        <v>3</v>
      </c>
      <c r="Y51" s="7">
        <v>4</v>
      </c>
      <c r="Z51" s="7">
        <v>3</v>
      </c>
      <c r="AA51" s="7">
        <v>4</v>
      </c>
      <c r="AB51" s="7">
        <v>4</v>
      </c>
      <c r="AC51" s="7">
        <v>30</v>
      </c>
      <c r="AD51" s="7">
        <v>20</v>
      </c>
      <c r="AE51" s="7">
        <v>30</v>
      </c>
      <c r="AF51" s="7">
        <v>20</v>
      </c>
      <c r="AG51" s="8">
        <f t="shared" si="11"/>
        <v>100</v>
      </c>
      <c r="AH51" s="7">
        <v>30</v>
      </c>
      <c r="AI51" s="7">
        <v>20</v>
      </c>
      <c r="AJ51" s="7">
        <v>30</v>
      </c>
      <c r="AK51" s="7">
        <v>20</v>
      </c>
      <c r="AL51" s="8">
        <f t="shared" si="0"/>
        <v>100</v>
      </c>
      <c r="AM51" s="7">
        <v>30</v>
      </c>
      <c r="AN51" s="7">
        <v>30</v>
      </c>
      <c r="AO51" s="7">
        <v>20</v>
      </c>
      <c r="AP51" s="7">
        <v>20</v>
      </c>
      <c r="AQ51" s="8">
        <f t="shared" si="1"/>
        <v>100</v>
      </c>
      <c r="AR51" s="7">
        <v>30</v>
      </c>
      <c r="AS51" s="7">
        <v>30</v>
      </c>
      <c r="AT51" s="7">
        <v>20</v>
      </c>
      <c r="AU51" s="7">
        <v>20</v>
      </c>
      <c r="AV51" s="8">
        <f t="shared" si="2"/>
        <v>100</v>
      </c>
      <c r="AW51" s="7">
        <v>40</v>
      </c>
      <c r="AX51" s="7">
        <v>20</v>
      </c>
      <c r="AY51" s="7">
        <v>20</v>
      </c>
      <c r="AZ51" s="7">
        <v>20</v>
      </c>
      <c r="BA51" s="8">
        <f t="shared" si="3"/>
        <v>100</v>
      </c>
      <c r="BB51" s="7">
        <v>40</v>
      </c>
      <c r="BC51" s="7">
        <v>20</v>
      </c>
      <c r="BD51" s="7">
        <v>20</v>
      </c>
      <c r="BE51" s="7">
        <v>20</v>
      </c>
      <c r="BF51" s="8">
        <f t="shared" si="4"/>
        <v>100</v>
      </c>
      <c r="BG51" s="7">
        <v>30</v>
      </c>
      <c r="BH51" s="7">
        <v>30</v>
      </c>
      <c r="BI51" s="7">
        <v>20</v>
      </c>
      <c r="BJ51" s="7">
        <v>20</v>
      </c>
      <c r="BK51" s="8">
        <f t="shared" si="5"/>
        <v>100</v>
      </c>
      <c r="BL51" s="7">
        <v>30</v>
      </c>
      <c r="BM51" s="7">
        <v>30</v>
      </c>
      <c r="BN51" s="7">
        <v>20</v>
      </c>
      <c r="BO51" s="7">
        <v>20</v>
      </c>
      <c r="BP51" s="8">
        <f t="shared" si="6"/>
        <v>100</v>
      </c>
      <c r="BQ51" s="7">
        <v>30</v>
      </c>
      <c r="BR51" s="7">
        <v>30</v>
      </c>
      <c r="BS51" s="7">
        <v>20</v>
      </c>
      <c r="BT51" s="7">
        <v>20</v>
      </c>
      <c r="BU51" s="8">
        <f t="shared" si="7"/>
        <v>100</v>
      </c>
      <c r="BV51" s="7">
        <v>30</v>
      </c>
      <c r="BW51" s="7">
        <v>30</v>
      </c>
      <c r="BX51" s="7">
        <v>20</v>
      </c>
      <c r="BY51" s="7">
        <v>20</v>
      </c>
      <c r="BZ51" s="8">
        <f t="shared" si="8"/>
        <v>100</v>
      </c>
      <c r="CA51" s="7">
        <v>30</v>
      </c>
      <c r="CB51" s="7">
        <v>30</v>
      </c>
      <c r="CC51" s="7">
        <v>20</v>
      </c>
      <c r="CD51" s="7">
        <v>20</v>
      </c>
      <c r="CE51" s="8">
        <f t="shared" si="9"/>
        <v>100</v>
      </c>
      <c r="CF51" s="7">
        <v>30</v>
      </c>
      <c r="CG51" s="7">
        <v>30</v>
      </c>
      <c r="CH51" s="7">
        <v>20</v>
      </c>
      <c r="CI51" s="7">
        <v>20</v>
      </c>
      <c r="CJ51" s="8">
        <f t="shared" si="10"/>
        <v>100</v>
      </c>
      <c r="CK51" s="9">
        <v>4.55</v>
      </c>
      <c r="CL51" s="10" t="s">
        <v>98</v>
      </c>
      <c r="CM51" s="25"/>
      <c r="CN51" s="25"/>
      <c r="CO51" s="26"/>
      <c r="CP51">
        <f>Form_Responses1[[#This Row],[Column89]]</f>
        <v>4.55</v>
      </c>
      <c r="CQ51">
        <f>IF(Form_Responses1[[#This Row],[Column94]]&gt;0,Form_Responses1[[#This Row],[Column94]],Form_Responses1[[#This Row],[Column91]])</f>
        <v>4.55</v>
      </c>
      <c r="CR51">
        <v>4.55</v>
      </c>
    </row>
    <row r="52" spans="1:96" ht="15">
      <c r="A52" s="12">
        <v>45618.581240428241</v>
      </c>
      <c r="B52" s="13">
        <v>0</v>
      </c>
      <c r="C52" s="13" t="s">
        <v>166</v>
      </c>
      <c r="D52" s="13" t="s">
        <v>93</v>
      </c>
      <c r="E52" s="13" t="s">
        <v>94</v>
      </c>
      <c r="F52" s="13" t="s">
        <v>101</v>
      </c>
      <c r="G52" s="13" t="s">
        <v>96</v>
      </c>
      <c r="H52" s="13" t="s">
        <v>102</v>
      </c>
      <c r="I52" s="13">
        <v>4</v>
      </c>
      <c r="J52" s="13">
        <v>4</v>
      </c>
      <c r="K52" s="13">
        <v>4</v>
      </c>
      <c r="L52" s="13">
        <v>4</v>
      </c>
      <c r="M52" s="13">
        <v>4</v>
      </c>
      <c r="N52" s="13">
        <v>4</v>
      </c>
      <c r="O52" s="13">
        <v>4</v>
      </c>
      <c r="P52" s="13">
        <v>4</v>
      </c>
      <c r="Q52" s="13">
        <v>4</v>
      </c>
      <c r="R52" s="13">
        <v>4</v>
      </c>
      <c r="S52" s="13">
        <v>4</v>
      </c>
      <c r="T52" s="13">
        <v>4</v>
      </c>
      <c r="U52" s="13">
        <v>4</v>
      </c>
      <c r="V52" s="13">
        <v>4</v>
      </c>
      <c r="W52" s="13">
        <v>4</v>
      </c>
      <c r="X52" s="13">
        <v>4</v>
      </c>
      <c r="Y52" s="13">
        <v>3</v>
      </c>
      <c r="Z52" s="13">
        <v>4</v>
      </c>
      <c r="AA52" s="13">
        <v>3</v>
      </c>
      <c r="AB52" s="13">
        <v>4</v>
      </c>
      <c r="AC52" s="13">
        <v>10</v>
      </c>
      <c r="AD52" s="13">
        <v>10</v>
      </c>
      <c r="AE52" s="13">
        <v>10</v>
      </c>
      <c r="AF52" s="13">
        <v>70</v>
      </c>
      <c r="AG52" s="8">
        <f t="shared" si="11"/>
        <v>100</v>
      </c>
      <c r="AH52" s="13">
        <v>10</v>
      </c>
      <c r="AI52" s="13">
        <v>10</v>
      </c>
      <c r="AJ52" s="13">
        <v>10</v>
      </c>
      <c r="AK52" s="13">
        <v>70</v>
      </c>
      <c r="AL52" s="8">
        <f t="shared" si="0"/>
        <v>100</v>
      </c>
      <c r="AM52" s="13">
        <v>10</v>
      </c>
      <c r="AN52" s="13">
        <v>10</v>
      </c>
      <c r="AO52" s="13">
        <v>10</v>
      </c>
      <c r="AP52" s="13">
        <v>70</v>
      </c>
      <c r="AQ52" s="8">
        <f t="shared" si="1"/>
        <v>100</v>
      </c>
      <c r="AR52" s="13">
        <v>70</v>
      </c>
      <c r="AS52" s="13">
        <v>10</v>
      </c>
      <c r="AT52" s="13">
        <v>10</v>
      </c>
      <c r="AU52" s="13">
        <v>10</v>
      </c>
      <c r="AV52" s="8">
        <f t="shared" si="2"/>
        <v>100</v>
      </c>
      <c r="AW52" s="13">
        <v>10</v>
      </c>
      <c r="AX52" s="13">
        <v>10</v>
      </c>
      <c r="AY52" s="13">
        <v>70</v>
      </c>
      <c r="AZ52" s="13">
        <v>10</v>
      </c>
      <c r="BA52" s="8">
        <f t="shared" si="3"/>
        <v>100</v>
      </c>
      <c r="BB52" s="13">
        <v>10</v>
      </c>
      <c r="BC52" s="13">
        <v>30</v>
      </c>
      <c r="BD52" s="13">
        <v>30</v>
      </c>
      <c r="BE52" s="13">
        <v>30</v>
      </c>
      <c r="BF52" s="8">
        <f t="shared" si="4"/>
        <v>100</v>
      </c>
      <c r="BG52" s="13">
        <v>10</v>
      </c>
      <c r="BH52" s="13">
        <v>10</v>
      </c>
      <c r="BI52" s="13">
        <v>10</v>
      </c>
      <c r="BJ52" s="13">
        <v>70</v>
      </c>
      <c r="BK52" s="8">
        <f t="shared" si="5"/>
        <v>100</v>
      </c>
      <c r="BL52" s="13">
        <v>10</v>
      </c>
      <c r="BM52" s="13">
        <v>70</v>
      </c>
      <c r="BN52" s="13">
        <v>10</v>
      </c>
      <c r="BO52" s="13">
        <v>10</v>
      </c>
      <c r="BP52" s="8">
        <f t="shared" si="6"/>
        <v>100</v>
      </c>
      <c r="BQ52" s="13">
        <v>10</v>
      </c>
      <c r="BR52" s="13">
        <v>10</v>
      </c>
      <c r="BS52" s="13">
        <v>70</v>
      </c>
      <c r="BT52" s="13">
        <v>10</v>
      </c>
      <c r="BU52" s="8">
        <f t="shared" si="7"/>
        <v>100</v>
      </c>
      <c r="BV52" s="13">
        <v>10</v>
      </c>
      <c r="BW52" s="13">
        <v>70</v>
      </c>
      <c r="BX52" s="13">
        <v>10</v>
      </c>
      <c r="BY52" s="13">
        <v>10</v>
      </c>
      <c r="BZ52" s="8">
        <f t="shared" si="8"/>
        <v>100</v>
      </c>
      <c r="CA52" s="13">
        <v>70</v>
      </c>
      <c r="CB52" s="13">
        <v>10</v>
      </c>
      <c r="CC52" s="13">
        <v>10</v>
      </c>
      <c r="CD52" s="13">
        <v>10</v>
      </c>
      <c r="CE52" s="8">
        <f t="shared" si="9"/>
        <v>100</v>
      </c>
      <c r="CF52" s="13">
        <v>70</v>
      </c>
      <c r="CG52" s="13">
        <v>10</v>
      </c>
      <c r="CH52" s="13">
        <v>10</v>
      </c>
      <c r="CI52" s="13">
        <v>10</v>
      </c>
      <c r="CJ52" s="8">
        <f t="shared" si="10"/>
        <v>100</v>
      </c>
      <c r="CK52" s="18">
        <v>4.32</v>
      </c>
      <c r="CL52" s="19" t="s">
        <v>98</v>
      </c>
      <c r="CM52" s="23"/>
      <c r="CN52" s="23"/>
      <c r="CO52" s="24"/>
      <c r="CP52">
        <f>Form_Responses1[[#This Row],[Column89]]</f>
        <v>4.32</v>
      </c>
      <c r="CQ52">
        <f>IF(Form_Responses1[[#This Row],[Column94]]&gt;0,Form_Responses1[[#This Row],[Column94]],Form_Responses1[[#This Row],[Column91]])</f>
        <v>4.32</v>
      </c>
      <c r="CR52">
        <v>4.32</v>
      </c>
    </row>
    <row r="53" spans="1:96" ht="15">
      <c r="A53" s="6">
        <v>45618.583553611112</v>
      </c>
      <c r="B53" s="7">
        <v>0</v>
      </c>
      <c r="C53" s="7" t="s">
        <v>167</v>
      </c>
      <c r="D53" s="7" t="s">
        <v>107</v>
      </c>
      <c r="E53" s="7" t="s">
        <v>112</v>
      </c>
      <c r="F53" s="7" t="s">
        <v>95</v>
      </c>
      <c r="G53" s="7" t="s">
        <v>109</v>
      </c>
      <c r="H53" s="7" t="s">
        <v>102</v>
      </c>
      <c r="I53" s="7">
        <v>4</v>
      </c>
      <c r="J53" s="7">
        <v>3</v>
      </c>
      <c r="K53" s="7">
        <v>4</v>
      </c>
      <c r="L53" s="7">
        <v>4</v>
      </c>
      <c r="M53" s="7">
        <v>4</v>
      </c>
      <c r="N53" s="7">
        <v>3</v>
      </c>
      <c r="O53" s="7">
        <v>4</v>
      </c>
      <c r="P53" s="7">
        <v>3</v>
      </c>
      <c r="Q53" s="7">
        <v>4</v>
      </c>
      <c r="R53" s="7">
        <v>3</v>
      </c>
      <c r="S53" s="7">
        <v>3</v>
      </c>
      <c r="T53" s="7">
        <v>3</v>
      </c>
      <c r="U53" s="7">
        <v>3</v>
      </c>
      <c r="V53" s="7">
        <v>4</v>
      </c>
      <c r="W53" s="7">
        <v>3</v>
      </c>
      <c r="X53" s="7">
        <v>3</v>
      </c>
      <c r="Y53" s="7">
        <v>4</v>
      </c>
      <c r="Z53" s="7">
        <v>3</v>
      </c>
      <c r="AA53" s="7">
        <v>4</v>
      </c>
      <c r="AB53" s="7">
        <v>4</v>
      </c>
      <c r="AC53" s="7">
        <v>30</v>
      </c>
      <c r="AD53" s="7">
        <v>20</v>
      </c>
      <c r="AE53" s="7">
        <v>20</v>
      </c>
      <c r="AF53" s="7">
        <v>30</v>
      </c>
      <c r="AG53" s="8">
        <f t="shared" si="11"/>
        <v>100</v>
      </c>
      <c r="AH53" s="7">
        <v>30</v>
      </c>
      <c r="AI53" s="7">
        <v>20</v>
      </c>
      <c r="AJ53" s="7">
        <v>20</v>
      </c>
      <c r="AK53" s="7">
        <v>30</v>
      </c>
      <c r="AL53" s="8">
        <f t="shared" si="0"/>
        <v>100</v>
      </c>
      <c r="AM53" s="7">
        <v>40</v>
      </c>
      <c r="AN53" s="7">
        <v>20</v>
      </c>
      <c r="AO53" s="7">
        <v>10</v>
      </c>
      <c r="AP53" s="7">
        <v>30</v>
      </c>
      <c r="AQ53" s="8">
        <f t="shared" si="1"/>
        <v>100</v>
      </c>
      <c r="AR53" s="7">
        <v>20</v>
      </c>
      <c r="AS53" s="7">
        <v>20</v>
      </c>
      <c r="AT53" s="7">
        <v>20</v>
      </c>
      <c r="AU53" s="7">
        <v>40</v>
      </c>
      <c r="AV53" s="8">
        <f t="shared" si="2"/>
        <v>100</v>
      </c>
      <c r="AW53" s="7">
        <v>20</v>
      </c>
      <c r="AX53" s="7">
        <v>20</v>
      </c>
      <c r="AY53" s="7">
        <v>20</v>
      </c>
      <c r="AZ53" s="7">
        <v>40</v>
      </c>
      <c r="BA53" s="8">
        <f t="shared" si="3"/>
        <v>100</v>
      </c>
      <c r="BB53" s="7">
        <v>30</v>
      </c>
      <c r="BC53" s="7">
        <v>30</v>
      </c>
      <c r="BD53" s="7">
        <v>20</v>
      </c>
      <c r="BE53" s="7">
        <v>20</v>
      </c>
      <c r="BF53" s="8">
        <f t="shared" si="4"/>
        <v>100</v>
      </c>
      <c r="BG53" s="7">
        <v>20</v>
      </c>
      <c r="BH53" s="7">
        <v>30</v>
      </c>
      <c r="BI53" s="7">
        <v>30</v>
      </c>
      <c r="BJ53" s="7">
        <v>20</v>
      </c>
      <c r="BK53" s="8">
        <f t="shared" si="5"/>
        <v>100</v>
      </c>
      <c r="BL53" s="7">
        <v>20</v>
      </c>
      <c r="BM53" s="7">
        <v>20</v>
      </c>
      <c r="BN53" s="7">
        <v>30</v>
      </c>
      <c r="BO53" s="7">
        <v>30</v>
      </c>
      <c r="BP53" s="8">
        <f t="shared" si="6"/>
        <v>100</v>
      </c>
      <c r="BQ53" s="7">
        <v>40</v>
      </c>
      <c r="BR53" s="7">
        <v>10</v>
      </c>
      <c r="BS53" s="7">
        <v>40</v>
      </c>
      <c r="BT53" s="7">
        <v>10</v>
      </c>
      <c r="BU53" s="8">
        <f t="shared" si="7"/>
        <v>100</v>
      </c>
      <c r="BV53" s="7">
        <v>20</v>
      </c>
      <c r="BW53" s="7">
        <v>20</v>
      </c>
      <c r="BX53" s="7">
        <v>20</v>
      </c>
      <c r="BY53" s="7">
        <v>40</v>
      </c>
      <c r="BZ53" s="8">
        <f t="shared" si="8"/>
        <v>100</v>
      </c>
      <c r="CA53" s="7">
        <v>20</v>
      </c>
      <c r="CB53" s="7">
        <v>30</v>
      </c>
      <c r="CC53" s="7">
        <v>10</v>
      </c>
      <c r="CD53" s="7">
        <v>40</v>
      </c>
      <c r="CE53" s="8">
        <f t="shared" si="9"/>
        <v>100</v>
      </c>
      <c r="CF53" s="7">
        <v>30</v>
      </c>
      <c r="CG53" s="7">
        <v>20</v>
      </c>
      <c r="CH53" s="7">
        <v>20</v>
      </c>
      <c r="CI53" s="7">
        <v>30</v>
      </c>
      <c r="CJ53" s="8">
        <f t="shared" si="10"/>
        <v>100</v>
      </c>
      <c r="CK53" s="9">
        <v>4.55</v>
      </c>
      <c r="CL53" s="10" t="s">
        <v>98</v>
      </c>
      <c r="CM53" s="25"/>
      <c r="CN53" s="25"/>
      <c r="CO53" s="26"/>
      <c r="CP53">
        <f>Form_Responses1[[#This Row],[Column89]]</f>
        <v>4.55</v>
      </c>
      <c r="CQ53">
        <f>IF(Form_Responses1[[#This Row],[Column94]]&gt;0,Form_Responses1[[#This Row],[Column94]],Form_Responses1[[#This Row],[Column91]])</f>
        <v>4.55</v>
      </c>
      <c r="CR53">
        <v>4.55</v>
      </c>
    </row>
    <row r="54" spans="1:96" ht="15">
      <c r="A54" s="12">
        <v>45618.587430925923</v>
      </c>
      <c r="B54" s="13">
        <v>0</v>
      </c>
      <c r="C54" s="13" t="s">
        <v>168</v>
      </c>
      <c r="D54" s="13" t="s">
        <v>93</v>
      </c>
      <c r="E54" s="13" t="s">
        <v>112</v>
      </c>
      <c r="F54" s="13" t="s">
        <v>130</v>
      </c>
      <c r="G54" s="13" t="s">
        <v>113</v>
      </c>
      <c r="H54" s="13" t="s">
        <v>102</v>
      </c>
      <c r="I54" s="13">
        <v>3</v>
      </c>
      <c r="J54" s="13">
        <v>3</v>
      </c>
      <c r="K54" s="13">
        <v>4</v>
      </c>
      <c r="L54" s="13">
        <v>4</v>
      </c>
      <c r="M54" s="13">
        <v>4</v>
      </c>
      <c r="N54" s="13">
        <v>4</v>
      </c>
      <c r="O54" s="13">
        <v>4</v>
      </c>
      <c r="P54" s="13">
        <v>4</v>
      </c>
      <c r="Q54" s="13">
        <v>3</v>
      </c>
      <c r="R54" s="13">
        <v>3</v>
      </c>
      <c r="S54" s="13">
        <v>4</v>
      </c>
      <c r="T54" s="13">
        <v>3</v>
      </c>
      <c r="U54" s="13">
        <v>4</v>
      </c>
      <c r="V54" s="13">
        <v>4</v>
      </c>
      <c r="W54" s="13">
        <v>3</v>
      </c>
      <c r="X54" s="13">
        <v>4</v>
      </c>
      <c r="Y54" s="13">
        <v>3</v>
      </c>
      <c r="Z54" s="13">
        <v>4</v>
      </c>
      <c r="AA54" s="13">
        <v>4</v>
      </c>
      <c r="AB54" s="13">
        <v>3</v>
      </c>
      <c r="AC54" s="13">
        <v>30</v>
      </c>
      <c r="AD54" s="13">
        <v>20</v>
      </c>
      <c r="AE54" s="13">
        <v>20</v>
      </c>
      <c r="AF54" s="13">
        <v>30</v>
      </c>
      <c r="AG54" s="8">
        <f t="shared" si="11"/>
        <v>100</v>
      </c>
      <c r="AH54" s="13">
        <v>20</v>
      </c>
      <c r="AI54" s="13">
        <v>30</v>
      </c>
      <c r="AJ54" s="13">
        <v>20</v>
      </c>
      <c r="AK54" s="13">
        <v>30</v>
      </c>
      <c r="AL54" s="8">
        <f t="shared" si="0"/>
        <v>100</v>
      </c>
      <c r="AM54" s="13">
        <v>20</v>
      </c>
      <c r="AN54" s="13">
        <v>30</v>
      </c>
      <c r="AO54" s="13">
        <v>20</v>
      </c>
      <c r="AP54" s="13">
        <v>30</v>
      </c>
      <c r="AQ54" s="8">
        <f t="shared" si="1"/>
        <v>100</v>
      </c>
      <c r="AR54" s="13">
        <v>20</v>
      </c>
      <c r="AS54" s="13">
        <v>30</v>
      </c>
      <c r="AT54" s="13">
        <v>20</v>
      </c>
      <c r="AU54" s="13">
        <v>30</v>
      </c>
      <c r="AV54" s="8">
        <f t="shared" si="2"/>
        <v>100</v>
      </c>
      <c r="AW54" s="13">
        <v>20</v>
      </c>
      <c r="AX54" s="13">
        <v>30</v>
      </c>
      <c r="AY54" s="13">
        <v>20</v>
      </c>
      <c r="AZ54" s="13">
        <v>30</v>
      </c>
      <c r="BA54" s="8">
        <f t="shared" si="3"/>
        <v>100</v>
      </c>
      <c r="BB54" s="13">
        <v>20</v>
      </c>
      <c r="BC54" s="13">
        <v>30</v>
      </c>
      <c r="BD54" s="13">
        <v>20</v>
      </c>
      <c r="BE54" s="13">
        <v>30</v>
      </c>
      <c r="BF54" s="8">
        <f t="shared" si="4"/>
        <v>100</v>
      </c>
      <c r="BG54" s="13">
        <v>20</v>
      </c>
      <c r="BH54" s="13">
        <v>30</v>
      </c>
      <c r="BI54" s="13">
        <v>20</v>
      </c>
      <c r="BJ54" s="13">
        <v>30</v>
      </c>
      <c r="BK54" s="8">
        <f t="shared" si="5"/>
        <v>100</v>
      </c>
      <c r="BL54" s="13">
        <v>20</v>
      </c>
      <c r="BM54" s="13">
        <v>30</v>
      </c>
      <c r="BN54" s="13">
        <v>20</v>
      </c>
      <c r="BO54" s="13">
        <v>30</v>
      </c>
      <c r="BP54" s="8">
        <f t="shared" si="6"/>
        <v>100</v>
      </c>
      <c r="BQ54" s="13">
        <v>20</v>
      </c>
      <c r="BR54" s="13">
        <v>30</v>
      </c>
      <c r="BS54" s="13">
        <v>20</v>
      </c>
      <c r="BT54" s="13">
        <v>30</v>
      </c>
      <c r="BU54" s="8">
        <f t="shared" si="7"/>
        <v>100</v>
      </c>
      <c r="BV54" s="13">
        <v>20</v>
      </c>
      <c r="BW54" s="13">
        <v>30</v>
      </c>
      <c r="BX54" s="13">
        <v>20</v>
      </c>
      <c r="BY54" s="13">
        <v>30</v>
      </c>
      <c r="BZ54" s="8">
        <f t="shared" si="8"/>
        <v>100</v>
      </c>
      <c r="CA54" s="13">
        <v>20</v>
      </c>
      <c r="CB54" s="13">
        <v>30</v>
      </c>
      <c r="CC54" s="13">
        <v>20</v>
      </c>
      <c r="CD54" s="13">
        <v>30</v>
      </c>
      <c r="CE54" s="8">
        <f t="shared" si="9"/>
        <v>100</v>
      </c>
      <c r="CF54" s="13">
        <v>30</v>
      </c>
      <c r="CG54" s="13">
        <v>20</v>
      </c>
      <c r="CH54" s="13">
        <v>30</v>
      </c>
      <c r="CI54" s="13">
        <v>20</v>
      </c>
      <c r="CJ54" s="8">
        <f t="shared" si="10"/>
        <v>100</v>
      </c>
      <c r="CK54" s="14">
        <v>4.1500000000000004</v>
      </c>
      <c r="CL54" s="19" t="s">
        <v>98</v>
      </c>
      <c r="CM54" s="23"/>
      <c r="CN54" s="23"/>
      <c r="CO54" s="24"/>
      <c r="CP54">
        <f>Form_Responses1[[#This Row],[Column89]]</f>
        <v>4.1500000000000004</v>
      </c>
      <c r="CQ54">
        <f>IF(Form_Responses1[[#This Row],[Column94]]&gt;0,Form_Responses1[[#This Row],[Column94]],Form_Responses1[[#This Row],[Column91]])</f>
        <v>4.1500000000000004</v>
      </c>
      <c r="CR54">
        <v>4.1500000000000004</v>
      </c>
    </row>
    <row r="55" spans="1:96" ht="15">
      <c r="A55" s="6">
        <v>45618.587749479164</v>
      </c>
      <c r="B55" s="7">
        <v>0</v>
      </c>
      <c r="C55" s="7" t="s">
        <v>169</v>
      </c>
      <c r="D55" s="7" t="s">
        <v>93</v>
      </c>
      <c r="E55" s="7" t="s">
        <v>112</v>
      </c>
      <c r="F55" s="7" t="s">
        <v>95</v>
      </c>
      <c r="G55" s="7" t="s">
        <v>123</v>
      </c>
      <c r="H55" s="7" t="s">
        <v>102</v>
      </c>
      <c r="I55" s="7">
        <v>4</v>
      </c>
      <c r="J55" s="7">
        <v>5</v>
      </c>
      <c r="K55" s="7">
        <v>4</v>
      </c>
      <c r="L55" s="7">
        <v>4</v>
      </c>
      <c r="M55" s="7">
        <v>5</v>
      </c>
      <c r="N55" s="7">
        <v>5</v>
      </c>
      <c r="O55" s="7">
        <v>4</v>
      </c>
      <c r="P55" s="7">
        <v>4</v>
      </c>
      <c r="Q55" s="7">
        <v>4</v>
      </c>
      <c r="R55" s="7">
        <v>5</v>
      </c>
      <c r="S55" s="7">
        <v>4</v>
      </c>
      <c r="T55" s="7">
        <v>5</v>
      </c>
      <c r="U55" s="7">
        <v>4</v>
      </c>
      <c r="V55" s="7">
        <v>4</v>
      </c>
      <c r="W55" s="7">
        <v>5</v>
      </c>
      <c r="X55" s="7">
        <v>4</v>
      </c>
      <c r="Y55" s="7">
        <v>4</v>
      </c>
      <c r="Z55" s="7">
        <v>4</v>
      </c>
      <c r="AA55" s="7">
        <v>4</v>
      </c>
      <c r="AB55" s="7">
        <v>4</v>
      </c>
      <c r="AC55" s="7">
        <v>25</v>
      </c>
      <c r="AD55" s="7">
        <v>25</v>
      </c>
      <c r="AE55" s="7">
        <v>25</v>
      </c>
      <c r="AF55" s="7">
        <v>25</v>
      </c>
      <c r="AG55" s="8">
        <f t="shared" si="11"/>
        <v>100</v>
      </c>
      <c r="AH55" s="7">
        <v>25</v>
      </c>
      <c r="AI55" s="7">
        <v>25</v>
      </c>
      <c r="AJ55" s="7">
        <v>25</v>
      </c>
      <c r="AK55" s="7">
        <v>25</v>
      </c>
      <c r="AL55" s="8">
        <f t="shared" si="0"/>
        <v>100</v>
      </c>
      <c r="AM55" s="7">
        <v>25</v>
      </c>
      <c r="AN55" s="7">
        <v>25</v>
      </c>
      <c r="AO55" s="7">
        <v>25</v>
      </c>
      <c r="AP55" s="7">
        <v>25</v>
      </c>
      <c r="AQ55" s="8">
        <f t="shared" si="1"/>
        <v>100</v>
      </c>
      <c r="AR55" s="7">
        <v>25</v>
      </c>
      <c r="AS55" s="7">
        <v>25</v>
      </c>
      <c r="AT55" s="7">
        <v>25</v>
      </c>
      <c r="AU55" s="7">
        <v>25</v>
      </c>
      <c r="AV55" s="8">
        <f t="shared" si="2"/>
        <v>100</v>
      </c>
      <c r="AW55" s="7">
        <v>25</v>
      </c>
      <c r="AX55" s="7">
        <v>25</v>
      </c>
      <c r="AY55" s="7">
        <v>25</v>
      </c>
      <c r="AZ55" s="7">
        <v>25</v>
      </c>
      <c r="BA55" s="8">
        <f t="shared" si="3"/>
        <v>100</v>
      </c>
      <c r="BB55" s="7">
        <v>25</v>
      </c>
      <c r="BC55" s="7">
        <v>25</v>
      </c>
      <c r="BD55" s="7">
        <v>25</v>
      </c>
      <c r="BE55" s="7">
        <v>25</v>
      </c>
      <c r="BF55" s="8">
        <f t="shared" si="4"/>
        <v>100</v>
      </c>
      <c r="BG55" s="7">
        <v>25</v>
      </c>
      <c r="BH55" s="7">
        <v>25</v>
      </c>
      <c r="BI55" s="7">
        <v>25</v>
      </c>
      <c r="BJ55" s="7">
        <v>25</v>
      </c>
      <c r="BK55" s="8">
        <f t="shared" si="5"/>
        <v>100</v>
      </c>
      <c r="BL55" s="7">
        <v>25</v>
      </c>
      <c r="BM55" s="7">
        <v>25</v>
      </c>
      <c r="BN55" s="7">
        <v>25</v>
      </c>
      <c r="BO55" s="7">
        <v>25</v>
      </c>
      <c r="BP55" s="8">
        <f t="shared" si="6"/>
        <v>100</v>
      </c>
      <c r="BQ55" s="7">
        <v>25</v>
      </c>
      <c r="BR55" s="7">
        <v>25</v>
      </c>
      <c r="BS55" s="7">
        <v>25</v>
      </c>
      <c r="BT55" s="7">
        <v>25</v>
      </c>
      <c r="BU55" s="8">
        <f t="shared" si="7"/>
        <v>100</v>
      </c>
      <c r="BV55" s="7">
        <v>25</v>
      </c>
      <c r="BW55" s="7">
        <v>25</v>
      </c>
      <c r="BX55" s="7">
        <v>25</v>
      </c>
      <c r="BY55" s="7">
        <v>25</v>
      </c>
      <c r="BZ55" s="8">
        <f t="shared" si="8"/>
        <v>100</v>
      </c>
      <c r="CA55" s="7">
        <v>25</v>
      </c>
      <c r="CB55" s="7">
        <v>25</v>
      </c>
      <c r="CC55" s="7">
        <v>25</v>
      </c>
      <c r="CD55" s="7">
        <v>25</v>
      </c>
      <c r="CE55" s="8">
        <f t="shared" si="9"/>
        <v>100</v>
      </c>
      <c r="CF55" s="7">
        <v>25</v>
      </c>
      <c r="CG55" s="7">
        <v>25</v>
      </c>
      <c r="CH55" s="7">
        <v>25</v>
      </c>
      <c r="CI55" s="7">
        <v>25</v>
      </c>
      <c r="CJ55" s="8">
        <f t="shared" si="10"/>
        <v>100</v>
      </c>
      <c r="CK55" s="9">
        <v>4.8</v>
      </c>
      <c r="CL55" s="10" t="s">
        <v>98</v>
      </c>
      <c r="CM55" s="25"/>
      <c r="CN55" s="25"/>
      <c r="CO55" s="26"/>
      <c r="CP55">
        <f>Form_Responses1[[#This Row],[Column89]]</f>
        <v>4.8</v>
      </c>
      <c r="CQ55">
        <f>IF(Form_Responses1[[#This Row],[Column94]]&gt;0,Form_Responses1[[#This Row],[Column94]],Form_Responses1[[#This Row],[Column91]])</f>
        <v>4.8</v>
      </c>
      <c r="CR55">
        <v>4.8</v>
      </c>
    </row>
    <row r="56" spans="1:96" ht="15">
      <c r="A56" s="12">
        <v>45618.590135312501</v>
      </c>
      <c r="B56" s="13">
        <v>0</v>
      </c>
      <c r="C56" s="13" t="s">
        <v>170</v>
      </c>
      <c r="D56" s="13" t="s">
        <v>93</v>
      </c>
      <c r="E56" s="13" t="s">
        <v>112</v>
      </c>
      <c r="F56" s="13" t="s">
        <v>95</v>
      </c>
      <c r="G56" s="13" t="s">
        <v>123</v>
      </c>
      <c r="H56" s="13" t="s">
        <v>102</v>
      </c>
      <c r="I56" s="13">
        <v>1</v>
      </c>
      <c r="J56" s="13">
        <v>1</v>
      </c>
      <c r="K56" s="13">
        <v>1</v>
      </c>
      <c r="L56" s="13">
        <v>1</v>
      </c>
      <c r="M56" s="13">
        <v>2</v>
      </c>
      <c r="N56" s="13">
        <v>2</v>
      </c>
      <c r="O56" s="13">
        <v>2</v>
      </c>
      <c r="P56" s="13">
        <v>1</v>
      </c>
      <c r="Q56" s="13">
        <v>2</v>
      </c>
      <c r="R56" s="13">
        <v>1</v>
      </c>
      <c r="S56" s="13">
        <v>1</v>
      </c>
      <c r="T56" s="13">
        <v>2</v>
      </c>
      <c r="U56" s="13">
        <v>1</v>
      </c>
      <c r="V56" s="13">
        <v>1</v>
      </c>
      <c r="W56" s="13">
        <v>1</v>
      </c>
      <c r="X56" s="13">
        <v>1</v>
      </c>
      <c r="Y56" s="13">
        <v>2</v>
      </c>
      <c r="Z56" s="13">
        <v>2</v>
      </c>
      <c r="AA56" s="13">
        <v>1</v>
      </c>
      <c r="AB56" s="13">
        <v>2</v>
      </c>
      <c r="AC56" s="13">
        <v>25</v>
      </c>
      <c r="AD56" s="13">
        <v>25</v>
      </c>
      <c r="AE56" s="13">
        <v>25</v>
      </c>
      <c r="AF56" s="13">
        <v>25</v>
      </c>
      <c r="AG56" s="8">
        <f t="shared" si="11"/>
        <v>100</v>
      </c>
      <c r="AH56" s="13">
        <v>25</v>
      </c>
      <c r="AI56" s="13">
        <v>25</v>
      </c>
      <c r="AJ56" s="13">
        <v>25</v>
      </c>
      <c r="AK56" s="13">
        <v>25</v>
      </c>
      <c r="AL56" s="8">
        <f t="shared" si="0"/>
        <v>100</v>
      </c>
      <c r="AM56" s="13">
        <v>25</v>
      </c>
      <c r="AN56" s="13">
        <v>25</v>
      </c>
      <c r="AO56" s="13">
        <v>25</v>
      </c>
      <c r="AP56" s="13">
        <v>25</v>
      </c>
      <c r="AQ56" s="8">
        <f t="shared" si="1"/>
        <v>100</v>
      </c>
      <c r="AR56" s="13">
        <v>25</v>
      </c>
      <c r="AS56" s="13">
        <v>25</v>
      </c>
      <c r="AT56" s="13">
        <v>25</v>
      </c>
      <c r="AU56" s="13">
        <v>25</v>
      </c>
      <c r="AV56" s="8">
        <f t="shared" si="2"/>
        <v>100</v>
      </c>
      <c r="AW56" s="13">
        <v>25</v>
      </c>
      <c r="AX56" s="13">
        <v>25</v>
      </c>
      <c r="AY56" s="13">
        <v>25</v>
      </c>
      <c r="AZ56" s="13">
        <v>25</v>
      </c>
      <c r="BA56" s="8">
        <f t="shared" si="3"/>
        <v>100</v>
      </c>
      <c r="BB56" s="13">
        <v>25</v>
      </c>
      <c r="BC56" s="13">
        <v>25</v>
      </c>
      <c r="BD56" s="13">
        <v>25</v>
      </c>
      <c r="BE56" s="13">
        <v>25</v>
      </c>
      <c r="BF56" s="8">
        <f t="shared" si="4"/>
        <v>100</v>
      </c>
      <c r="BG56" s="13">
        <v>25</v>
      </c>
      <c r="BH56" s="13">
        <v>25</v>
      </c>
      <c r="BI56" s="13">
        <v>25</v>
      </c>
      <c r="BJ56" s="13">
        <v>25</v>
      </c>
      <c r="BK56" s="8">
        <f t="shared" si="5"/>
        <v>100</v>
      </c>
      <c r="BL56" s="13">
        <v>25</v>
      </c>
      <c r="BM56" s="13">
        <v>25</v>
      </c>
      <c r="BN56" s="13">
        <v>25</v>
      </c>
      <c r="BO56" s="13">
        <v>25</v>
      </c>
      <c r="BP56" s="8">
        <f t="shared" si="6"/>
        <v>100</v>
      </c>
      <c r="BQ56" s="13">
        <v>25</v>
      </c>
      <c r="BR56" s="13">
        <v>25</v>
      </c>
      <c r="BS56" s="13">
        <v>25</v>
      </c>
      <c r="BT56" s="13">
        <v>25</v>
      </c>
      <c r="BU56" s="8">
        <f t="shared" si="7"/>
        <v>100</v>
      </c>
      <c r="BV56" s="13">
        <v>25</v>
      </c>
      <c r="BW56" s="13">
        <v>25</v>
      </c>
      <c r="BX56" s="13">
        <v>25</v>
      </c>
      <c r="BY56" s="13">
        <v>25</v>
      </c>
      <c r="BZ56" s="8">
        <f t="shared" si="8"/>
        <v>100</v>
      </c>
      <c r="CA56" s="13">
        <v>25</v>
      </c>
      <c r="CB56" s="13">
        <v>25</v>
      </c>
      <c r="CC56" s="13">
        <v>25</v>
      </c>
      <c r="CD56" s="13">
        <v>25</v>
      </c>
      <c r="CE56" s="8">
        <f t="shared" si="9"/>
        <v>100</v>
      </c>
      <c r="CF56" s="13">
        <v>25</v>
      </c>
      <c r="CG56" s="13">
        <v>25</v>
      </c>
      <c r="CH56" s="13">
        <v>25</v>
      </c>
      <c r="CI56" s="13">
        <v>25</v>
      </c>
      <c r="CJ56" s="8">
        <f t="shared" si="10"/>
        <v>100</v>
      </c>
      <c r="CK56" s="14">
        <v>3.64</v>
      </c>
      <c r="CL56" s="14" t="s">
        <v>117</v>
      </c>
      <c r="CM56" s="18">
        <v>4.0999999999999996</v>
      </c>
      <c r="CN56" s="18" t="s">
        <v>98</v>
      </c>
      <c r="CO56" s="35"/>
      <c r="CP56">
        <f>Form_Responses1[[#This Row],[Column89]]</f>
        <v>3.64</v>
      </c>
      <c r="CQ56">
        <f>IF(Form_Responses1[[#This Row],[Column94]]&gt;0,Form_Responses1[[#This Row],[Column94]],Form_Responses1[[#This Row],[Column91]])</f>
        <v>3.64</v>
      </c>
      <c r="CR56">
        <v>3.64</v>
      </c>
    </row>
    <row r="57" spans="1:96" ht="15">
      <c r="A57" s="6">
        <v>45618.597268726851</v>
      </c>
      <c r="B57" s="7">
        <v>0</v>
      </c>
      <c r="C57" s="7" t="s">
        <v>171</v>
      </c>
      <c r="D57" s="7" t="s">
        <v>107</v>
      </c>
      <c r="E57" s="7" t="s">
        <v>100</v>
      </c>
      <c r="F57" s="7" t="s">
        <v>95</v>
      </c>
      <c r="G57" s="7" t="s">
        <v>109</v>
      </c>
      <c r="H57" s="7" t="s">
        <v>102</v>
      </c>
      <c r="I57" s="7">
        <v>4</v>
      </c>
      <c r="J57" s="7">
        <v>3</v>
      </c>
      <c r="K57" s="7">
        <v>3</v>
      </c>
      <c r="L57" s="7">
        <v>3</v>
      </c>
      <c r="M57" s="7">
        <v>3</v>
      </c>
      <c r="N57" s="7">
        <v>4</v>
      </c>
      <c r="O57" s="7">
        <v>3</v>
      </c>
      <c r="P57" s="7">
        <v>3</v>
      </c>
      <c r="Q57" s="7">
        <v>4</v>
      </c>
      <c r="R57" s="7">
        <v>3</v>
      </c>
      <c r="S57" s="7">
        <v>4</v>
      </c>
      <c r="T57" s="7">
        <v>3</v>
      </c>
      <c r="U57" s="7">
        <v>3</v>
      </c>
      <c r="V57" s="7">
        <v>3</v>
      </c>
      <c r="W57" s="7">
        <v>4</v>
      </c>
      <c r="X57" s="7">
        <v>4</v>
      </c>
      <c r="Y57" s="7">
        <v>3</v>
      </c>
      <c r="Z57" s="7">
        <v>4</v>
      </c>
      <c r="AA57" s="7">
        <v>3</v>
      </c>
      <c r="AB57" s="7">
        <v>4</v>
      </c>
      <c r="AC57" s="7">
        <v>25</v>
      </c>
      <c r="AD57" s="7">
        <v>25</v>
      </c>
      <c r="AE57" s="7">
        <v>25</v>
      </c>
      <c r="AF57" s="7">
        <v>25</v>
      </c>
      <c r="AG57" s="8">
        <f t="shared" si="11"/>
        <v>100</v>
      </c>
      <c r="AH57" s="7">
        <v>25</v>
      </c>
      <c r="AI57" s="7">
        <v>25</v>
      </c>
      <c r="AJ57" s="7">
        <v>25</v>
      </c>
      <c r="AK57" s="7">
        <v>25</v>
      </c>
      <c r="AL57" s="8">
        <f t="shared" si="0"/>
        <v>100</v>
      </c>
      <c r="AM57" s="7">
        <v>30</v>
      </c>
      <c r="AN57" s="7">
        <v>30</v>
      </c>
      <c r="AO57" s="7">
        <v>10</v>
      </c>
      <c r="AP57" s="7">
        <v>30</v>
      </c>
      <c r="AQ57" s="8">
        <f t="shared" si="1"/>
        <v>100</v>
      </c>
      <c r="AR57" s="7">
        <v>20</v>
      </c>
      <c r="AS57" s="7">
        <v>40</v>
      </c>
      <c r="AT57" s="7">
        <v>20</v>
      </c>
      <c r="AU57" s="7">
        <v>20</v>
      </c>
      <c r="AV57" s="8">
        <f t="shared" si="2"/>
        <v>100</v>
      </c>
      <c r="AW57" s="7">
        <v>25</v>
      </c>
      <c r="AX57" s="7">
        <v>25</v>
      </c>
      <c r="AY57" s="7">
        <v>25</v>
      </c>
      <c r="AZ57" s="7">
        <v>25</v>
      </c>
      <c r="BA57" s="8">
        <f t="shared" si="3"/>
        <v>100</v>
      </c>
      <c r="BB57" s="7">
        <v>20</v>
      </c>
      <c r="BC57" s="7">
        <v>40</v>
      </c>
      <c r="BD57" s="7">
        <v>20</v>
      </c>
      <c r="BE57" s="7">
        <v>20</v>
      </c>
      <c r="BF57" s="8">
        <f t="shared" si="4"/>
        <v>100</v>
      </c>
      <c r="BG57" s="7">
        <v>25</v>
      </c>
      <c r="BH57" s="7">
        <v>25</v>
      </c>
      <c r="BI57" s="7">
        <v>25</v>
      </c>
      <c r="BJ57" s="7">
        <v>25</v>
      </c>
      <c r="BK57" s="8">
        <f t="shared" si="5"/>
        <v>100</v>
      </c>
      <c r="BL57" s="7">
        <v>25</v>
      </c>
      <c r="BM57" s="7">
        <v>15</v>
      </c>
      <c r="BN57" s="7">
        <v>25</v>
      </c>
      <c r="BO57" s="7">
        <v>35</v>
      </c>
      <c r="BP57" s="8">
        <f t="shared" si="6"/>
        <v>100</v>
      </c>
      <c r="BQ57" s="7">
        <v>25</v>
      </c>
      <c r="BR57" s="7">
        <v>25</v>
      </c>
      <c r="BS57" s="7">
        <v>25</v>
      </c>
      <c r="BT57" s="7">
        <v>25</v>
      </c>
      <c r="BU57" s="8">
        <f t="shared" si="7"/>
        <v>100</v>
      </c>
      <c r="BV57" s="7">
        <v>25</v>
      </c>
      <c r="BW57" s="7">
        <v>25</v>
      </c>
      <c r="BX57" s="7">
        <v>25</v>
      </c>
      <c r="BY57" s="7">
        <v>25</v>
      </c>
      <c r="BZ57" s="8">
        <f t="shared" si="8"/>
        <v>100</v>
      </c>
      <c r="CA57" s="7">
        <v>25</v>
      </c>
      <c r="CB57" s="7">
        <v>25</v>
      </c>
      <c r="CC57" s="7">
        <v>25</v>
      </c>
      <c r="CD57" s="7">
        <v>25</v>
      </c>
      <c r="CE57" s="8">
        <f t="shared" si="9"/>
        <v>100</v>
      </c>
      <c r="CF57" s="7">
        <v>30</v>
      </c>
      <c r="CG57" s="7">
        <v>10</v>
      </c>
      <c r="CH57" s="7">
        <v>30</v>
      </c>
      <c r="CI57" s="7">
        <v>30</v>
      </c>
      <c r="CJ57" s="8">
        <f t="shared" si="10"/>
        <v>100</v>
      </c>
      <c r="CK57" s="9">
        <v>4.1500000000000004</v>
      </c>
      <c r="CL57" s="10" t="s">
        <v>98</v>
      </c>
      <c r="CM57" s="25" t="s">
        <v>172</v>
      </c>
      <c r="CN57" s="25"/>
      <c r="CO57" s="26"/>
      <c r="CP57">
        <f>Form_Responses1[[#This Row],[Column89]]</f>
        <v>4.1500000000000004</v>
      </c>
      <c r="CQ57">
        <f>IF(Form_Responses1[[#This Row],[Column94]]&gt;0,Form_Responses1[[#This Row],[Column94]],Form_Responses1[[#This Row],[Column91]])</f>
        <v>4.1500000000000004</v>
      </c>
      <c r="CR57">
        <v>4.1500000000000004</v>
      </c>
    </row>
    <row r="58" spans="1:96" ht="15">
      <c r="A58" s="12">
        <v>45618.606211597224</v>
      </c>
      <c r="B58" s="13">
        <v>0</v>
      </c>
      <c r="C58" s="13" t="s">
        <v>173</v>
      </c>
      <c r="D58" s="13" t="s">
        <v>93</v>
      </c>
      <c r="E58" s="13" t="s">
        <v>112</v>
      </c>
      <c r="F58" s="13" t="s">
        <v>95</v>
      </c>
      <c r="G58" s="13" t="s">
        <v>123</v>
      </c>
      <c r="H58" s="13" t="s">
        <v>102</v>
      </c>
      <c r="I58" s="13">
        <v>4</v>
      </c>
      <c r="J58" s="13">
        <v>4</v>
      </c>
      <c r="K58" s="13">
        <v>3</v>
      </c>
      <c r="L58" s="13">
        <v>4</v>
      </c>
      <c r="M58" s="13">
        <v>4</v>
      </c>
      <c r="N58" s="13">
        <v>4</v>
      </c>
      <c r="O58" s="13">
        <v>4</v>
      </c>
      <c r="P58" s="13">
        <v>4</v>
      </c>
      <c r="Q58" s="13">
        <v>4</v>
      </c>
      <c r="R58" s="13">
        <v>4</v>
      </c>
      <c r="S58" s="13">
        <v>4</v>
      </c>
      <c r="T58" s="13">
        <v>3</v>
      </c>
      <c r="U58" s="13">
        <v>3</v>
      </c>
      <c r="V58" s="13">
        <v>4</v>
      </c>
      <c r="W58" s="13">
        <v>3</v>
      </c>
      <c r="X58" s="13">
        <v>3</v>
      </c>
      <c r="Y58" s="13">
        <v>4</v>
      </c>
      <c r="Z58" s="13">
        <v>4</v>
      </c>
      <c r="AA58" s="13">
        <v>3</v>
      </c>
      <c r="AB58" s="13">
        <v>3</v>
      </c>
      <c r="AC58" s="13">
        <v>50</v>
      </c>
      <c r="AD58" s="13">
        <v>10</v>
      </c>
      <c r="AE58" s="13">
        <v>20</v>
      </c>
      <c r="AF58" s="13">
        <v>20</v>
      </c>
      <c r="AG58" s="8">
        <f t="shared" si="11"/>
        <v>100</v>
      </c>
      <c r="AH58" s="13">
        <v>70</v>
      </c>
      <c r="AI58" s="13">
        <v>10</v>
      </c>
      <c r="AJ58" s="13">
        <v>10</v>
      </c>
      <c r="AK58" s="13">
        <v>10</v>
      </c>
      <c r="AL58" s="8">
        <f t="shared" si="0"/>
        <v>100</v>
      </c>
      <c r="AM58" s="13">
        <v>30</v>
      </c>
      <c r="AN58" s="13">
        <v>30</v>
      </c>
      <c r="AO58" s="13">
        <v>10</v>
      </c>
      <c r="AP58" s="13">
        <v>30</v>
      </c>
      <c r="AQ58" s="8">
        <f t="shared" si="1"/>
        <v>100</v>
      </c>
      <c r="AR58" s="13">
        <v>30</v>
      </c>
      <c r="AS58" s="13">
        <v>30</v>
      </c>
      <c r="AT58" s="13">
        <v>10</v>
      </c>
      <c r="AU58" s="13">
        <v>30</v>
      </c>
      <c r="AV58" s="8">
        <f t="shared" si="2"/>
        <v>100</v>
      </c>
      <c r="AW58" s="13">
        <v>30</v>
      </c>
      <c r="AX58" s="13">
        <v>30</v>
      </c>
      <c r="AY58" s="13">
        <v>10</v>
      </c>
      <c r="AZ58" s="13">
        <v>30</v>
      </c>
      <c r="BA58" s="8">
        <f t="shared" si="3"/>
        <v>100</v>
      </c>
      <c r="BB58" s="13">
        <v>30</v>
      </c>
      <c r="BC58" s="13">
        <v>30</v>
      </c>
      <c r="BD58" s="13">
        <v>10</v>
      </c>
      <c r="BE58" s="13">
        <v>30</v>
      </c>
      <c r="BF58" s="8">
        <f t="shared" si="4"/>
        <v>100</v>
      </c>
      <c r="BG58" s="13">
        <v>30</v>
      </c>
      <c r="BH58" s="13">
        <v>30</v>
      </c>
      <c r="BI58" s="13">
        <v>10</v>
      </c>
      <c r="BJ58" s="13">
        <v>30</v>
      </c>
      <c r="BK58" s="8">
        <f t="shared" si="5"/>
        <v>100</v>
      </c>
      <c r="BL58" s="13">
        <v>30</v>
      </c>
      <c r="BM58" s="13">
        <v>30</v>
      </c>
      <c r="BN58" s="13">
        <v>10</v>
      </c>
      <c r="BO58" s="13">
        <v>30</v>
      </c>
      <c r="BP58" s="8">
        <f t="shared" si="6"/>
        <v>100</v>
      </c>
      <c r="BQ58" s="13">
        <v>20</v>
      </c>
      <c r="BR58" s="13">
        <v>20</v>
      </c>
      <c r="BS58" s="13">
        <v>20</v>
      </c>
      <c r="BT58" s="13">
        <v>40</v>
      </c>
      <c r="BU58" s="8">
        <f t="shared" si="7"/>
        <v>100</v>
      </c>
      <c r="BV58" s="13">
        <v>20</v>
      </c>
      <c r="BW58" s="13">
        <v>20</v>
      </c>
      <c r="BX58" s="13">
        <v>20</v>
      </c>
      <c r="BY58" s="13">
        <v>40</v>
      </c>
      <c r="BZ58" s="8">
        <f t="shared" si="8"/>
        <v>100</v>
      </c>
      <c r="CA58" s="13">
        <v>30</v>
      </c>
      <c r="CB58" s="13">
        <v>20</v>
      </c>
      <c r="CC58" s="13">
        <v>20</v>
      </c>
      <c r="CD58" s="13">
        <v>30</v>
      </c>
      <c r="CE58" s="8">
        <f t="shared" si="9"/>
        <v>100</v>
      </c>
      <c r="CF58" s="13">
        <v>30</v>
      </c>
      <c r="CG58" s="13">
        <v>20</v>
      </c>
      <c r="CH58" s="13">
        <v>20</v>
      </c>
      <c r="CI58" s="13">
        <v>30</v>
      </c>
      <c r="CJ58" s="8">
        <f t="shared" si="10"/>
        <v>100</v>
      </c>
      <c r="CK58" s="18">
        <v>4.43</v>
      </c>
      <c r="CL58" s="30" t="s">
        <v>98</v>
      </c>
      <c r="CM58" s="23"/>
      <c r="CN58" s="23"/>
      <c r="CO58" s="24"/>
      <c r="CP58">
        <f>Form_Responses1[[#This Row],[Column89]]</f>
        <v>4.43</v>
      </c>
      <c r="CQ58">
        <f>IF(Form_Responses1[[#This Row],[Column94]]&gt;0,Form_Responses1[[#This Row],[Column94]],Form_Responses1[[#This Row],[Column91]])</f>
        <v>4.43</v>
      </c>
      <c r="CR58">
        <v>4.43</v>
      </c>
    </row>
    <row r="59" spans="1:96" ht="15">
      <c r="A59" s="6">
        <v>45618.613692476851</v>
      </c>
      <c r="B59" s="7">
        <v>0</v>
      </c>
      <c r="C59" s="7" t="s">
        <v>174</v>
      </c>
      <c r="D59" s="7" t="s">
        <v>107</v>
      </c>
      <c r="E59" s="7" t="s">
        <v>100</v>
      </c>
      <c r="F59" s="7" t="s">
        <v>95</v>
      </c>
      <c r="G59" s="7" t="s">
        <v>123</v>
      </c>
      <c r="H59" s="7" t="s">
        <v>102</v>
      </c>
      <c r="I59" s="7">
        <v>4</v>
      </c>
      <c r="J59" s="7">
        <v>4</v>
      </c>
      <c r="K59" s="7">
        <v>4</v>
      </c>
      <c r="L59" s="7">
        <v>5</v>
      </c>
      <c r="M59" s="7">
        <v>4</v>
      </c>
      <c r="N59" s="7">
        <v>5</v>
      </c>
      <c r="O59" s="7">
        <v>4</v>
      </c>
      <c r="P59" s="7">
        <v>4</v>
      </c>
      <c r="Q59" s="7">
        <v>4</v>
      </c>
      <c r="R59" s="7">
        <v>4</v>
      </c>
      <c r="S59" s="7">
        <v>4</v>
      </c>
      <c r="T59" s="7">
        <v>4</v>
      </c>
      <c r="U59" s="7">
        <v>4</v>
      </c>
      <c r="V59" s="7">
        <v>4</v>
      </c>
      <c r="W59" s="7">
        <v>4</v>
      </c>
      <c r="X59" s="7">
        <v>4</v>
      </c>
      <c r="Y59" s="7">
        <v>4</v>
      </c>
      <c r="Z59" s="7">
        <v>4</v>
      </c>
      <c r="AA59" s="7">
        <v>4</v>
      </c>
      <c r="AB59" s="7">
        <v>4</v>
      </c>
      <c r="AC59" s="7">
        <v>25</v>
      </c>
      <c r="AD59" s="7">
        <v>25</v>
      </c>
      <c r="AE59" s="7">
        <v>25</v>
      </c>
      <c r="AF59" s="7">
        <v>25</v>
      </c>
      <c r="AG59" s="8">
        <f t="shared" si="11"/>
        <v>100</v>
      </c>
      <c r="AH59" s="7">
        <v>25</v>
      </c>
      <c r="AI59" s="7">
        <v>25</v>
      </c>
      <c r="AJ59" s="7">
        <v>25</v>
      </c>
      <c r="AK59" s="7">
        <v>25</v>
      </c>
      <c r="AL59" s="8">
        <f t="shared" si="0"/>
        <v>100</v>
      </c>
      <c r="AM59" s="7">
        <v>25</v>
      </c>
      <c r="AN59" s="7">
        <v>25</v>
      </c>
      <c r="AO59" s="7">
        <v>25</v>
      </c>
      <c r="AP59" s="7">
        <v>25</v>
      </c>
      <c r="AQ59" s="8">
        <f t="shared" si="1"/>
        <v>100</v>
      </c>
      <c r="AR59" s="7">
        <v>25</v>
      </c>
      <c r="AS59" s="7">
        <v>25</v>
      </c>
      <c r="AT59" s="7">
        <v>25</v>
      </c>
      <c r="AU59" s="7">
        <v>25</v>
      </c>
      <c r="AV59" s="8">
        <f t="shared" si="2"/>
        <v>100</v>
      </c>
      <c r="AW59" s="7">
        <v>25</v>
      </c>
      <c r="AX59" s="7">
        <v>25</v>
      </c>
      <c r="AY59" s="7">
        <v>25</v>
      </c>
      <c r="AZ59" s="7">
        <v>25</v>
      </c>
      <c r="BA59" s="8">
        <f t="shared" si="3"/>
        <v>100</v>
      </c>
      <c r="BB59" s="7">
        <v>25</v>
      </c>
      <c r="BC59" s="7">
        <v>25</v>
      </c>
      <c r="BD59" s="7">
        <v>25</v>
      </c>
      <c r="BE59" s="7">
        <v>25</v>
      </c>
      <c r="BF59" s="8">
        <f t="shared" si="4"/>
        <v>100</v>
      </c>
      <c r="BG59" s="7">
        <v>25</v>
      </c>
      <c r="BH59" s="7">
        <v>25</v>
      </c>
      <c r="BI59" s="7">
        <v>25</v>
      </c>
      <c r="BJ59" s="7">
        <v>25</v>
      </c>
      <c r="BK59" s="8">
        <f t="shared" si="5"/>
        <v>100</v>
      </c>
      <c r="BL59" s="7">
        <v>25</v>
      </c>
      <c r="BM59" s="7">
        <v>25</v>
      </c>
      <c r="BN59" s="7">
        <v>25</v>
      </c>
      <c r="BO59" s="7">
        <v>25</v>
      </c>
      <c r="BP59" s="8">
        <f t="shared" si="6"/>
        <v>100</v>
      </c>
      <c r="BQ59" s="7">
        <v>25</v>
      </c>
      <c r="BR59" s="7">
        <v>25</v>
      </c>
      <c r="BS59" s="7">
        <v>25</v>
      </c>
      <c r="BT59" s="7">
        <v>25</v>
      </c>
      <c r="BU59" s="8">
        <f t="shared" si="7"/>
        <v>100</v>
      </c>
      <c r="BV59" s="7">
        <v>25</v>
      </c>
      <c r="BW59" s="7">
        <v>25</v>
      </c>
      <c r="BX59" s="7">
        <v>25</v>
      </c>
      <c r="BY59" s="7">
        <v>25</v>
      </c>
      <c r="BZ59" s="8">
        <f t="shared" si="8"/>
        <v>100</v>
      </c>
      <c r="CA59" s="7">
        <v>25</v>
      </c>
      <c r="CB59" s="7">
        <v>25</v>
      </c>
      <c r="CC59" s="7">
        <v>25</v>
      </c>
      <c r="CD59" s="7">
        <v>25</v>
      </c>
      <c r="CE59" s="8">
        <f t="shared" si="9"/>
        <v>100</v>
      </c>
      <c r="CF59" s="7">
        <v>25</v>
      </c>
      <c r="CG59" s="7">
        <v>25</v>
      </c>
      <c r="CH59" s="7">
        <v>25</v>
      </c>
      <c r="CI59" s="7">
        <v>25</v>
      </c>
      <c r="CJ59" s="8">
        <f t="shared" si="10"/>
        <v>100</v>
      </c>
      <c r="CK59" s="9">
        <v>4.6500000000000004</v>
      </c>
      <c r="CL59" s="10" t="s">
        <v>98</v>
      </c>
      <c r="CM59" s="25"/>
      <c r="CN59" s="25"/>
      <c r="CO59" s="26"/>
      <c r="CP59">
        <f>Form_Responses1[[#This Row],[Column89]]</f>
        <v>4.6500000000000004</v>
      </c>
      <c r="CQ59">
        <f>IF(Form_Responses1[[#This Row],[Column94]]&gt;0,Form_Responses1[[#This Row],[Column94]],Form_Responses1[[#This Row],[Column91]])</f>
        <v>4.6500000000000004</v>
      </c>
      <c r="CR59">
        <v>4.6500000000000004</v>
      </c>
    </row>
    <row r="60" spans="1:96" ht="15">
      <c r="A60" s="12">
        <v>45618.644965937499</v>
      </c>
      <c r="B60" s="13">
        <v>0</v>
      </c>
      <c r="C60" s="13" t="s">
        <v>175</v>
      </c>
      <c r="D60" s="13" t="s">
        <v>93</v>
      </c>
      <c r="E60" s="13" t="s">
        <v>112</v>
      </c>
      <c r="F60" s="13" t="s">
        <v>101</v>
      </c>
      <c r="G60" s="13" t="s">
        <v>96</v>
      </c>
      <c r="H60" s="13" t="s">
        <v>102</v>
      </c>
      <c r="I60" s="13">
        <v>4</v>
      </c>
      <c r="J60" s="13">
        <v>5</v>
      </c>
      <c r="K60" s="13">
        <v>4</v>
      </c>
      <c r="L60" s="13">
        <v>5</v>
      </c>
      <c r="M60" s="13">
        <v>4</v>
      </c>
      <c r="N60" s="13">
        <v>4</v>
      </c>
      <c r="O60" s="13">
        <v>5</v>
      </c>
      <c r="P60" s="13">
        <v>4</v>
      </c>
      <c r="Q60" s="13">
        <v>5</v>
      </c>
      <c r="R60" s="13">
        <v>4</v>
      </c>
      <c r="S60" s="13">
        <v>5</v>
      </c>
      <c r="T60" s="13">
        <v>5</v>
      </c>
      <c r="U60" s="13">
        <v>4</v>
      </c>
      <c r="V60" s="13">
        <v>4</v>
      </c>
      <c r="W60" s="13">
        <v>4</v>
      </c>
      <c r="X60" s="13">
        <v>4</v>
      </c>
      <c r="Y60" s="13">
        <v>4</v>
      </c>
      <c r="Z60" s="13">
        <v>5</v>
      </c>
      <c r="AA60" s="13">
        <v>5</v>
      </c>
      <c r="AB60" s="13">
        <v>4</v>
      </c>
      <c r="AC60" s="13">
        <v>20</v>
      </c>
      <c r="AD60" s="13">
        <v>30</v>
      </c>
      <c r="AE60" s="13">
        <v>30</v>
      </c>
      <c r="AF60" s="13">
        <v>20</v>
      </c>
      <c r="AG60" s="8">
        <f t="shared" si="11"/>
        <v>100</v>
      </c>
      <c r="AH60" s="13">
        <v>20</v>
      </c>
      <c r="AI60" s="13">
        <v>20</v>
      </c>
      <c r="AJ60" s="13">
        <v>20</v>
      </c>
      <c r="AK60" s="13">
        <v>40</v>
      </c>
      <c r="AL60" s="8">
        <f t="shared" si="0"/>
        <v>100</v>
      </c>
      <c r="AM60" s="13">
        <v>25</v>
      </c>
      <c r="AN60" s="13">
        <v>25</v>
      </c>
      <c r="AO60" s="13">
        <v>25</v>
      </c>
      <c r="AP60" s="13">
        <v>25</v>
      </c>
      <c r="AQ60" s="8">
        <f t="shared" si="1"/>
        <v>100</v>
      </c>
      <c r="AR60" s="13">
        <v>25</v>
      </c>
      <c r="AS60" s="13">
        <v>25</v>
      </c>
      <c r="AT60" s="13">
        <v>25</v>
      </c>
      <c r="AU60" s="13">
        <v>25</v>
      </c>
      <c r="AV60" s="8">
        <f t="shared" si="2"/>
        <v>100</v>
      </c>
      <c r="AW60" s="13">
        <v>25</v>
      </c>
      <c r="AX60" s="13">
        <v>25</v>
      </c>
      <c r="AY60" s="13">
        <v>25</v>
      </c>
      <c r="AZ60" s="13">
        <v>25</v>
      </c>
      <c r="BA60" s="8">
        <f t="shared" si="3"/>
        <v>100</v>
      </c>
      <c r="BB60" s="13">
        <v>25</v>
      </c>
      <c r="BC60" s="13">
        <v>25</v>
      </c>
      <c r="BD60" s="13">
        <v>25</v>
      </c>
      <c r="BE60" s="13">
        <v>25</v>
      </c>
      <c r="BF60" s="8">
        <f t="shared" si="4"/>
        <v>100</v>
      </c>
      <c r="BG60" s="13">
        <v>25</v>
      </c>
      <c r="BH60" s="13">
        <v>25</v>
      </c>
      <c r="BI60" s="13">
        <v>25</v>
      </c>
      <c r="BJ60" s="13">
        <v>25</v>
      </c>
      <c r="BK60" s="8">
        <f t="shared" si="5"/>
        <v>100</v>
      </c>
      <c r="BL60" s="13">
        <v>25</v>
      </c>
      <c r="BM60" s="13">
        <v>25</v>
      </c>
      <c r="BN60" s="13">
        <v>25</v>
      </c>
      <c r="BO60" s="13">
        <v>25</v>
      </c>
      <c r="BP60" s="8">
        <f t="shared" si="6"/>
        <v>100</v>
      </c>
      <c r="BQ60" s="13">
        <v>25</v>
      </c>
      <c r="BR60" s="13">
        <v>25</v>
      </c>
      <c r="BS60" s="13">
        <v>25</v>
      </c>
      <c r="BT60" s="13">
        <v>25</v>
      </c>
      <c r="BU60" s="8">
        <f t="shared" si="7"/>
        <v>100</v>
      </c>
      <c r="BV60" s="13">
        <v>25</v>
      </c>
      <c r="BW60" s="13">
        <v>25</v>
      </c>
      <c r="BX60" s="13">
        <v>25</v>
      </c>
      <c r="BY60" s="13">
        <v>25</v>
      </c>
      <c r="BZ60" s="8">
        <f t="shared" si="8"/>
        <v>100</v>
      </c>
      <c r="CA60" s="13">
        <v>25</v>
      </c>
      <c r="CB60" s="13">
        <v>25</v>
      </c>
      <c r="CC60" s="13">
        <v>25</v>
      </c>
      <c r="CD60" s="13">
        <v>25</v>
      </c>
      <c r="CE60" s="8">
        <f t="shared" si="9"/>
        <v>100</v>
      </c>
      <c r="CF60" s="13">
        <v>25</v>
      </c>
      <c r="CG60" s="13">
        <v>25</v>
      </c>
      <c r="CH60" s="13">
        <v>25</v>
      </c>
      <c r="CI60" s="13">
        <v>25</v>
      </c>
      <c r="CJ60" s="8">
        <f t="shared" si="10"/>
        <v>100</v>
      </c>
      <c r="CK60" s="14">
        <v>4.8</v>
      </c>
      <c r="CL60" s="19" t="s">
        <v>98</v>
      </c>
      <c r="CM60" s="23"/>
      <c r="CN60" s="23"/>
      <c r="CO60" s="24"/>
      <c r="CP60">
        <f>Form_Responses1[[#This Row],[Column89]]</f>
        <v>4.8</v>
      </c>
      <c r="CQ60">
        <f>IF(Form_Responses1[[#This Row],[Column94]]&gt;0,Form_Responses1[[#This Row],[Column94]],Form_Responses1[[#This Row],[Column91]])</f>
        <v>4.8</v>
      </c>
      <c r="CR60">
        <v>4.8</v>
      </c>
    </row>
    <row r="61" spans="1:96" ht="15">
      <c r="A61" s="6">
        <v>45618.670627916668</v>
      </c>
      <c r="B61" s="7">
        <v>0</v>
      </c>
      <c r="C61" s="7" t="s">
        <v>176</v>
      </c>
      <c r="D61" s="7" t="s">
        <v>107</v>
      </c>
      <c r="E61" s="7" t="s">
        <v>112</v>
      </c>
      <c r="F61" s="7" t="s">
        <v>95</v>
      </c>
      <c r="G61" s="7" t="s">
        <v>123</v>
      </c>
      <c r="H61" s="7" t="s">
        <v>102</v>
      </c>
      <c r="I61" s="7">
        <v>3</v>
      </c>
      <c r="J61" s="7">
        <v>3</v>
      </c>
      <c r="K61" s="7">
        <v>4</v>
      </c>
      <c r="L61" s="7">
        <v>3</v>
      </c>
      <c r="M61" s="7">
        <v>4</v>
      </c>
      <c r="N61" s="7">
        <v>4</v>
      </c>
      <c r="O61" s="7">
        <v>4</v>
      </c>
      <c r="P61" s="7">
        <v>4</v>
      </c>
      <c r="Q61" s="7">
        <v>5</v>
      </c>
      <c r="R61" s="7">
        <v>4</v>
      </c>
      <c r="S61" s="7">
        <v>5</v>
      </c>
      <c r="T61" s="7">
        <v>4</v>
      </c>
      <c r="U61" s="7">
        <v>4</v>
      </c>
      <c r="V61" s="7">
        <v>4</v>
      </c>
      <c r="W61" s="7">
        <v>3</v>
      </c>
      <c r="X61" s="7">
        <v>4</v>
      </c>
      <c r="Y61" s="7">
        <v>4</v>
      </c>
      <c r="Z61" s="7">
        <v>4</v>
      </c>
      <c r="AA61" s="7">
        <v>4</v>
      </c>
      <c r="AB61" s="7">
        <v>3</v>
      </c>
      <c r="AC61" s="7">
        <v>50</v>
      </c>
      <c r="AD61" s="7">
        <v>30</v>
      </c>
      <c r="AE61" s="7">
        <v>10</v>
      </c>
      <c r="AF61" s="7">
        <v>10</v>
      </c>
      <c r="AG61" s="8">
        <f t="shared" si="11"/>
        <v>100</v>
      </c>
      <c r="AH61" s="7">
        <v>10</v>
      </c>
      <c r="AI61" s="7">
        <v>10</v>
      </c>
      <c r="AJ61" s="7">
        <v>40</v>
      </c>
      <c r="AK61" s="7">
        <v>40</v>
      </c>
      <c r="AL61" s="8">
        <f t="shared" si="0"/>
        <v>100</v>
      </c>
      <c r="AM61" s="7">
        <v>40</v>
      </c>
      <c r="AN61" s="7">
        <v>40</v>
      </c>
      <c r="AO61" s="7">
        <v>10</v>
      </c>
      <c r="AP61" s="7">
        <v>10</v>
      </c>
      <c r="AQ61" s="8">
        <f t="shared" si="1"/>
        <v>100</v>
      </c>
      <c r="AR61" s="7">
        <v>40</v>
      </c>
      <c r="AS61" s="7">
        <v>10</v>
      </c>
      <c r="AT61" s="7">
        <v>10</v>
      </c>
      <c r="AU61" s="7">
        <v>40</v>
      </c>
      <c r="AV61" s="8">
        <f t="shared" si="2"/>
        <v>100</v>
      </c>
      <c r="AW61" s="7">
        <v>20</v>
      </c>
      <c r="AX61" s="7">
        <v>10</v>
      </c>
      <c r="AY61" s="7">
        <v>10</v>
      </c>
      <c r="AZ61" s="7">
        <v>60</v>
      </c>
      <c r="BA61" s="8">
        <f t="shared" si="3"/>
        <v>100</v>
      </c>
      <c r="BB61" s="7">
        <v>20</v>
      </c>
      <c r="BC61" s="7">
        <v>20</v>
      </c>
      <c r="BD61" s="7">
        <v>30</v>
      </c>
      <c r="BE61" s="7">
        <v>30</v>
      </c>
      <c r="BF61" s="8">
        <f t="shared" si="4"/>
        <v>100</v>
      </c>
      <c r="BG61" s="7">
        <v>60</v>
      </c>
      <c r="BH61" s="7">
        <v>10</v>
      </c>
      <c r="BI61" s="7">
        <v>10</v>
      </c>
      <c r="BJ61" s="7">
        <v>20</v>
      </c>
      <c r="BK61" s="8">
        <f t="shared" si="5"/>
        <v>100</v>
      </c>
      <c r="BL61" s="7">
        <v>20</v>
      </c>
      <c r="BM61" s="7">
        <v>10</v>
      </c>
      <c r="BN61" s="7">
        <v>20</v>
      </c>
      <c r="BO61" s="7">
        <v>50</v>
      </c>
      <c r="BP61" s="8">
        <f t="shared" si="6"/>
        <v>100</v>
      </c>
      <c r="BQ61" s="7">
        <v>30</v>
      </c>
      <c r="BR61" s="7">
        <v>20</v>
      </c>
      <c r="BS61" s="7">
        <v>40</v>
      </c>
      <c r="BT61" s="7">
        <v>10</v>
      </c>
      <c r="BU61" s="8">
        <f t="shared" si="7"/>
        <v>100</v>
      </c>
      <c r="BV61" s="7">
        <v>10</v>
      </c>
      <c r="BW61" s="7">
        <v>30</v>
      </c>
      <c r="BX61" s="7">
        <v>40</v>
      </c>
      <c r="BY61" s="7">
        <v>20</v>
      </c>
      <c r="BZ61" s="8">
        <f t="shared" si="8"/>
        <v>100</v>
      </c>
      <c r="CA61" s="7">
        <v>40</v>
      </c>
      <c r="CB61" s="7">
        <v>20</v>
      </c>
      <c r="CC61" s="7">
        <v>20</v>
      </c>
      <c r="CD61" s="7">
        <v>20</v>
      </c>
      <c r="CE61" s="8">
        <f t="shared" si="9"/>
        <v>100</v>
      </c>
      <c r="CF61" s="7">
        <v>40</v>
      </c>
      <c r="CG61" s="7">
        <v>20</v>
      </c>
      <c r="CH61" s="7">
        <v>20</v>
      </c>
      <c r="CI61" s="7">
        <v>20</v>
      </c>
      <c r="CJ61" s="8">
        <f t="shared" si="10"/>
        <v>100</v>
      </c>
      <c r="CK61" s="16">
        <v>4.29</v>
      </c>
      <c r="CL61" s="10" t="s">
        <v>98</v>
      </c>
      <c r="CM61" s="16">
        <v>4.54</v>
      </c>
      <c r="CN61" s="10" t="s">
        <v>98</v>
      </c>
      <c r="CO61" s="11"/>
      <c r="CP61">
        <f>Form_Responses1[[#This Row],[Column89]]</f>
        <v>4.29</v>
      </c>
      <c r="CQ61">
        <f>IF(Form_Responses1[[#This Row],[Column94]]&gt;0,Form_Responses1[[#This Row],[Column94]],Form_Responses1[[#This Row],[Column91]])</f>
        <v>4.29</v>
      </c>
      <c r="CR61">
        <v>4.29</v>
      </c>
    </row>
    <row r="62" spans="1:96" ht="15">
      <c r="A62" s="12">
        <v>45618.676940277779</v>
      </c>
      <c r="B62" s="13">
        <v>0</v>
      </c>
      <c r="C62" s="13" t="s">
        <v>177</v>
      </c>
      <c r="D62" s="13" t="s">
        <v>93</v>
      </c>
      <c r="E62" s="13" t="s">
        <v>112</v>
      </c>
      <c r="F62" s="13" t="s">
        <v>95</v>
      </c>
      <c r="G62" s="13" t="s">
        <v>113</v>
      </c>
      <c r="H62" s="13" t="s">
        <v>102</v>
      </c>
      <c r="I62" s="13">
        <v>3</v>
      </c>
      <c r="J62" s="13">
        <v>3</v>
      </c>
      <c r="K62" s="13">
        <v>3</v>
      </c>
      <c r="L62" s="13">
        <v>3</v>
      </c>
      <c r="M62" s="13">
        <v>3</v>
      </c>
      <c r="N62" s="13">
        <v>3</v>
      </c>
      <c r="O62" s="13">
        <v>2</v>
      </c>
      <c r="P62" s="13">
        <v>2</v>
      </c>
      <c r="Q62" s="13">
        <v>3</v>
      </c>
      <c r="R62" s="13">
        <v>2</v>
      </c>
      <c r="S62" s="13">
        <v>2</v>
      </c>
      <c r="T62" s="13">
        <v>3</v>
      </c>
      <c r="U62" s="13">
        <v>3</v>
      </c>
      <c r="V62" s="13">
        <v>3</v>
      </c>
      <c r="W62" s="13">
        <v>3</v>
      </c>
      <c r="X62" s="13">
        <v>3</v>
      </c>
      <c r="Y62" s="13">
        <v>2</v>
      </c>
      <c r="Z62" s="13">
        <v>3</v>
      </c>
      <c r="AA62" s="13">
        <v>2</v>
      </c>
      <c r="AB62" s="13">
        <v>3</v>
      </c>
      <c r="AC62" s="13">
        <v>70</v>
      </c>
      <c r="AD62" s="13">
        <v>10</v>
      </c>
      <c r="AE62" s="13">
        <v>10</v>
      </c>
      <c r="AF62" s="13">
        <v>10</v>
      </c>
      <c r="AG62" s="8">
        <f t="shared" si="11"/>
        <v>100</v>
      </c>
      <c r="AH62" s="13">
        <v>60</v>
      </c>
      <c r="AI62" s="13">
        <v>10</v>
      </c>
      <c r="AJ62" s="13">
        <v>10</v>
      </c>
      <c r="AK62" s="13">
        <v>20</v>
      </c>
      <c r="AL62" s="8">
        <f t="shared" si="0"/>
        <v>100</v>
      </c>
      <c r="AM62" s="13">
        <v>60</v>
      </c>
      <c r="AN62" s="13">
        <v>10</v>
      </c>
      <c r="AO62" s="13">
        <v>10</v>
      </c>
      <c r="AP62" s="13">
        <v>20</v>
      </c>
      <c r="AQ62" s="8">
        <f t="shared" si="1"/>
        <v>100</v>
      </c>
      <c r="AR62" s="13">
        <v>50</v>
      </c>
      <c r="AS62" s="13">
        <v>10</v>
      </c>
      <c r="AT62" s="13">
        <v>30</v>
      </c>
      <c r="AU62" s="13">
        <v>10</v>
      </c>
      <c r="AV62" s="8">
        <f t="shared" si="2"/>
        <v>100</v>
      </c>
      <c r="AW62" s="13">
        <v>10</v>
      </c>
      <c r="AX62" s="13">
        <v>10</v>
      </c>
      <c r="AY62" s="13">
        <v>10</v>
      </c>
      <c r="AZ62" s="13">
        <v>70</v>
      </c>
      <c r="BA62" s="8">
        <f t="shared" si="3"/>
        <v>100</v>
      </c>
      <c r="BB62" s="13">
        <v>10</v>
      </c>
      <c r="BC62" s="13">
        <v>10</v>
      </c>
      <c r="BD62" s="13">
        <v>40</v>
      </c>
      <c r="BE62" s="13">
        <v>40</v>
      </c>
      <c r="BF62" s="8">
        <f t="shared" si="4"/>
        <v>100</v>
      </c>
      <c r="BG62" s="13">
        <v>10</v>
      </c>
      <c r="BH62" s="13">
        <v>50</v>
      </c>
      <c r="BI62" s="13">
        <v>30</v>
      </c>
      <c r="BJ62" s="13">
        <v>10</v>
      </c>
      <c r="BK62" s="8">
        <f t="shared" si="5"/>
        <v>100</v>
      </c>
      <c r="BL62" s="13">
        <v>10</v>
      </c>
      <c r="BM62" s="13">
        <v>40</v>
      </c>
      <c r="BN62" s="13">
        <v>40</v>
      </c>
      <c r="BO62" s="13">
        <v>10</v>
      </c>
      <c r="BP62" s="8">
        <f t="shared" si="6"/>
        <v>100</v>
      </c>
      <c r="BQ62" s="13">
        <v>20</v>
      </c>
      <c r="BR62" s="13">
        <v>10</v>
      </c>
      <c r="BS62" s="13">
        <v>10</v>
      </c>
      <c r="BT62" s="13">
        <v>60</v>
      </c>
      <c r="BU62" s="8">
        <f t="shared" si="7"/>
        <v>100</v>
      </c>
      <c r="BV62" s="13">
        <v>45</v>
      </c>
      <c r="BW62" s="13">
        <v>10</v>
      </c>
      <c r="BX62" s="13">
        <v>10</v>
      </c>
      <c r="BY62" s="13">
        <v>35</v>
      </c>
      <c r="BZ62" s="8">
        <f t="shared" si="8"/>
        <v>100</v>
      </c>
      <c r="CA62" s="13">
        <v>70</v>
      </c>
      <c r="CB62" s="13">
        <v>10</v>
      </c>
      <c r="CC62" s="13">
        <v>10</v>
      </c>
      <c r="CD62" s="13">
        <v>10</v>
      </c>
      <c r="CE62" s="8">
        <f t="shared" si="9"/>
        <v>100</v>
      </c>
      <c r="CF62" s="13">
        <v>70</v>
      </c>
      <c r="CG62" s="13">
        <v>10</v>
      </c>
      <c r="CH62" s="13">
        <v>10</v>
      </c>
      <c r="CI62" s="13">
        <v>10</v>
      </c>
      <c r="CJ62" s="8">
        <f t="shared" si="10"/>
        <v>100</v>
      </c>
      <c r="CK62" s="18"/>
      <c r="CL62" s="19"/>
      <c r="CM62" s="18">
        <v>4.54</v>
      </c>
      <c r="CN62" s="19" t="s">
        <v>98</v>
      </c>
      <c r="CO62" s="20"/>
      <c r="CP62">
        <f>Form_Responses1[[#This Row],[Column89]]</f>
        <v>0</v>
      </c>
      <c r="CQ62">
        <f>IF(Form_Responses1[[#This Row],[Column94]]&gt;0,Form_Responses1[[#This Row],[Column94]],Form_Responses1[[#This Row],[Column91]])</f>
        <v>4.54</v>
      </c>
      <c r="CR62">
        <v>4.54</v>
      </c>
    </row>
    <row r="63" spans="1:96" ht="15">
      <c r="A63" s="6">
        <v>45618.722034363425</v>
      </c>
      <c r="B63" s="7">
        <v>0</v>
      </c>
      <c r="C63" s="7" t="s">
        <v>178</v>
      </c>
      <c r="D63" s="7" t="s">
        <v>93</v>
      </c>
      <c r="E63" s="7" t="s">
        <v>112</v>
      </c>
      <c r="F63" s="7" t="s">
        <v>95</v>
      </c>
      <c r="G63" s="7" t="s">
        <v>109</v>
      </c>
      <c r="H63" s="7" t="s">
        <v>102</v>
      </c>
      <c r="I63" s="7">
        <v>5</v>
      </c>
      <c r="J63" s="7">
        <v>5</v>
      </c>
      <c r="K63" s="7">
        <v>5</v>
      </c>
      <c r="L63" s="7">
        <v>5</v>
      </c>
      <c r="M63" s="7">
        <v>5</v>
      </c>
      <c r="N63" s="7">
        <v>5</v>
      </c>
      <c r="O63" s="7">
        <v>5</v>
      </c>
      <c r="P63" s="7">
        <v>5</v>
      </c>
      <c r="Q63" s="7">
        <v>5</v>
      </c>
      <c r="R63" s="7">
        <v>5</v>
      </c>
      <c r="S63" s="7">
        <v>5</v>
      </c>
      <c r="T63" s="7">
        <v>5</v>
      </c>
      <c r="U63" s="7">
        <v>5</v>
      </c>
      <c r="V63" s="7">
        <v>5</v>
      </c>
      <c r="W63" s="7">
        <v>5</v>
      </c>
      <c r="X63" s="7">
        <v>5</v>
      </c>
      <c r="Y63" s="7">
        <v>5</v>
      </c>
      <c r="Z63" s="7">
        <v>5</v>
      </c>
      <c r="AA63" s="7">
        <v>5</v>
      </c>
      <c r="AB63" s="7">
        <v>5</v>
      </c>
      <c r="AC63" s="7">
        <v>30</v>
      </c>
      <c r="AD63" s="7">
        <v>30</v>
      </c>
      <c r="AE63" s="7">
        <v>10</v>
      </c>
      <c r="AF63" s="7">
        <v>30</v>
      </c>
      <c r="AG63" s="8">
        <f t="shared" si="11"/>
        <v>100</v>
      </c>
      <c r="AH63" s="7">
        <v>10</v>
      </c>
      <c r="AI63" s="7">
        <v>30</v>
      </c>
      <c r="AJ63" s="7">
        <v>30</v>
      </c>
      <c r="AK63" s="7">
        <v>30</v>
      </c>
      <c r="AL63" s="8">
        <f t="shared" si="0"/>
        <v>100</v>
      </c>
      <c r="AM63" s="7">
        <v>30</v>
      </c>
      <c r="AN63" s="7">
        <v>30</v>
      </c>
      <c r="AO63" s="7">
        <v>30</v>
      </c>
      <c r="AP63" s="7">
        <v>10</v>
      </c>
      <c r="AQ63" s="8">
        <f t="shared" si="1"/>
        <v>100</v>
      </c>
      <c r="AR63" s="7">
        <v>20</v>
      </c>
      <c r="AS63" s="7">
        <v>10</v>
      </c>
      <c r="AT63" s="7">
        <v>50</v>
      </c>
      <c r="AU63" s="7">
        <v>20</v>
      </c>
      <c r="AV63" s="8">
        <f t="shared" si="2"/>
        <v>100</v>
      </c>
      <c r="AW63" s="7">
        <v>10</v>
      </c>
      <c r="AX63" s="7">
        <v>30</v>
      </c>
      <c r="AY63" s="7">
        <v>30</v>
      </c>
      <c r="AZ63" s="7">
        <v>30</v>
      </c>
      <c r="BA63" s="8">
        <f t="shared" si="3"/>
        <v>100</v>
      </c>
      <c r="BB63" s="7">
        <v>25</v>
      </c>
      <c r="BC63" s="7">
        <v>15</v>
      </c>
      <c r="BD63" s="7">
        <v>35</v>
      </c>
      <c r="BE63" s="7">
        <v>25</v>
      </c>
      <c r="BF63" s="8">
        <f t="shared" si="4"/>
        <v>100</v>
      </c>
      <c r="BG63" s="7">
        <v>10</v>
      </c>
      <c r="BH63" s="7">
        <v>30</v>
      </c>
      <c r="BI63" s="7">
        <v>30</v>
      </c>
      <c r="BJ63" s="7">
        <v>30</v>
      </c>
      <c r="BK63" s="8">
        <f t="shared" si="5"/>
        <v>100</v>
      </c>
      <c r="BL63" s="7">
        <v>20</v>
      </c>
      <c r="BM63" s="7">
        <v>30</v>
      </c>
      <c r="BN63" s="7">
        <v>30</v>
      </c>
      <c r="BO63" s="7">
        <v>20</v>
      </c>
      <c r="BP63" s="8">
        <f t="shared" si="6"/>
        <v>100</v>
      </c>
      <c r="BQ63" s="7">
        <v>20</v>
      </c>
      <c r="BR63" s="7">
        <v>30</v>
      </c>
      <c r="BS63" s="7">
        <v>30</v>
      </c>
      <c r="BT63" s="7">
        <v>20</v>
      </c>
      <c r="BU63" s="8">
        <f t="shared" si="7"/>
        <v>100</v>
      </c>
      <c r="BV63" s="7">
        <v>20</v>
      </c>
      <c r="BW63" s="7">
        <v>20</v>
      </c>
      <c r="BX63" s="7">
        <v>20</v>
      </c>
      <c r="BY63" s="7">
        <v>40</v>
      </c>
      <c r="BZ63" s="8">
        <f t="shared" si="8"/>
        <v>100</v>
      </c>
      <c r="CA63" s="7">
        <v>30</v>
      </c>
      <c r="CB63" s="7">
        <v>20</v>
      </c>
      <c r="CC63" s="7">
        <v>30</v>
      </c>
      <c r="CD63" s="7">
        <v>20</v>
      </c>
      <c r="CE63" s="8">
        <f t="shared" si="9"/>
        <v>100</v>
      </c>
      <c r="CF63" s="7">
        <v>15</v>
      </c>
      <c r="CG63" s="7">
        <v>25</v>
      </c>
      <c r="CH63" s="7">
        <v>35</v>
      </c>
      <c r="CI63" s="7">
        <v>25</v>
      </c>
      <c r="CJ63" s="8">
        <f t="shared" si="10"/>
        <v>100</v>
      </c>
      <c r="CK63" s="9">
        <v>4.93</v>
      </c>
      <c r="CL63" s="9" t="s">
        <v>98</v>
      </c>
      <c r="CM63" s="25"/>
      <c r="CN63" s="25"/>
      <c r="CO63" s="26"/>
      <c r="CP63">
        <f>Form_Responses1[[#This Row],[Column89]]</f>
        <v>4.93</v>
      </c>
      <c r="CQ63">
        <f>IF(Form_Responses1[[#This Row],[Column94]]&gt;0,Form_Responses1[[#This Row],[Column94]],Form_Responses1[[#This Row],[Column91]])</f>
        <v>4.93</v>
      </c>
      <c r="CR63">
        <v>4.93</v>
      </c>
    </row>
    <row r="64" spans="1:96" ht="15">
      <c r="A64" s="12">
        <v>45618.776740381945</v>
      </c>
      <c r="B64" s="13">
        <v>0</v>
      </c>
      <c r="C64" s="13" t="s">
        <v>179</v>
      </c>
      <c r="D64" s="13" t="s">
        <v>107</v>
      </c>
      <c r="E64" s="13" t="s">
        <v>112</v>
      </c>
      <c r="F64" s="13" t="s">
        <v>95</v>
      </c>
      <c r="G64" s="13" t="s">
        <v>96</v>
      </c>
      <c r="H64" s="13" t="s">
        <v>102</v>
      </c>
      <c r="I64" s="13">
        <v>3</v>
      </c>
      <c r="J64" s="13">
        <v>4</v>
      </c>
      <c r="K64" s="13">
        <v>3</v>
      </c>
      <c r="L64" s="13">
        <v>4</v>
      </c>
      <c r="M64" s="13">
        <v>4</v>
      </c>
      <c r="N64" s="13">
        <v>4</v>
      </c>
      <c r="O64" s="13">
        <v>4</v>
      </c>
      <c r="P64" s="13">
        <v>4</v>
      </c>
      <c r="Q64" s="13">
        <v>4</v>
      </c>
      <c r="R64" s="13">
        <v>4</v>
      </c>
      <c r="S64" s="13">
        <v>4</v>
      </c>
      <c r="T64" s="13">
        <v>4</v>
      </c>
      <c r="U64" s="13">
        <v>4</v>
      </c>
      <c r="V64" s="13">
        <v>4</v>
      </c>
      <c r="W64" s="13">
        <v>4</v>
      </c>
      <c r="X64" s="13">
        <v>3</v>
      </c>
      <c r="Y64" s="13">
        <v>4</v>
      </c>
      <c r="Z64" s="13">
        <v>3</v>
      </c>
      <c r="AA64" s="13">
        <v>3</v>
      </c>
      <c r="AB64" s="13">
        <v>3</v>
      </c>
      <c r="AC64" s="13">
        <v>10</v>
      </c>
      <c r="AD64" s="13">
        <v>20</v>
      </c>
      <c r="AE64" s="13">
        <v>50</v>
      </c>
      <c r="AF64" s="13">
        <v>20</v>
      </c>
      <c r="AG64" s="8">
        <f t="shared" si="11"/>
        <v>100</v>
      </c>
      <c r="AH64" s="13">
        <v>20</v>
      </c>
      <c r="AI64" s="13">
        <v>20</v>
      </c>
      <c r="AJ64" s="13">
        <v>30</v>
      </c>
      <c r="AK64" s="13">
        <v>30</v>
      </c>
      <c r="AL64" s="8">
        <f t="shared" si="0"/>
        <v>100</v>
      </c>
      <c r="AM64" s="13">
        <v>20</v>
      </c>
      <c r="AN64" s="13">
        <v>30</v>
      </c>
      <c r="AO64" s="13">
        <v>30</v>
      </c>
      <c r="AP64" s="13">
        <v>20</v>
      </c>
      <c r="AQ64" s="8">
        <f t="shared" si="1"/>
        <v>100</v>
      </c>
      <c r="AR64" s="13">
        <v>30</v>
      </c>
      <c r="AS64" s="13">
        <v>30</v>
      </c>
      <c r="AT64" s="13">
        <v>20</v>
      </c>
      <c r="AU64" s="13">
        <v>20</v>
      </c>
      <c r="AV64" s="8">
        <f t="shared" si="2"/>
        <v>100</v>
      </c>
      <c r="AW64" s="13">
        <v>30</v>
      </c>
      <c r="AX64" s="13">
        <v>30</v>
      </c>
      <c r="AY64" s="13">
        <v>20</v>
      </c>
      <c r="AZ64" s="13">
        <v>20</v>
      </c>
      <c r="BA64" s="8">
        <f t="shared" si="3"/>
        <v>100</v>
      </c>
      <c r="BB64" s="13">
        <v>30</v>
      </c>
      <c r="BC64" s="13">
        <v>20</v>
      </c>
      <c r="BD64" s="13">
        <v>20</v>
      </c>
      <c r="BE64" s="13">
        <v>30</v>
      </c>
      <c r="BF64" s="8">
        <f t="shared" si="4"/>
        <v>100</v>
      </c>
      <c r="BG64" s="13">
        <v>30</v>
      </c>
      <c r="BH64" s="13">
        <v>20</v>
      </c>
      <c r="BI64" s="13">
        <v>20</v>
      </c>
      <c r="BJ64" s="13">
        <v>30</v>
      </c>
      <c r="BK64" s="8">
        <f t="shared" si="5"/>
        <v>100</v>
      </c>
      <c r="BL64" s="13">
        <v>20</v>
      </c>
      <c r="BM64" s="13">
        <v>20</v>
      </c>
      <c r="BN64" s="13">
        <v>30</v>
      </c>
      <c r="BO64" s="13">
        <v>30</v>
      </c>
      <c r="BP64" s="8">
        <f t="shared" si="6"/>
        <v>100</v>
      </c>
      <c r="BQ64" s="13">
        <v>30</v>
      </c>
      <c r="BR64" s="13">
        <v>20</v>
      </c>
      <c r="BS64" s="13">
        <v>20</v>
      </c>
      <c r="BT64" s="13">
        <v>30</v>
      </c>
      <c r="BU64" s="8">
        <f t="shared" si="7"/>
        <v>100</v>
      </c>
      <c r="BV64" s="13">
        <v>20</v>
      </c>
      <c r="BW64" s="13">
        <v>20</v>
      </c>
      <c r="BX64" s="13">
        <v>30</v>
      </c>
      <c r="BY64" s="13">
        <v>30</v>
      </c>
      <c r="BZ64" s="8">
        <f t="shared" si="8"/>
        <v>100</v>
      </c>
      <c r="CA64" s="13">
        <v>30</v>
      </c>
      <c r="CB64" s="13">
        <v>20</v>
      </c>
      <c r="CC64" s="13">
        <v>20</v>
      </c>
      <c r="CD64" s="13">
        <v>30</v>
      </c>
      <c r="CE64" s="8">
        <f t="shared" si="9"/>
        <v>100</v>
      </c>
      <c r="CF64" s="13">
        <v>30</v>
      </c>
      <c r="CG64" s="13">
        <v>20</v>
      </c>
      <c r="CH64" s="13">
        <v>20</v>
      </c>
      <c r="CI64" s="13">
        <v>30</v>
      </c>
      <c r="CJ64" s="8">
        <f t="shared" si="10"/>
        <v>100</v>
      </c>
      <c r="CK64" s="18">
        <v>4.46</v>
      </c>
      <c r="CL64" s="19" t="s">
        <v>98</v>
      </c>
      <c r="CM64" s="23"/>
      <c r="CN64" s="23"/>
      <c r="CO64" s="24"/>
      <c r="CP64">
        <f>Form_Responses1[[#This Row],[Column89]]</f>
        <v>4.46</v>
      </c>
      <c r="CQ64">
        <f>IF(Form_Responses1[[#This Row],[Column94]]&gt;0,Form_Responses1[[#This Row],[Column94]],Form_Responses1[[#This Row],[Column91]])</f>
        <v>4.46</v>
      </c>
      <c r="CR64">
        <v>4.46</v>
      </c>
    </row>
    <row r="65" spans="1:96" ht="15">
      <c r="A65" s="6">
        <v>45618.791203831017</v>
      </c>
      <c r="B65" s="7">
        <v>0</v>
      </c>
      <c r="C65" s="7" t="s">
        <v>180</v>
      </c>
      <c r="D65" s="7" t="s">
        <v>107</v>
      </c>
      <c r="E65" s="7" t="s">
        <v>94</v>
      </c>
      <c r="F65" s="7" t="s">
        <v>181</v>
      </c>
      <c r="G65" s="7" t="s">
        <v>96</v>
      </c>
      <c r="H65" s="7" t="s">
        <v>104</v>
      </c>
      <c r="I65" s="7">
        <v>5</v>
      </c>
      <c r="J65" s="7">
        <v>4</v>
      </c>
      <c r="K65" s="7">
        <v>4</v>
      </c>
      <c r="L65" s="7">
        <v>4</v>
      </c>
      <c r="M65" s="7">
        <v>5</v>
      </c>
      <c r="N65" s="7">
        <v>4</v>
      </c>
      <c r="O65" s="7">
        <v>5</v>
      </c>
      <c r="P65" s="7">
        <v>5</v>
      </c>
      <c r="Q65" s="7">
        <v>4</v>
      </c>
      <c r="R65" s="7">
        <v>5</v>
      </c>
      <c r="S65" s="7">
        <v>4</v>
      </c>
      <c r="T65" s="7">
        <v>5</v>
      </c>
      <c r="U65" s="7">
        <v>5</v>
      </c>
      <c r="V65" s="7">
        <v>5</v>
      </c>
      <c r="W65" s="7">
        <v>5</v>
      </c>
      <c r="X65" s="7">
        <v>5</v>
      </c>
      <c r="Y65" s="7">
        <v>5</v>
      </c>
      <c r="Z65" s="7">
        <v>5</v>
      </c>
      <c r="AA65" s="7">
        <v>5</v>
      </c>
      <c r="AB65" s="7">
        <v>5</v>
      </c>
      <c r="AC65" s="7">
        <v>20</v>
      </c>
      <c r="AD65" s="7">
        <v>20</v>
      </c>
      <c r="AE65" s="7">
        <v>30</v>
      </c>
      <c r="AF65" s="7">
        <v>30</v>
      </c>
      <c r="AG65" s="8">
        <f t="shared" si="11"/>
        <v>100</v>
      </c>
      <c r="AH65" s="7">
        <v>20</v>
      </c>
      <c r="AI65" s="7">
        <v>10</v>
      </c>
      <c r="AJ65" s="7">
        <v>40</v>
      </c>
      <c r="AK65" s="7">
        <v>30</v>
      </c>
      <c r="AL65" s="8">
        <f t="shared" si="0"/>
        <v>100</v>
      </c>
      <c r="AM65" s="7">
        <v>30</v>
      </c>
      <c r="AN65" s="7">
        <v>30</v>
      </c>
      <c r="AO65" s="7">
        <v>20</v>
      </c>
      <c r="AP65" s="7">
        <v>20</v>
      </c>
      <c r="AQ65" s="8">
        <f t="shared" si="1"/>
        <v>100</v>
      </c>
      <c r="AR65" s="7">
        <v>20</v>
      </c>
      <c r="AS65" s="7">
        <v>30</v>
      </c>
      <c r="AT65" s="7">
        <v>20</v>
      </c>
      <c r="AU65" s="7">
        <v>30</v>
      </c>
      <c r="AV65" s="8">
        <f t="shared" si="2"/>
        <v>100</v>
      </c>
      <c r="AW65" s="7">
        <v>10</v>
      </c>
      <c r="AX65" s="7">
        <v>20</v>
      </c>
      <c r="AY65" s="7">
        <v>40</v>
      </c>
      <c r="AZ65" s="7">
        <v>30</v>
      </c>
      <c r="BA65" s="8">
        <f t="shared" si="3"/>
        <v>100</v>
      </c>
      <c r="BB65" s="7">
        <v>20</v>
      </c>
      <c r="BC65" s="7">
        <v>30</v>
      </c>
      <c r="BD65" s="7">
        <v>30</v>
      </c>
      <c r="BE65" s="7">
        <v>20</v>
      </c>
      <c r="BF65" s="8">
        <f t="shared" si="4"/>
        <v>100</v>
      </c>
      <c r="BG65" s="7">
        <v>30</v>
      </c>
      <c r="BH65" s="7">
        <v>30</v>
      </c>
      <c r="BI65" s="7">
        <v>20</v>
      </c>
      <c r="BJ65" s="7">
        <v>20</v>
      </c>
      <c r="BK65" s="8">
        <f t="shared" si="5"/>
        <v>100</v>
      </c>
      <c r="BL65" s="7">
        <v>20</v>
      </c>
      <c r="BM65" s="7">
        <v>20</v>
      </c>
      <c r="BN65" s="7">
        <v>30</v>
      </c>
      <c r="BO65" s="7">
        <v>30</v>
      </c>
      <c r="BP65" s="8">
        <f t="shared" si="6"/>
        <v>100</v>
      </c>
      <c r="BQ65" s="7">
        <v>30</v>
      </c>
      <c r="BR65" s="7">
        <v>20</v>
      </c>
      <c r="BS65" s="7">
        <v>30</v>
      </c>
      <c r="BT65" s="7">
        <v>20</v>
      </c>
      <c r="BU65" s="8">
        <f t="shared" si="7"/>
        <v>100</v>
      </c>
      <c r="BV65" s="7">
        <v>30</v>
      </c>
      <c r="BW65" s="7">
        <v>20</v>
      </c>
      <c r="BX65" s="7">
        <v>30</v>
      </c>
      <c r="BY65" s="7">
        <v>20</v>
      </c>
      <c r="BZ65" s="8">
        <f t="shared" si="8"/>
        <v>100</v>
      </c>
      <c r="CA65" s="7">
        <v>30</v>
      </c>
      <c r="CB65" s="7">
        <v>20</v>
      </c>
      <c r="CC65" s="7">
        <v>20</v>
      </c>
      <c r="CD65" s="7">
        <v>30</v>
      </c>
      <c r="CE65" s="8">
        <f t="shared" si="9"/>
        <v>100</v>
      </c>
      <c r="CF65" s="7">
        <v>30</v>
      </c>
      <c r="CG65" s="7">
        <v>20</v>
      </c>
      <c r="CH65" s="7">
        <v>30</v>
      </c>
      <c r="CI65" s="7">
        <v>20</v>
      </c>
      <c r="CJ65" s="8">
        <f t="shared" si="10"/>
        <v>100</v>
      </c>
      <c r="CK65" s="9">
        <v>4.8499999999999996</v>
      </c>
      <c r="CL65" s="10" t="s">
        <v>98</v>
      </c>
      <c r="CM65" s="25" t="s">
        <v>182</v>
      </c>
      <c r="CN65" s="25"/>
      <c r="CO65" s="26"/>
      <c r="CP65">
        <f>Form_Responses1[[#This Row],[Column89]]</f>
        <v>4.8499999999999996</v>
      </c>
      <c r="CQ65">
        <f>IF(Form_Responses1[[#This Row],[Column94]]&gt;0,Form_Responses1[[#This Row],[Column94]],Form_Responses1[[#This Row],[Column91]])</f>
        <v>4.8499999999999996</v>
      </c>
      <c r="CR65">
        <v>4.8499999999999996</v>
      </c>
    </row>
    <row r="66" spans="1:96" ht="15">
      <c r="A66" s="12">
        <v>45618.834219699071</v>
      </c>
      <c r="B66" s="13">
        <v>0</v>
      </c>
      <c r="C66" s="13" t="s">
        <v>183</v>
      </c>
      <c r="D66" s="13" t="s">
        <v>93</v>
      </c>
      <c r="E66" s="13" t="s">
        <v>112</v>
      </c>
      <c r="F66" s="13" t="s">
        <v>95</v>
      </c>
      <c r="G66" s="13" t="s">
        <v>96</v>
      </c>
      <c r="H66" s="13" t="s">
        <v>102</v>
      </c>
      <c r="I66" s="13">
        <v>3</v>
      </c>
      <c r="J66" s="13">
        <v>4</v>
      </c>
      <c r="K66" s="13">
        <v>3</v>
      </c>
      <c r="L66" s="13">
        <v>4</v>
      </c>
      <c r="M66" s="13">
        <v>4</v>
      </c>
      <c r="N66" s="13">
        <v>4</v>
      </c>
      <c r="O66" s="13">
        <v>4</v>
      </c>
      <c r="P66" s="13">
        <v>4</v>
      </c>
      <c r="Q66" s="13">
        <v>4</v>
      </c>
      <c r="R66" s="13">
        <v>4</v>
      </c>
      <c r="S66" s="13">
        <v>4</v>
      </c>
      <c r="T66" s="13">
        <v>4</v>
      </c>
      <c r="U66" s="13">
        <v>4</v>
      </c>
      <c r="V66" s="13">
        <v>4</v>
      </c>
      <c r="W66" s="13">
        <v>4</v>
      </c>
      <c r="X66" s="13">
        <v>3</v>
      </c>
      <c r="Y66" s="13">
        <v>4</v>
      </c>
      <c r="Z66" s="13">
        <v>3</v>
      </c>
      <c r="AA66" s="13">
        <v>3</v>
      </c>
      <c r="AB66" s="13">
        <v>3</v>
      </c>
      <c r="AC66" s="13">
        <v>30</v>
      </c>
      <c r="AD66" s="13">
        <v>20</v>
      </c>
      <c r="AE66" s="13">
        <v>20</v>
      </c>
      <c r="AF66" s="13">
        <v>30</v>
      </c>
      <c r="AG66" s="8">
        <f t="shared" si="11"/>
        <v>100</v>
      </c>
      <c r="AH66" s="13">
        <v>20</v>
      </c>
      <c r="AI66" s="13">
        <v>20</v>
      </c>
      <c r="AJ66" s="13">
        <v>20</v>
      </c>
      <c r="AK66" s="13">
        <v>40</v>
      </c>
      <c r="AL66" s="8">
        <f t="shared" si="0"/>
        <v>100</v>
      </c>
      <c r="AM66" s="13">
        <v>30</v>
      </c>
      <c r="AN66" s="13">
        <v>20</v>
      </c>
      <c r="AO66" s="13">
        <v>20</v>
      </c>
      <c r="AP66" s="13">
        <v>30</v>
      </c>
      <c r="AQ66" s="8">
        <f t="shared" si="1"/>
        <v>100</v>
      </c>
      <c r="AR66" s="13">
        <v>20</v>
      </c>
      <c r="AS66" s="13">
        <v>20</v>
      </c>
      <c r="AT66" s="13">
        <v>20</v>
      </c>
      <c r="AU66" s="13">
        <v>40</v>
      </c>
      <c r="AV66" s="8">
        <f t="shared" si="2"/>
        <v>100</v>
      </c>
      <c r="AW66" s="13">
        <v>20</v>
      </c>
      <c r="AX66" s="13">
        <v>20</v>
      </c>
      <c r="AY66" s="13">
        <v>20</v>
      </c>
      <c r="AZ66" s="13">
        <v>40</v>
      </c>
      <c r="BA66" s="8">
        <f t="shared" si="3"/>
        <v>100</v>
      </c>
      <c r="BB66" s="13">
        <v>30</v>
      </c>
      <c r="BC66" s="13">
        <v>30</v>
      </c>
      <c r="BD66" s="13">
        <v>10</v>
      </c>
      <c r="BE66" s="13">
        <v>30</v>
      </c>
      <c r="BF66" s="8">
        <f t="shared" si="4"/>
        <v>100</v>
      </c>
      <c r="BG66" s="13">
        <v>40</v>
      </c>
      <c r="BH66" s="13">
        <v>30</v>
      </c>
      <c r="BI66" s="13">
        <v>10</v>
      </c>
      <c r="BJ66" s="13">
        <v>20</v>
      </c>
      <c r="BK66" s="8">
        <f t="shared" si="5"/>
        <v>100</v>
      </c>
      <c r="BL66" s="13">
        <v>20</v>
      </c>
      <c r="BM66" s="13">
        <v>20</v>
      </c>
      <c r="BN66" s="13">
        <v>40</v>
      </c>
      <c r="BO66" s="13">
        <v>20</v>
      </c>
      <c r="BP66" s="8">
        <f t="shared" si="6"/>
        <v>100</v>
      </c>
      <c r="BQ66" s="13">
        <v>30</v>
      </c>
      <c r="BR66" s="13">
        <v>20</v>
      </c>
      <c r="BS66" s="13">
        <v>20</v>
      </c>
      <c r="BT66" s="13">
        <v>30</v>
      </c>
      <c r="BU66" s="8">
        <f t="shared" si="7"/>
        <v>100</v>
      </c>
      <c r="BV66" s="13">
        <v>20</v>
      </c>
      <c r="BW66" s="13">
        <v>20</v>
      </c>
      <c r="BX66" s="13">
        <v>30</v>
      </c>
      <c r="BY66" s="13">
        <v>30</v>
      </c>
      <c r="BZ66" s="8">
        <f t="shared" si="8"/>
        <v>100</v>
      </c>
      <c r="CA66" s="13">
        <v>40</v>
      </c>
      <c r="CB66" s="13">
        <v>30</v>
      </c>
      <c r="CC66" s="13">
        <v>10</v>
      </c>
      <c r="CD66" s="13">
        <v>20</v>
      </c>
      <c r="CE66" s="8">
        <f t="shared" si="9"/>
        <v>100</v>
      </c>
      <c r="CF66" s="13">
        <v>30</v>
      </c>
      <c r="CG66" s="13">
        <v>30</v>
      </c>
      <c r="CH66" s="13">
        <v>20</v>
      </c>
      <c r="CI66" s="13">
        <v>20</v>
      </c>
      <c r="CJ66" s="8">
        <f t="shared" si="10"/>
        <v>100</v>
      </c>
      <c r="CK66" s="14">
        <v>4.3499999999999996</v>
      </c>
      <c r="CL66" s="19" t="s">
        <v>98</v>
      </c>
      <c r="CM66" s="23"/>
      <c r="CN66" s="23"/>
      <c r="CO66" s="24"/>
      <c r="CP66">
        <f>Form_Responses1[[#This Row],[Column89]]</f>
        <v>4.3499999999999996</v>
      </c>
      <c r="CQ66">
        <f>IF(Form_Responses1[[#This Row],[Column94]]&gt;0,Form_Responses1[[#This Row],[Column94]],Form_Responses1[[#This Row],[Column91]])</f>
        <v>4.3499999999999996</v>
      </c>
      <c r="CR66">
        <v>4.3499999999999996</v>
      </c>
    </row>
    <row r="67" spans="1:96" ht="15">
      <c r="A67" s="6">
        <v>45618.869512442128</v>
      </c>
      <c r="B67" s="7">
        <v>0</v>
      </c>
      <c r="C67" s="7" t="s">
        <v>184</v>
      </c>
      <c r="D67" s="7" t="s">
        <v>93</v>
      </c>
      <c r="E67" s="7" t="s">
        <v>112</v>
      </c>
      <c r="F67" s="7" t="s">
        <v>95</v>
      </c>
      <c r="G67" s="7" t="s">
        <v>96</v>
      </c>
      <c r="H67" s="7" t="s">
        <v>102</v>
      </c>
      <c r="I67" s="7">
        <v>4</v>
      </c>
      <c r="J67" s="7">
        <v>4</v>
      </c>
      <c r="K67" s="7">
        <v>3</v>
      </c>
      <c r="L67" s="7">
        <v>4</v>
      </c>
      <c r="M67" s="7">
        <v>4</v>
      </c>
      <c r="N67" s="7">
        <v>4</v>
      </c>
      <c r="O67" s="7">
        <v>3</v>
      </c>
      <c r="P67" s="7">
        <v>4</v>
      </c>
      <c r="Q67" s="7">
        <v>3</v>
      </c>
      <c r="R67" s="7">
        <v>3</v>
      </c>
      <c r="S67" s="7">
        <v>4</v>
      </c>
      <c r="T67" s="7">
        <v>3</v>
      </c>
      <c r="U67" s="7">
        <v>3</v>
      </c>
      <c r="V67" s="7">
        <v>4</v>
      </c>
      <c r="W67" s="7">
        <v>3</v>
      </c>
      <c r="X67" s="7">
        <v>3</v>
      </c>
      <c r="Y67" s="7">
        <v>4</v>
      </c>
      <c r="Z67" s="7">
        <v>4</v>
      </c>
      <c r="AA67" s="7">
        <v>3</v>
      </c>
      <c r="AB67" s="7">
        <v>3</v>
      </c>
      <c r="AC67" s="7">
        <v>40</v>
      </c>
      <c r="AD67" s="7">
        <v>10</v>
      </c>
      <c r="AE67" s="7">
        <v>20</v>
      </c>
      <c r="AF67" s="7">
        <v>30</v>
      </c>
      <c r="AG67" s="8">
        <f t="shared" si="11"/>
        <v>100</v>
      </c>
      <c r="AH67" s="7">
        <v>35</v>
      </c>
      <c r="AI67" s="7">
        <v>15</v>
      </c>
      <c r="AJ67" s="7">
        <v>25</v>
      </c>
      <c r="AK67" s="7">
        <v>25</v>
      </c>
      <c r="AL67" s="8">
        <f t="shared" si="0"/>
        <v>100</v>
      </c>
      <c r="AM67" s="7">
        <v>20</v>
      </c>
      <c r="AN67" s="7">
        <v>30</v>
      </c>
      <c r="AO67" s="7">
        <v>20</v>
      </c>
      <c r="AP67" s="7">
        <v>30</v>
      </c>
      <c r="AQ67" s="8">
        <f t="shared" si="1"/>
        <v>100</v>
      </c>
      <c r="AR67" s="7">
        <v>25</v>
      </c>
      <c r="AS67" s="7">
        <v>25</v>
      </c>
      <c r="AT67" s="7">
        <v>25</v>
      </c>
      <c r="AU67" s="7">
        <v>25</v>
      </c>
      <c r="AV67" s="8">
        <f t="shared" si="2"/>
        <v>100</v>
      </c>
      <c r="AW67" s="7">
        <v>10</v>
      </c>
      <c r="AX67" s="7">
        <v>20</v>
      </c>
      <c r="AY67" s="7">
        <v>20</v>
      </c>
      <c r="AZ67" s="7">
        <v>50</v>
      </c>
      <c r="BA67" s="8">
        <f t="shared" si="3"/>
        <v>100</v>
      </c>
      <c r="BB67" s="7">
        <v>15</v>
      </c>
      <c r="BC67" s="7">
        <v>25</v>
      </c>
      <c r="BD67" s="7">
        <v>15</v>
      </c>
      <c r="BE67" s="7">
        <v>45</v>
      </c>
      <c r="BF67" s="8">
        <f t="shared" si="4"/>
        <v>100</v>
      </c>
      <c r="BG67" s="7">
        <v>40</v>
      </c>
      <c r="BH67" s="7">
        <v>30</v>
      </c>
      <c r="BI67" s="7">
        <v>20</v>
      </c>
      <c r="BJ67" s="7">
        <v>10</v>
      </c>
      <c r="BK67" s="8">
        <f t="shared" si="5"/>
        <v>100</v>
      </c>
      <c r="BL67" s="7">
        <v>20</v>
      </c>
      <c r="BM67" s="7">
        <v>20</v>
      </c>
      <c r="BN67" s="7">
        <v>40</v>
      </c>
      <c r="BO67" s="7">
        <v>20</v>
      </c>
      <c r="BP67" s="8">
        <f t="shared" si="6"/>
        <v>100</v>
      </c>
      <c r="BQ67" s="7">
        <v>20</v>
      </c>
      <c r="BR67" s="7">
        <v>40</v>
      </c>
      <c r="BS67" s="7">
        <v>20</v>
      </c>
      <c r="BT67" s="7">
        <v>20</v>
      </c>
      <c r="BU67" s="8">
        <f t="shared" si="7"/>
        <v>100</v>
      </c>
      <c r="BV67" s="7">
        <v>25</v>
      </c>
      <c r="BW67" s="7">
        <v>25</v>
      </c>
      <c r="BX67" s="7">
        <v>25</v>
      </c>
      <c r="BY67" s="7">
        <v>25</v>
      </c>
      <c r="BZ67" s="8">
        <f t="shared" si="8"/>
        <v>100</v>
      </c>
      <c r="CA67" s="7">
        <v>50</v>
      </c>
      <c r="CB67" s="7">
        <v>30</v>
      </c>
      <c r="CC67" s="7">
        <v>10</v>
      </c>
      <c r="CD67" s="7">
        <v>10</v>
      </c>
      <c r="CE67" s="8">
        <f t="shared" si="9"/>
        <v>100</v>
      </c>
      <c r="CF67" s="7">
        <v>10</v>
      </c>
      <c r="CG67" s="7">
        <v>10</v>
      </c>
      <c r="CH67" s="7">
        <v>40</v>
      </c>
      <c r="CI67" s="7">
        <v>40</v>
      </c>
      <c r="CJ67" s="8">
        <f t="shared" si="10"/>
        <v>100</v>
      </c>
      <c r="CK67" s="16">
        <v>4.49</v>
      </c>
      <c r="CL67" s="10" t="s">
        <v>98</v>
      </c>
      <c r="CM67" s="25"/>
      <c r="CN67" s="25"/>
      <c r="CO67" s="26"/>
      <c r="CP67">
        <f>Form_Responses1[[#This Row],[Column89]]</f>
        <v>4.49</v>
      </c>
      <c r="CQ67">
        <f>IF(Form_Responses1[[#This Row],[Column94]]&gt;0,Form_Responses1[[#This Row],[Column94]],Form_Responses1[[#This Row],[Column91]])</f>
        <v>4.49</v>
      </c>
      <c r="CR67">
        <v>4.49</v>
      </c>
    </row>
    <row r="68" spans="1:96" ht="15">
      <c r="A68" s="12">
        <v>45618.938038379631</v>
      </c>
      <c r="B68" s="13">
        <v>0</v>
      </c>
      <c r="C68" s="13" t="s">
        <v>185</v>
      </c>
      <c r="D68" s="13" t="s">
        <v>93</v>
      </c>
      <c r="E68" s="13" t="s">
        <v>108</v>
      </c>
      <c r="F68" s="13" t="s">
        <v>95</v>
      </c>
      <c r="G68" s="13" t="s">
        <v>96</v>
      </c>
      <c r="H68" s="13" t="s">
        <v>104</v>
      </c>
      <c r="I68" s="13">
        <v>5</v>
      </c>
      <c r="J68" s="13">
        <v>5</v>
      </c>
      <c r="K68" s="13">
        <v>5</v>
      </c>
      <c r="L68" s="13">
        <v>5</v>
      </c>
      <c r="M68" s="13">
        <v>5</v>
      </c>
      <c r="N68" s="13">
        <v>5</v>
      </c>
      <c r="O68" s="13">
        <v>5</v>
      </c>
      <c r="P68" s="13">
        <v>5</v>
      </c>
      <c r="Q68" s="13">
        <v>5</v>
      </c>
      <c r="R68" s="13">
        <v>5</v>
      </c>
      <c r="S68" s="13">
        <v>5</v>
      </c>
      <c r="T68" s="13">
        <v>5</v>
      </c>
      <c r="U68" s="13">
        <v>5</v>
      </c>
      <c r="V68" s="13">
        <v>5</v>
      </c>
      <c r="W68" s="13">
        <v>5</v>
      </c>
      <c r="X68" s="13">
        <v>5</v>
      </c>
      <c r="Y68" s="13">
        <v>5</v>
      </c>
      <c r="Z68" s="13">
        <v>5</v>
      </c>
      <c r="AA68" s="13">
        <v>5</v>
      </c>
      <c r="AB68" s="13">
        <v>5</v>
      </c>
      <c r="AC68" s="13">
        <v>40</v>
      </c>
      <c r="AD68" s="13">
        <v>20</v>
      </c>
      <c r="AE68" s="13">
        <v>20</v>
      </c>
      <c r="AF68" s="13">
        <v>20</v>
      </c>
      <c r="AG68" s="8">
        <f t="shared" si="11"/>
        <v>100</v>
      </c>
      <c r="AH68" s="13">
        <v>35</v>
      </c>
      <c r="AI68" s="13">
        <v>15</v>
      </c>
      <c r="AJ68" s="13">
        <v>25</v>
      </c>
      <c r="AK68" s="13">
        <v>25</v>
      </c>
      <c r="AL68" s="8">
        <f t="shared" si="0"/>
        <v>100</v>
      </c>
      <c r="AM68" s="13">
        <v>30</v>
      </c>
      <c r="AN68" s="13">
        <v>30</v>
      </c>
      <c r="AO68" s="13">
        <v>10</v>
      </c>
      <c r="AP68" s="13">
        <v>30</v>
      </c>
      <c r="AQ68" s="8">
        <f t="shared" si="1"/>
        <v>100</v>
      </c>
      <c r="AR68" s="13">
        <v>20</v>
      </c>
      <c r="AS68" s="13">
        <v>20</v>
      </c>
      <c r="AT68" s="13">
        <v>20</v>
      </c>
      <c r="AU68" s="13">
        <v>40</v>
      </c>
      <c r="AV68" s="8">
        <f t="shared" si="2"/>
        <v>100</v>
      </c>
      <c r="AW68" s="13">
        <v>10</v>
      </c>
      <c r="AX68" s="13">
        <v>30</v>
      </c>
      <c r="AY68" s="13">
        <v>30</v>
      </c>
      <c r="AZ68" s="13">
        <v>30</v>
      </c>
      <c r="BA68" s="8">
        <f t="shared" si="3"/>
        <v>100</v>
      </c>
      <c r="BB68" s="13">
        <v>20</v>
      </c>
      <c r="BC68" s="13">
        <v>20</v>
      </c>
      <c r="BD68" s="13">
        <v>20</v>
      </c>
      <c r="BE68" s="13">
        <v>40</v>
      </c>
      <c r="BF68" s="8">
        <f t="shared" si="4"/>
        <v>100</v>
      </c>
      <c r="BG68" s="13">
        <v>30</v>
      </c>
      <c r="BH68" s="13">
        <v>30</v>
      </c>
      <c r="BI68" s="13">
        <v>10</v>
      </c>
      <c r="BJ68" s="13">
        <v>30</v>
      </c>
      <c r="BK68" s="8">
        <f t="shared" si="5"/>
        <v>100</v>
      </c>
      <c r="BL68" s="13">
        <v>30</v>
      </c>
      <c r="BM68" s="13">
        <v>40</v>
      </c>
      <c r="BN68" s="13">
        <v>10</v>
      </c>
      <c r="BO68" s="13">
        <v>20</v>
      </c>
      <c r="BP68" s="8">
        <f t="shared" si="6"/>
        <v>100</v>
      </c>
      <c r="BQ68" s="13">
        <v>25</v>
      </c>
      <c r="BR68" s="13">
        <v>25</v>
      </c>
      <c r="BS68" s="13">
        <v>25</v>
      </c>
      <c r="BT68" s="13">
        <v>25</v>
      </c>
      <c r="BU68" s="8">
        <f t="shared" si="7"/>
        <v>100</v>
      </c>
      <c r="BV68" s="13">
        <v>25</v>
      </c>
      <c r="BW68" s="13">
        <v>25</v>
      </c>
      <c r="BX68" s="13">
        <v>25</v>
      </c>
      <c r="BY68" s="13">
        <v>25</v>
      </c>
      <c r="BZ68" s="8">
        <f t="shared" si="8"/>
        <v>100</v>
      </c>
      <c r="CA68" s="13">
        <v>20</v>
      </c>
      <c r="CB68" s="13">
        <v>20</v>
      </c>
      <c r="CC68" s="13">
        <v>20</v>
      </c>
      <c r="CD68" s="13">
        <v>40</v>
      </c>
      <c r="CE68" s="8">
        <f t="shared" si="9"/>
        <v>100</v>
      </c>
      <c r="CF68" s="13">
        <v>40</v>
      </c>
      <c r="CG68" s="13">
        <v>20</v>
      </c>
      <c r="CH68" s="13">
        <v>20</v>
      </c>
      <c r="CI68" s="13">
        <v>20</v>
      </c>
      <c r="CJ68" s="8">
        <f t="shared" si="10"/>
        <v>100</v>
      </c>
      <c r="CK68" s="18">
        <v>5.67</v>
      </c>
      <c r="CL68" s="19" t="s">
        <v>121</v>
      </c>
      <c r="CM68" s="23"/>
      <c r="CN68" s="23"/>
      <c r="CO68" s="24"/>
      <c r="CP68">
        <f>Form_Responses1[[#This Row],[Column89]]</f>
        <v>5.67</v>
      </c>
      <c r="CQ68">
        <f>IF(Form_Responses1[[#This Row],[Column94]]&gt;0,Form_Responses1[[#This Row],[Column94]],Form_Responses1[[#This Row],[Column91]])</f>
        <v>5.67</v>
      </c>
      <c r="CR68">
        <v>5.67</v>
      </c>
    </row>
    <row r="69" spans="1:96" ht="15">
      <c r="A69" s="6">
        <v>45619.311388784721</v>
      </c>
      <c r="B69" s="7">
        <v>0</v>
      </c>
      <c r="C69" s="7" t="s">
        <v>186</v>
      </c>
      <c r="D69" s="7" t="s">
        <v>93</v>
      </c>
      <c r="E69" s="7" t="s">
        <v>100</v>
      </c>
      <c r="F69" s="7" t="s">
        <v>101</v>
      </c>
      <c r="G69" s="7" t="s">
        <v>96</v>
      </c>
      <c r="H69" s="7" t="s">
        <v>102</v>
      </c>
      <c r="I69" s="7">
        <v>5</v>
      </c>
      <c r="J69" s="7">
        <v>5</v>
      </c>
      <c r="K69" s="7">
        <v>5</v>
      </c>
      <c r="L69" s="7">
        <v>4</v>
      </c>
      <c r="M69" s="7">
        <v>5</v>
      </c>
      <c r="N69" s="7">
        <v>5</v>
      </c>
      <c r="O69" s="7">
        <v>5</v>
      </c>
      <c r="P69" s="7">
        <v>5</v>
      </c>
      <c r="Q69" s="7">
        <v>4</v>
      </c>
      <c r="R69" s="7">
        <v>5</v>
      </c>
      <c r="S69" s="7">
        <v>5</v>
      </c>
      <c r="T69" s="7">
        <v>4</v>
      </c>
      <c r="U69" s="7">
        <v>5</v>
      </c>
      <c r="V69" s="7">
        <v>4</v>
      </c>
      <c r="W69" s="7">
        <v>5</v>
      </c>
      <c r="X69" s="7">
        <v>5</v>
      </c>
      <c r="Y69" s="7">
        <v>5</v>
      </c>
      <c r="Z69" s="7">
        <v>5</v>
      </c>
      <c r="AA69" s="7">
        <v>5</v>
      </c>
      <c r="AB69" s="7">
        <v>5</v>
      </c>
      <c r="AC69" s="7">
        <v>30</v>
      </c>
      <c r="AD69" s="7">
        <v>20</v>
      </c>
      <c r="AE69" s="7">
        <v>20</v>
      </c>
      <c r="AF69" s="7">
        <v>30</v>
      </c>
      <c r="AG69" s="8">
        <f t="shared" si="11"/>
        <v>100</v>
      </c>
      <c r="AH69" s="7">
        <v>30</v>
      </c>
      <c r="AI69" s="7">
        <v>20</v>
      </c>
      <c r="AJ69" s="7">
        <v>20</v>
      </c>
      <c r="AK69" s="7">
        <v>30</v>
      </c>
      <c r="AL69" s="8">
        <f t="shared" si="0"/>
        <v>100</v>
      </c>
      <c r="AM69" s="7">
        <v>30</v>
      </c>
      <c r="AN69" s="7">
        <v>20</v>
      </c>
      <c r="AO69" s="7">
        <v>20</v>
      </c>
      <c r="AP69" s="7">
        <v>30</v>
      </c>
      <c r="AQ69" s="8">
        <f t="shared" si="1"/>
        <v>100</v>
      </c>
      <c r="AR69" s="7">
        <v>30</v>
      </c>
      <c r="AS69" s="7">
        <v>20</v>
      </c>
      <c r="AT69" s="7">
        <v>20</v>
      </c>
      <c r="AU69" s="7">
        <v>30</v>
      </c>
      <c r="AV69" s="8">
        <f t="shared" si="2"/>
        <v>100</v>
      </c>
      <c r="AW69" s="7">
        <v>20</v>
      </c>
      <c r="AX69" s="7">
        <v>30</v>
      </c>
      <c r="AY69" s="7">
        <v>20</v>
      </c>
      <c r="AZ69" s="7">
        <v>30</v>
      </c>
      <c r="BA69" s="8">
        <f t="shared" si="3"/>
        <v>100</v>
      </c>
      <c r="BB69" s="7">
        <v>20</v>
      </c>
      <c r="BC69" s="7">
        <v>30</v>
      </c>
      <c r="BD69" s="7">
        <v>20</v>
      </c>
      <c r="BE69" s="7">
        <v>30</v>
      </c>
      <c r="BF69" s="8">
        <f t="shared" si="4"/>
        <v>100</v>
      </c>
      <c r="BG69" s="7">
        <v>30</v>
      </c>
      <c r="BH69" s="7">
        <v>20</v>
      </c>
      <c r="BI69" s="7">
        <v>20</v>
      </c>
      <c r="BJ69" s="7">
        <v>30</v>
      </c>
      <c r="BK69" s="8">
        <f t="shared" si="5"/>
        <v>100</v>
      </c>
      <c r="BL69" s="7">
        <v>30</v>
      </c>
      <c r="BM69" s="7">
        <v>20</v>
      </c>
      <c r="BN69" s="7">
        <v>20</v>
      </c>
      <c r="BO69" s="7">
        <v>30</v>
      </c>
      <c r="BP69" s="8">
        <f t="shared" si="6"/>
        <v>100</v>
      </c>
      <c r="BQ69" s="7">
        <v>20</v>
      </c>
      <c r="BR69" s="7">
        <v>30</v>
      </c>
      <c r="BS69" s="7">
        <v>20</v>
      </c>
      <c r="BT69" s="7">
        <v>30</v>
      </c>
      <c r="BU69" s="8">
        <f t="shared" si="7"/>
        <v>100</v>
      </c>
      <c r="BV69" s="7">
        <v>20</v>
      </c>
      <c r="BW69" s="7">
        <v>30</v>
      </c>
      <c r="BX69" s="7">
        <v>20</v>
      </c>
      <c r="BY69" s="7">
        <v>30</v>
      </c>
      <c r="BZ69" s="8">
        <f t="shared" si="8"/>
        <v>100</v>
      </c>
      <c r="CA69" s="7">
        <v>30</v>
      </c>
      <c r="CB69" s="7">
        <v>30</v>
      </c>
      <c r="CC69" s="7">
        <v>20</v>
      </c>
      <c r="CD69" s="7">
        <v>20</v>
      </c>
      <c r="CE69" s="8">
        <f t="shared" si="9"/>
        <v>100</v>
      </c>
      <c r="CF69" s="7">
        <v>30</v>
      </c>
      <c r="CG69" s="7">
        <v>30</v>
      </c>
      <c r="CH69" s="7">
        <v>20</v>
      </c>
      <c r="CI69" s="7">
        <v>20</v>
      </c>
      <c r="CJ69" s="8">
        <f t="shared" si="10"/>
        <v>100</v>
      </c>
      <c r="CK69" s="16">
        <v>4.25</v>
      </c>
      <c r="CL69" s="10" t="s">
        <v>98</v>
      </c>
      <c r="CM69" s="25"/>
      <c r="CN69" s="25"/>
      <c r="CO69" s="26"/>
      <c r="CP69">
        <f>Form_Responses1[[#This Row],[Column89]]</f>
        <v>4.25</v>
      </c>
      <c r="CQ69">
        <f>IF(Form_Responses1[[#This Row],[Column94]]&gt;0,Form_Responses1[[#This Row],[Column94]],Form_Responses1[[#This Row],[Column91]])</f>
        <v>4.25</v>
      </c>
      <c r="CR69">
        <v>4.25</v>
      </c>
    </row>
    <row r="70" spans="1:96" ht="15">
      <c r="A70" s="12">
        <v>45619.312417986112</v>
      </c>
      <c r="B70" s="13">
        <v>0</v>
      </c>
      <c r="C70" s="13" t="s">
        <v>187</v>
      </c>
      <c r="D70" s="13" t="s">
        <v>93</v>
      </c>
      <c r="E70" s="13" t="s">
        <v>112</v>
      </c>
      <c r="F70" s="13" t="s">
        <v>95</v>
      </c>
      <c r="G70" s="13" t="s">
        <v>113</v>
      </c>
      <c r="H70" s="13" t="s">
        <v>102</v>
      </c>
      <c r="I70" s="13">
        <v>3</v>
      </c>
      <c r="J70" s="13">
        <v>3</v>
      </c>
      <c r="K70" s="13">
        <v>3</v>
      </c>
      <c r="L70" s="13">
        <v>3</v>
      </c>
      <c r="M70" s="13">
        <v>3</v>
      </c>
      <c r="N70" s="13">
        <v>3</v>
      </c>
      <c r="O70" s="13">
        <v>3</v>
      </c>
      <c r="P70" s="13">
        <v>3</v>
      </c>
      <c r="Q70" s="13">
        <v>3</v>
      </c>
      <c r="R70" s="13">
        <v>3</v>
      </c>
      <c r="S70" s="13">
        <v>3</v>
      </c>
      <c r="T70" s="13">
        <v>3</v>
      </c>
      <c r="U70" s="13">
        <v>3</v>
      </c>
      <c r="V70" s="13">
        <v>3</v>
      </c>
      <c r="W70" s="13">
        <v>3</v>
      </c>
      <c r="X70" s="13">
        <v>3</v>
      </c>
      <c r="Y70" s="13">
        <v>3</v>
      </c>
      <c r="Z70" s="13">
        <v>3</v>
      </c>
      <c r="AA70" s="13">
        <v>3</v>
      </c>
      <c r="AB70" s="13">
        <v>3</v>
      </c>
      <c r="AC70" s="13">
        <v>30</v>
      </c>
      <c r="AD70" s="13">
        <v>30</v>
      </c>
      <c r="AE70" s="13">
        <v>20</v>
      </c>
      <c r="AF70" s="13">
        <v>20</v>
      </c>
      <c r="AG70" s="8">
        <f t="shared" si="11"/>
        <v>100</v>
      </c>
      <c r="AH70" s="13">
        <v>40</v>
      </c>
      <c r="AI70" s="13">
        <v>20</v>
      </c>
      <c r="AJ70" s="13">
        <v>20</v>
      </c>
      <c r="AK70" s="13">
        <v>20</v>
      </c>
      <c r="AL70" s="8">
        <f t="shared" si="0"/>
        <v>100</v>
      </c>
      <c r="AM70" s="13">
        <v>30</v>
      </c>
      <c r="AN70" s="13">
        <v>30</v>
      </c>
      <c r="AO70" s="13">
        <v>15</v>
      </c>
      <c r="AP70" s="13">
        <v>25</v>
      </c>
      <c r="AQ70" s="8">
        <f t="shared" si="1"/>
        <v>100</v>
      </c>
      <c r="AR70" s="13">
        <v>30</v>
      </c>
      <c r="AS70" s="13">
        <v>30</v>
      </c>
      <c r="AT70" s="13">
        <v>20</v>
      </c>
      <c r="AU70" s="13">
        <v>20</v>
      </c>
      <c r="AV70" s="8">
        <f t="shared" si="2"/>
        <v>100</v>
      </c>
      <c r="AW70" s="13">
        <v>30</v>
      </c>
      <c r="AX70" s="13">
        <v>30</v>
      </c>
      <c r="AY70" s="13">
        <v>20</v>
      </c>
      <c r="AZ70" s="13">
        <v>20</v>
      </c>
      <c r="BA70" s="8">
        <f t="shared" si="3"/>
        <v>100</v>
      </c>
      <c r="BB70" s="13">
        <v>30</v>
      </c>
      <c r="BC70" s="13">
        <v>30</v>
      </c>
      <c r="BD70" s="13">
        <v>20</v>
      </c>
      <c r="BE70" s="13">
        <v>20</v>
      </c>
      <c r="BF70" s="8">
        <f t="shared" si="4"/>
        <v>100</v>
      </c>
      <c r="BG70" s="13">
        <v>30</v>
      </c>
      <c r="BH70" s="13">
        <v>30</v>
      </c>
      <c r="BI70" s="13">
        <v>20</v>
      </c>
      <c r="BJ70" s="13">
        <v>20</v>
      </c>
      <c r="BK70" s="8">
        <f t="shared" si="5"/>
        <v>100</v>
      </c>
      <c r="BL70" s="13">
        <v>30</v>
      </c>
      <c r="BM70" s="13">
        <v>30</v>
      </c>
      <c r="BN70" s="13">
        <v>20</v>
      </c>
      <c r="BO70" s="13">
        <v>20</v>
      </c>
      <c r="BP70" s="8">
        <f t="shared" si="6"/>
        <v>100</v>
      </c>
      <c r="BQ70" s="13">
        <v>30</v>
      </c>
      <c r="BR70" s="13">
        <v>30</v>
      </c>
      <c r="BS70" s="13">
        <v>20</v>
      </c>
      <c r="BT70" s="13">
        <v>20</v>
      </c>
      <c r="BU70" s="8">
        <f t="shared" si="7"/>
        <v>100</v>
      </c>
      <c r="BV70" s="13">
        <v>30</v>
      </c>
      <c r="BW70" s="13">
        <v>30</v>
      </c>
      <c r="BX70" s="13">
        <v>20</v>
      </c>
      <c r="BY70" s="13">
        <v>20</v>
      </c>
      <c r="BZ70" s="8">
        <f t="shared" si="8"/>
        <v>100</v>
      </c>
      <c r="CA70" s="13">
        <v>30</v>
      </c>
      <c r="CB70" s="13">
        <v>30</v>
      </c>
      <c r="CC70" s="13">
        <v>20</v>
      </c>
      <c r="CD70" s="13">
        <v>20</v>
      </c>
      <c r="CE70" s="8">
        <f t="shared" si="9"/>
        <v>100</v>
      </c>
      <c r="CF70" s="13">
        <v>30</v>
      </c>
      <c r="CG70" s="13">
        <v>30</v>
      </c>
      <c r="CH70" s="13">
        <v>20</v>
      </c>
      <c r="CI70" s="13">
        <v>20</v>
      </c>
      <c r="CJ70" s="8">
        <f t="shared" si="10"/>
        <v>100</v>
      </c>
      <c r="CK70" s="30"/>
      <c r="CL70" s="30"/>
      <c r="CM70" s="14">
        <v>3.91</v>
      </c>
      <c r="CN70" s="30" t="s">
        <v>117</v>
      </c>
      <c r="CO70" s="31"/>
      <c r="CP70">
        <f>Form_Responses1[[#This Row],[Column89]]</f>
        <v>0</v>
      </c>
      <c r="CQ70">
        <f>IF(Form_Responses1[[#This Row],[Column94]]&gt;0,Form_Responses1[[#This Row],[Column94]],Form_Responses1[[#This Row],[Column91]])</f>
        <v>3.91</v>
      </c>
      <c r="CR70">
        <v>3.91</v>
      </c>
    </row>
    <row r="71" spans="1:96" ht="15">
      <c r="A71" s="6">
        <v>45619.313818692128</v>
      </c>
      <c r="B71" s="7">
        <v>0</v>
      </c>
      <c r="C71" s="7" t="s">
        <v>188</v>
      </c>
      <c r="D71" s="7" t="s">
        <v>93</v>
      </c>
      <c r="E71" s="7" t="s">
        <v>112</v>
      </c>
      <c r="F71" s="7" t="s">
        <v>95</v>
      </c>
      <c r="G71" s="7" t="s">
        <v>123</v>
      </c>
      <c r="H71" s="7" t="s">
        <v>102</v>
      </c>
      <c r="I71" s="7">
        <v>3</v>
      </c>
      <c r="J71" s="7">
        <v>3</v>
      </c>
      <c r="K71" s="7">
        <v>3</v>
      </c>
      <c r="L71" s="7">
        <v>3</v>
      </c>
      <c r="M71" s="7">
        <v>3</v>
      </c>
      <c r="N71" s="7">
        <v>3</v>
      </c>
      <c r="O71" s="7">
        <v>3</v>
      </c>
      <c r="P71" s="7">
        <v>3</v>
      </c>
      <c r="Q71" s="7">
        <v>3</v>
      </c>
      <c r="R71" s="7">
        <v>3</v>
      </c>
      <c r="S71" s="7">
        <v>3</v>
      </c>
      <c r="T71" s="7">
        <v>3</v>
      </c>
      <c r="U71" s="7">
        <v>3</v>
      </c>
      <c r="V71" s="7">
        <v>3</v>
      </c>
      <c r="W71" s="7">
        <v>3</v>
      </c>
      <c r="X71" s="7">
        <v>3</v>
      </c>
      <c r="Y71" s="7">
        <v>3</v>
      </c>
      <c r="Z71" s="7">
        <v>3</v>
      </c>
      <c r="AA71" s="7">
        <v>3</v>
      </c>
      <c r="AB71" s="7">
        <v>3</v>
      </c>
      <c r="AC71" s="7">
        <v>70</v>
      </c>
      <c r="AD71" s="7">
        <v>10</v>
      </c>
      <c r="AE71" s="7">
        <v>10</v>
      </c>
      <c r="AF71" s="7">
        <v>10</v>
      </c>
      <c r="AG71" s="8">
        <f t="shared" si="11"/>
        <v>100</v>
      </c>
      <c r="AH71" s="7">
        <v>70</v>
      </c>
      <c r="AI71" s="7">
        <v>10</v>
      </c>
      <c r="AJ71" s="7">
        <v>10</v>
      </c>
      <c r="AK71" s="7">
        <v>10</v>
      </c>
      <c r="AL71" s="8">
        <f t="shared" si="0"/>
        <v>100</v>
      </c>
      <c r="AM71" s="7">
        <v>70</v>
      </c>
      <c r="AN71" s="7">
        <v>10</v>
      </c>
      <c r="AO71" s="7">
        <v>10</v>
      </c>
      <c r="AP71" s="7">
        <v>10</v>
      </c>
      <c r="AQ71" s="8">
        <f t="shared" si="1"/>
        <v>100</v>
      </c>
      <c r="AR71" s="7">
        <v>70</v>
      </c>
      <c r="AS71" s="7">
        <v>10</v>
      </c>
      <c r="AT71" s="7">
        <v>10</v>
      </c>
      <c r="AU71" s="7">
        <v>10</v>
      </c>
      <c r="AV71" s="8">
        <f t="shared" si="2"/>
        <v>100</v>
      </c>
      <c r="AW71" s="7">
        <v>60</v>
      </c>
      <c r="AX71" s="7">
        <v>10</v>
      </c>
      <c r="AY71" s="7">
        <v>10</v>
      </c>
      <c r="AZ71" s="7">
        <v>20</v>
      </c>
      <c r="BA71" s="8">
        <f t="shared" si="3"/>
        <v>100</v>
      </c>
      <c r="BB71" s="7">
        <v>70</v>
      </c>
      <c r="BC71" s="7">
        <v>10</v>
      </c>
      <c r="BD71" s="7">
        <v>10</v>
      </c>
      <c r="BE71" s="7">
        <v>10</v>
      </c>
      <c r="BF71" s="8">
        <f t="shared" si="4"/>
        <v>100</v>
      </c>
      <c r="BG71" s="7">
        <v>70</v>
      </c>
      <c r="BH71" s="7">
        <v>10</v>
      </c>
      <c r="BI71" s="7">
        <v>10</v>
      </c>
      <c r="BJ71" s="7">
        <v>10</v>
      </c>
      <c r="BK71" s="8">
        <f t="shared" si="5"/>
        <v>100</v>
      </c>
      <c r="BL71" s="7">
        <v>70</v>
      </c>
      <c r="BM71" s="7">
        <v>10</v>
      </c>
      <c r="BN71" s="7">
        <v>10</v>
      </c>
      <c r="BO71" s="7">
        <v>10</v>
      </c>
      <c r="BP71" s="8">
        <f t="shared" si="6"/>
        <v>100</v>
      </c>
      <c r="BQ71" s="7">
        <v>70</v>
      </c>
      <c r="BR71" s="7">
        <v>10</v>
      </c>
      <c r="BS71" s="7">
        <v>10</v>
      </c>
      <c r="BT71" s="7">
        <v>10</v>
      </c>
      <c r="BU71" s="8">
        <f t="shared" si="7"/>
        <v>100</v>
      </c>
      <c r="BV71" s="7">
        <v>70</v>
      </c>
      <c r="BW71" s="7">
        <v>10</v>
      </c>
      <c r="BX71" s="7">
        <v>10</v>
      </c>
      <c r="BY71" s="7">
        <v>10</v>
      </c>
      <c r="BZ71" s="8">
        <f t="shared" si="8"/>
        <v>100</v>
      </c>
      <c r="CA71" s="7">
        <v>70</v>
      </c>
      <c r="CB71" s="7">
        <v>10</v>
      </c>
      <c r="CC71" s="7">
        <v>10</v>
      </c>
      <c r="CD71" s="7">
        <v>10</v>
      </c>
      <c r="CE71" s="8">
        <f t="shared" si="9"/>
        <v>100</v>
      </c>
      <c r="CF71" s="7">
        <v>70</v>
      </c>
      <c r="CG71" s="7">
        <v>10</v>
      </c>
      <c r="CH71" s="7">
        <v>10</v>
      </c>
      <c r="CI71" s="7">
        <v>10</v>
      </c>
      <c r="CJ71" s="8">
        <f t="shared" si="10"/>
        <v>100</v>
      </c>
      <c r="CK71" s="9">
        <v>3.94</v>
      </c>
      <c r="CL71" s="9" t="s">
        <v>117</v>
      </c>
      <c r="CM71" s="9">
        <v>4.1500000000000004</v>
      </c>
      <c r="CN71" s="10" t="s">
        <v>98</v>
      </c>
      <c r="CO71" s="11"/>
      <c r="CP71">
        <f>Form_Responses1[[#This Row],[Column89]]</f>
        <v>3.94</v>
      </c>
      <c r="CQ71">
        <f>IF(Form_Responses1[[#This Row],[Column94]]&gt;0,Form_Responses1[[#This Row],[Column94]],Form_Responses1[[#This Row],[Column91]])</f>
        <v>3.94</v>
      </c>
      <c r="CR71">
        <v>3.94</v>
      </c>
    </row>
    <row r="72" spans="1:96" ht="15">
      <c r="A72" s="12">
        <v>45619.32412931713</v>
      </c>
      <c r="B72" s="13">
        <v>0</v>
      </c>
      <c r="C72" s="13" t="s">
        <v>189</v>
      </c>
      <c r="D72" s="13" t="s">
        <v>93</v>
      </c>
      <c r="E72" s="13" t="s">
        <v>100</v>
      </c>
      <c r="F72" s="13" t="s">
        <v>101</v>
      </c>
      <c r="G72" s="13" t="s">
        <v>113</v>
      </c>
      <c r="H72" s="13" t="s">
        <v>102</v>
      </c>
      <c r="I72" s="13">
        <v>2</v>
      </c>
      <c r="J72" s="13">
        <v>3</v>
      </c>
      <c r="K72" s="13">
        <v>2</v>
      </c>
      <c r="L72" s="13">
        <v>2</v>
      </c>
      <c r="M72" s="13">
        <v>4</v>
      </c>
      <c r="N72" s="13">
        <v>2</v>
      </c>
      <c r="O72" s="13">
        <v>3</v>
      </c>
      <c r="P72" s="13">
        <v>3</v>
      </c>
      <c r="Q72" s="13">
        <v>4</v>
      </c>
      <c r="R72" s="13">
        <v>3</v>
      </c>
      <c r="S72" s="13">
        <v>4</v>
      </c>
      <c r="T72" s="13">
        <v>2</v>
      </c>
      <c r="U72" s="13">
        <v>2</v>
      </c>
      <c r="V72" s="13">
        <v>4</v>
      </c>
      <c r="W72" s="13">
        <v>3</v>
      </c>
      <c r="X72" s="13">
        <v>4</v>
      </c>
      <c r="Y72" s="13">
        <v>2</v>
      </c>
      <c r="Z72" s="13">
        <v>3</v>
      </c>
      <c r="AA72" s="13">
        <v>3</v>
      </c>
      <c r="AB72" s="13">
        <v>2</v>
      </c>
      <c r="AC72" s="13">
        <v>20</v>
      </c>
      <c r="AD72" s="13">
        <v>30</v>
      </c>
      <c r="AE72" s="13">
        <v>30</v>
      </c>
      <c r="AF72" s="13">
        <v>20</v>
      </c>
      <c r="AG72" s="8">
        <f t="shared" si="11"/>
        <v>100</v>
      </c>
      <c r="AH72" s="13">
        <v>20</v>
      </c>
      <c r="AI72" s="13">
        <v>30</v>
      </c>
      <c r="AJ72" s="13">
        <v>30</v>
      </c>
      <c r="AK72" s="13">
        <v>20</v>
      </c>
      <c r="AL72" s="8">
        <f t="shared" si="0"/>
        <v>100</v>
      </c>
      <c r="AM72" s="13">
        <v>20</v>
      </c>
      <c r="AN72" s="13">
        <v>30</v>
      </c>
      <c r="AO72" s="13">
        <v>20</v>
      </c>
      <c r="AP72" s="13">
        <v>30</v>
      </c>
      <c r="AQ72" s="8">
        <f t="shared" si="1"/>
        <v>100</v>
      </c>
      <c r="AR72" s="13">
        <v>20</v>
      </c>
      <c r="AS72" s="13">
        <v>30</v>
      </c>
      <c r="AT72" s="13">
        <v>30</v>
      </c>
      <c r="AU72" s="13">
        <v>20</v>
      </c>
      <c r="AV72" s="8">
        <f t="shared" si="2"/>
        <v>100</v>
      </c>
      <c r="AW72" s="13">
        <v>20</v>
      </c>
      <c r="AX72" s="13">
        <v>20</v>
      </c>
      <c r="AY72" s="13">
        <v>10</v>
      </c>
      <c r="AZ72" s="13">
        <v>50</v>
      </c>
      <c r="BA72" s="8">
        <f t="shared" si="3"/>
        <v>100</v>
      </c>
      <c r="BB72" s="13">
        <v>20</v>
      </c>
      <c r="BC72" s="13">
        <v>20</v>
      </c>
      <c r="BD72" s="13">
        <v>10</v>
      </c>
      <c r="BE72" s="13">
        <v>50</v>
      </c>
      <c r="BF72" s="8">
        <f t="shared" si="4"/>
        <v>100</v>
      </c>
      <c r="BG72" s="13">
        <v>70</v>
      </c>
      <c r="BH72" s="13">
        <v>10</v>
      </c>
      <c r="BI72" s="13">
        <v>10</v>
      </c>
      <c r="BJ72" s="13">
        <v>10</v>
      </c>
      <c r="BK72" s="8">
        <f t="shared" si="5"/>
        <v>100</v>
      </c>
      <c r="BL72" s="13">
        <v>70</v>
      </c>
      <c r="BM72" s="13">
        <v>10</v>
      </c>
      <c r="BN72" s="13">
        <v>10</v>
      </c>
      <c r="BO72" s="13">
        <v>10</v>
      </c>
      <c r="BP72" s="8">
        <f t="shared" si="6"/>
        <v>100</v>
      </c>
      <c r="BQ72" s="13">
        <v>50</v>
      </c>
      <c r="BR72" s="13">
        <v>20</v>
      </c>
      <c r="BS72" s="13">
        <v>10</v>
      </c>
      <c r="BT72" s="13">
        <v>20</v>
      </c>
      <c r="BU72" s="8">
        <f t="shared" si="7"/>
        <v>100</v>
      </c>
      <c r="BV72" s="13">
        <v>50</v>
      </c>
      <c r="BW72" s="13">
        <v>20</v>
      </c>
      <c r="BX72" s="13">
        <v>10</v>
      </c>
      <c r="BY72" s="13">
        <v>20</v>
      </c>
      <c r="BZ72" s="8">
        <f t="shared" si="8"/>
        <v>100</v>
      </c>
      <c r="CA72" s="13">
        <v>20</v>
      </c>
      <c r="CB72" s="13">
        <v>20</v>
      </c>
      <c r="CC72" s="13">
        <v>20</v>
      </c>
      <c r="CD72" s="13">
        <v>40</v>
      </c>
      <c r="CE72" s="8">
        <f t="shared" si="9"/>
        <v>100</v>
      </c>
      <c r="CF72" s="13">
        <v>20</v>
      </c>
      <c r="CG72" s="13">
        <v>20</v>
      </c>
      <c r="CH72" s="13">
        <v>20</v>
      </c>
      <c r="CI72" s="13">
        <v>40</v>
      </c>
      <c r="CJ72" s="8">
        <f t="shared" si="10"/>
        <v>100</v>
      </c>
      <c r="CK72" s="18"/>
      <c r="CL72" s="18"/>
      <c r="CM72" s="18">
        <v>4.1399999999999997</v>
      </c>
      <c r="CN72" s="30" t="s">
        <v>98</v>
      </c>
      <c r="CO72" s="24"/>
      <c r="CP72">
        <f>Form_Responses1[[#This Row],[Column89]]</f>
        <v>0</v>
      </c>
      <c r="CQ72">
        <f>IF(Form_Responses1[[#This Row],[Column94]]&gt;0,Form_Responses1[[#This Row],[Column94]],Form_Responses1[[#This Row],[Column91]])</f>
        <v>4.1399999999999997</v>
      </c>
      <c r="CR72">
        <v>4.1399999999999997</v>
      </c>
    </row>
    <row r="73" spans="1:96" ht="15">
      <c r="A73" s="6">
        <v>45619.326026215276</v>
      </c>
      <c r="B73" s="7">
        <v>0</v>
      </c>
      <c r="C73" s="7" t="s">
        <v>190</v>
      </c>
      <c r="D73" s="7" t="s">
        <v>93</v>
      </c>
      <c r="E73" s="7" t="s">
        <v>112</v>
      </c>
      <c r="F73" s="7" t="s">
        <v>130</v>
      </c>
      <c r="G73" s="7" t="s">
        <v>123</v>
      </c>
      <c r="H73" s="7" t="s">
        <v>102</v>
      </c>
      <c r="I73" s="7">
        <v>3</v>
      </c>
      <c r="J73" s="7">
        <v>4</v>
      </c>
      <c r="K73" s="7">
        <v>3</v>
      </c>
      <c r="L73" s="7">
        <v>4</v>
      </c>
      <c r="M73" s="7">
        <v>4</v>
      </c>
      <c r="N73" s="7">
        <v>3</v>
      </c>
      <c r="O73" s="7">
        <v>4</v>
      </c>
      <c r="P73" s="7">
        <v>4</v>
      </c>
      <c r="Q73" s="7">
        <v>3</v>
      </c>
      <c r="R73" s="7">
        <v>4</v>
      </c>
      <c r="S73" s="7">
        <v>3</v>
      </c>
      <c r="T73" s="7">
        <v>3</v>
      </c>
      <c r="U73" s="7">
        <v>4</v>
      </c>
      <c r="V73" s="7">
        <v>4</v>
      </c>
      <c r="W73" s="7">
        <v>4</v>
      </c>
      <c r="X73" s="7">
        <v>3</v>
      </c>
      <c r="Y73" s="7">
        <v>3</v>
      </c>
      <c r="Z73" s="7">
        <v>3</v>
      </c>
      <c r="AA73" s="7">
        <v>3</v>
      </c>
      <c r="AB73" s="7">
        <v>4</v>
      </c>
      <c r="AC73" s="7">
        <v>30</v>
      </c>
      <c r="AD73" s="7">
        <v>20</v>
      </c>
      <c r="AE73" s="7">
        <v>30</v>
      </c>
      <c r="AF73" s="7">
        <v>20</v>
      </c>
      <c r="AG73" s="8">
        <f t="shared" si="11"/>
        <v>100</v>
      </c>
      <c r="AH73" s="7">
        <v>40</v>
      </c>
      <c r="AI73" s="7">
        <v>20</v>
      </c>
      <c r="AJ73" s="7">
        <v>30</v>
      </c>
      <c r="AK73" s="7">
        <v>10</v>
      </c>
      <c r="AL73" s="8">
        <f t="shared" si="0"/>
        <v>100</v>
      </c>
      <c r="AM73" s="7">
        <v>20</v>
      </c>
      <c r="AN73" s="7">
        <v>20</v>
      </c>
      <c r="AO73" s="7">
        <v>20</v>
      </c>
      <c r="AP73" s="7">
        <v>40</v>
      </c>
      <c r="AQ73" s="8">
        <f t="shared" si="1"/>
        <v>100</v>
      </c>
      <c r="AR73" s="7">
        <v>20</v>
      </c>
      <c r="AS73" s="7">
        <v>20</v>
      </c>
      <c r="AT73" s="7">
        <v>20</v>
      </c>
      <c r="AU73" s="7">
        <v>40</v>
      </c>
      <c r="AV73" s="8">
        <f t="shared" si="2"/>
        <v>100</v>
      </c>
      <c r="AW73" s="7">
        <v>40</v>
      </c>
      <c r="AX73" s="7">
        <v>20</v>
      </c>
      <c r="AY73" s="7">
        <v>20</v>
      </c>
      <c r="AZ73" s="7">
        <v>20</v>
      </c>
      <c r="BA73" s="8">
        <f t="shared" si="3"/>
        <v>100</v>
      </c>
      <c r="BB73" s="7">
        <v>20</v>
      </c>
      <c r="BC73" s="7">
        <v>20</v>
      </c>
      <c r="BD73" s="7">
        <v>20</v>
      </c>
      <c r="BE73" s="7">
        <v>40</v>
      </c>
      <c r="BF73" s="8">
        <f t="shared" si="4"/>
        <v>100</v>
      </c>
      <c r="BG73" s="7">
        <v>40</v>
      </c>
      <c r="BH73" s="7">
        <v>20</v>
      </c>
      <c r="BI73" s="7">
        <v>20</v>
      </c>
      <c r="BJ73" s="7">
        <v>20</v>
      </c>
      <c r="BK73" s="8">
        <f t="shared" si="5"/>
        <v>100</v>
      </c>
      <c r="BL73" s="7">
        <v>20</v>
      </c>
      <c r="BM73" s="7">
        <v>20</v>
      </c>
      <c r="BN73" s="7">
        <v>20</v>
      </c>
      <c r="BO73" s="7">
        <v>40</v>
      </c>
      <c r="BP73" s="8">
        <f t="shared" si="6"/>
        <v>100</v>
      </c>
      <c r="BQ73" s="7">
        <v>35</v>
      </c>
      <c r="BR73" s="7">
        <v>20</v>
      </c>
      <c r="BS73" s="7">
        <v>35</v>
      </c>
      <c r="BT73" s="7">
        <v>10</v>
      </c>
      <c r="BU73" s="8">
        <f t="shared" si="7"/>
        <v>100</v>
      </c>
      <c r="BV73" s="7">
        <v>25</v>
      </c>
      <c r="BW73" s="7">
        <v>25</v>
      </c>
      <c r="BX73" s="7">
        <v>15</v>
      </c>
      <c r="BY73" s="7">
        <v>35</v>
      </c>
      <c r="BZ73" s="8">
        <f t="shared" si="8"/>
        <v>100</v>
      </c>
      <c r="CA73" s="7">
        <v>20</v>
      </c>
      <c r="CB73" s="7">
        <v>20</v>
      </c>
      <c r="CC73" s="7">
        <v>40</v>
      </c>
      <c r="CD73" s="7">
        <v>20</v>
      </c>
      <c r="CE73" s="8">
        <f t="shared" si="9"/>
        <v>100</v>
      </c>
      <c r="CF73" s="7">
        <v>20</v>
      </c>
      <c r="CG73" s="7">
        <v>20</v>
      </c>
      <c r="CH73" s="7">
        <v>20</v>
      </c>
      <c r="CI73" s="7">
        <v>40</v>
      </c>
      <c r="CJ73" s="8">
        <f t="shared" si="10"/>
        <v>100</v>
      </c>
      <c r="CK73" s="9">
        <v>4.3499999999999996</v>
      </c>
      <c r="CL73" s="10" t="s">
        <v>98</v>
      </c>
      <c r="CM73" s="25"/>
      <c r="CN73" s="25"/>
      <c r="CO73" s="26"/>
      <c r="CP73">
        <f>Form_Responses1[[#This Row],[Column89]]</f>
        <v>4.3499999999999996</v>
      </c>
      <c r="CQ73">
        <f>IF(Form_Responses1[[#This Row],[Column94]]&gt;0,Form_Responses1[[#This Row],[Column94]],Form_Responses1[[#This Row],[Column91]])</f>
        <v>4.3499999999999996</v>
      </c>
      <c r="CR73">
        <v>4.3499999999999996</v>
      </c>
    </row>
    <row r="74" spans="1:96" ht="15">
      <c r="A74" s="12">
        <v>45619.326446157407</v>
      </c>
      <c r="B74" s="13">
        <v>0</v>
      </c>
      <c r="C74" s="13" t="s">
        <v>191</v>
      </c>
      <c r="D74" s="13" t="s">
        <v>107</v>
      </c>
      <c r="E74" s="13" t="s">
        <v>112</v>
      </c>
      <c r="F74" s="13" t="s">
        <v>95</v>
      </c>
      <c r="G74" s="13" t="s">
        <v>109</v>
      </c>
      <c r="H74" s="13" t="s">
        <v>102</v>
      </c>
      <c r="I74" s="13">
        <v>4</v>
      </c>
      <c r="J74" s="13">
        <v>4</v>
      </c>
      <c r="K74" s="13">
        <v>4</v>
      </c>
      <c r="L74" s="13">
        <v>4</v>
      </c>
      <c r="M74" s="13">
        <v>4</v>
      </c>
      <c r="N74" s="13">
        <v>4</v>
      </c>
      <c r="O74" s="13">
        <v>4</v>
      </c>
      <c r="P74" s="13">
        <v>4</v>
      </c>
      <c r="Q74" s="13">
        <v>4</v>
      </c>
      <c r="R74" s="13">
        <v>4</v>
      </c>
      <c r="S74" s="13">
        <v>4</v>
      </c>
      <c r="T74" s="13">
        <v>4</v>
      </c>
      <c r="U74" s="13">
        <v>4</v>
      </c>
      <c r="V74" s="13">
        <v>4</v>
      </c>
      <c r="W74" s="13">
        <v>5</v>
      </c>
      <c r="X74" s="13">
        <v>3</v>
      </c>
      <c r="Y74" s="13">
        <v>3</v>
      </c>
      <c r="Z74" s="13">
        <v>3</v>
      </c>
      <c r="AA74" s="13">
        <v>4</v>
      </c>
      <c r="AB74" s="13">
        <v>4</v>
      </c>
      <c r="AC74" s="13">
        <v>20</v>
      </c>
      <c r="AD74" s="13">
        <v>60</v>
      </c>
      <c r="AE74" s="13">
        <v>10</v>
      </c>
      <c r="AF74" s="13">
        <v>10</v>
      </c>
      <c r="AG74" s="8">
        <f t="shared" si="11"/>
        <v>100</v>
      </c>
      <c r="AH74" s="13">
        <v>60</v>
      </c>
      <c r="AI74" s="13">
        <v>10</v>
      </c>
      <c r="AJ74" s="13">
        <v>10</v>
      </c>
      <c r="AK74" s="13">
        <v>20</v>
      </c>
      <c r="AL74" s="8">
        <f t="shared" si="0"/>
        <v>100</v>
      </c>
      <c r="AM74" s="13">
        <v>70</v>
      </c>
      <c r="AN74" s="13">
        <v>10</v>
      </c>
      <c r="AO74" s="13">
        <v>10</v>
      </c>
      <c r="AP74" s="13">
        <v>10</v>
      </c>
      <c r="AQ74" s="8">
        <f t="shared" si="1"/>
        <v>100</v>
      </c>
      <c r="AR74" s="13">
        <v>10</v>
      </c>
      <c r="AS74" s="13">
        <v>20</v>
      </c>
      <c r="AT74" s="13">
        <v>60</v>
      </c>
      <c r="AU74" s="13">
        <v>10</v>
      </c>
      <c r="AV74" s="8">
        <f t="shared" si="2"/>
        <v>100</v>
      </c>
      <c r="AW74" s="13">
        <v>10</v>
      </c>
      <c r="AX74" s="13">
        <v>10</v>
      </c>
      <c r="AY74" s="13">
        <v>10</v>
      </c>
      <c r="AZ74" s="13">
        <v>70</v>
      </c>
      <c r="BA74" s="8">
        <f t="shared" si="3"/>
        <v>100</v>
      </c>
      <c r="BB74" s="13">
        <v>40</v>
      </c>
      <c r="BC74" s="13">
        <v>20</v>
      </c>
      <c r="BD74" s="13">
        <v>10</v>
      </c>
      <c r="BE74" s="13">
        <v>30</v>
      </c>
      <c r="BF74" s="8">
        <f t="shared" si="4"/>
        <v>100</v>
      </c>
      <c r="BG74" s="13">
        <v>70</v>
      </c>
      <c r="BH74" s="13">
        <v>10</v>
      </c>
      <c r="BI74" s="13">
        <v>10</v>
      </c>
      <c r="BJ74" s="13">
        <v>10</v>
      </c>
      <c r="BK74" s="8">
        <f t="shared" si="5"/>
        <v>100</v>
      </c>
      <c r="BL74" s="13">
        <v>70</v>
      </c>
      <c r="BM74" s="13">
        <v>10</v>
      </c>
      <c r="BN74" s="13">
        <v>10</v>
      </c>
      <c r="BO74" s="13">
        <v>10</v>
      </c>
      <c r="BP74" s="8">
        <f t="shared" si="6"/>
        <v>100</v>
      </c>
      <c r="BQ74" s="13">
        <v>10</v>
      </c>
      <c r="BR74" s="13">
        <v>10</v>
      </c>
      <c r="BS74" s="13">
        <v>10</v>
      </c>
      <c r="BT74" s="13">
        <v>70</v>
      </c>
      <c r="BU74" s="8">
        <f t="shared" si="7"/>
        <v>100</v>
      </c>
      <c r="BV74" s="13">
        <v>10</v>
      </c>
      <c r="BW74" s="13">
        <v>10</v>
      </c>
      <c r="BX74" s="13">
        <v>10</v>
      </c>
      <c r="BY74" s="13">
        <v>70</v>
      </c>
      <c r="BZ74" s="8">
        <f t="shared" si="8"/>
        <v>100</v>
      </c>
      <c r="CA74" s="13">
        <v>70</v>
      </c>
      <c r="CB74" s="13">
        <v>10</v>
      </c>
      <c r="CC74" s="13">
        <v>10</v>
      </c>
      <c r="CD74" s="13">
        <v>10</v>
      </c>
      <c r="CE74" s="8">
        <f t="shared" si="9"/>
        <v>100</v>
      </c>
      <c r="CF74" s="13">
        <v>20</v>
      </c>
      <c r="CG74" s="13">
        <v>20</v>
      </c>
      <c r="CH74" s="13">
        <v>20</v>
      </c>
      <c r="CI74" s="13">
        <v>40</v>
      </c>
      <c r="CJ74" s="8">
        <f t="shared" si="10"/>
        <v>100</v>
      </c>
      <c r="CK74" s="14">
        <v>4.45</v>
      </c>
      <c r="CL74" s="19" t="s">
        <v>98</v>
      </c>
      <c r="CM74" s="23"/>
      <c r="CN74" s="23"/>
      <c r="CO74" s="24"/>
      <c r="CP74">
        <f>Form_Responses1[[#This Row],[Column89]]</f>
        <v>4.45</v>
      </c>
      <c r="CQ74">
        <f>IF(Form_Responses1[[#This Row],[Column94]]&gt;0,Form_Responses1[[#This Row],[Column94]],Form_Responses1[[#This Row],[Column91]])</f>
        <v>4.45</v>
      </c>
      <c r="CR74">
        <v>4.45</v>
      </c>
    </row>
    <row r="75" spans="1:96" ht="15">
      <c r="A75" s="6">
        <v>45619.326737268522</v>
      </c>
      <c r="B75" s="7">
        <v>0</v>
      </c>
      <c r="C75" s="7" t="s">
        <v>192</v>
      </c>
      <c r="D75" s="7" t="s">
        <v>93</v>
      </c>
      <c r="E75" s="7" t="s">
        <v>108</v>
      </c>
      <c r="F75" s="7" t="s">
        <v>130</v>
      </c>
      <c r="G75" s="7" t="s">
        <v>96</v>
      </c>
      <c r="H75" s="7" t="s">
        <v>102</v>
      </c>
      <c r="I75" s="7">
        <v>4</v>
      </c>
      <c r="J75" s="7">
        <v>4</v>
      </c>
      <c r="K75" s="7">
        <v>4</v>
      </c>
      <c r="L75" s="7">
        <v>4</v>
      </c>
      <c r="M75" s="7">
        <v>4</v>
      </c>
      <c r="N75" s="7">
        <v>4</v>
      </c>
      <c r="O75" s="7">
        <v>4</v>
      </c>
      <c r="P75" s="7">
        <v>4</v>
      </c>
      <c r="Q75" s="7">
        <v>4</v>
      </c>
      <c r="R75" s="7">
        <v>4</v>
      </c>
      <c r="S75" s="7">
        <v>4</v>
      </c>
      <c r="T75" s="7">
        <v>4</v>
      </c>
      <c r="U75" s="7">
        <v>4</v>
      </c>
      <c r="V75" s="7">
        <v>4</v>
      </c>
      <c r="W75" s="7">
        <v>4</v>
      </c>
      <c r="X75" s="7">
        <v>4</v>
      </c>
      <c r="Y75" s="7">
        <v>4</v>
      </c>
      <c r="Z75" s="7">
        <v>4</v>
      </c>
      <c r="AA75" s="7">
        <v>4</v>
      </c>
      <c r="AB75" s="7">
        <v>4</v>
      </c>
      <c r="AC75" s="7">
        <v>40</v>
      </c>
      <c r="AD75" s="7">
        <v>20</v>
      </c>
      <c r="AE75" s="7">
        <v>20</v>
      </c>
      <c r="AF75" s="7">
        <v>20</v>
      </c>
      <c r="AG75" s="8">
        <f t="shared" si="11"/>
        <v>100</v>
      </c>
      <c r="AH75" s="7">
        <v>40</v>
      </c>
      <c r="AI75" s="7">
        <v>30</v>
      </c>
      <c r="AJ75" s="7">
        <v>15</v>
      </c>
      <c r="AK75" s="7">
        <v>15</v>
      </c>
      <c r="AL75" s="8">
        <f t="shared" si="0"/>
        <v>100</v>
      </c>
      <c r="AM75" s="7">
        <v>30</v>
      </c>
      <c r="AN75" s="7">
        <v>30</v>
      </c>
      <c r="AO75" s="7">
        <v>20</v>
      </c>
      <c r="AP75" s="7">
        <v>20</v>
      </c>
      <c r="AQ75" s="8">
        <f t="shared" si="1"/>
        <v>100</v>
      </c>
      <c r="AR75" s="7">
        <v>30</v>
      </c>
      <c r="AS75" s="7">
        <v>30</v>
      </c>
      <c r="AT75" s="7">
        <v>20</v>
      </c>
      <c r="AU75" s="7">
        <v>20</v>
      </c>
      <c r="AV75" s="8">
        <f t="shared" si="2"/>
        <v>100</v>
      </c>
      <c r="AW75" s="7">
        <v>30</v>
      </c>
      <c r="AX75" s="7">
        <v>30</v>
      </c>
      <c r="AY75" s="7">
        <v>20</v>
      </c>
      <c r="AZ75" s="7">
        <v>20</v>
      </c>
      <c r="BA75" s="8">
        <f t="shared" si="3"/>
        <v>100</v>
      </c>
      <c r="BB75" s="7">
        <v>30</v>
      </c>
      <c r="BC75" s="7">
        <v>30</v>
      </c>
      <c r="BD75" s="7">
        <v>20</v>
      </c>
      <c r="BE75" s="7">
        <v>20</v>
      </c>
      <c r="BF75" s="8">
        <f t="shared" si="4"/>
        <v>100</v>
      </c>
      <c r="BG75" s="7">
        <v>30</v>
      </c>
      <c r="BH75" s="7">
        <v>30</v>
      </c>
      <c r="BI75" s="7">
        <v>20</v>
      </c>
      <c r="BJ75" s="7">
        <v>20</v>
      </c>
      <c r="BK75" s="8">
        <f t="shared" si="5"/>
        <v>100</v>
      </c>
      <c r="BL75" s="7">
        <v>30</v>
      </c>
      <c r="BM75" s="7">
        <v>30</v>
      </c>
      <c r="BN75" s="7">
        <v>20</v>
      </c>
      <c r="BO75" s="7">
        <v>20</v>
      </c>
      <c r="BP75" s="8">
        <f t="shared" si="6"/>
        <v>100</v>
      </c>
      <c r="BQ75" s="7">
        <v>30</v>
      </c>
      <c r="BR75" s="7">
        <v>30</v>
      </c>
      <c r="BS75" s="7">
        <v>20</v>
      </c>
      <c r="BT75" s="7">
        <v>20</v>
      </c>
      <c r="BU75" s="8">
        <f t="shared" si="7"/>
        <v>100</v>
      </c>
      <c r="BV75" s="7">
        <v>30</v>
      </c>
      <c r="BW75" s="7">
        <v>30</v>
      </c>
      <c r="BX75" s="7">
        <v>20</v>
      </c>
      <c r="BY75" s="7">
        <v>20</v>
      </c>
      <c r="BZ75" s="8">
        <f t="shared" si="8"/>
        <v>100</v>
      </c>
      <c r="CA75" s="7">
        <v>30</v>
      </c>
      <c r="CB75" s="7">
        <v>30</v>
      </c>
      <c r="CC75" s="7">
        <v>20</v>
      </c>
      <c r="CD75" s="7">
        <v>20</v>
      </c>
      <c r="CE75" s="8">
        <f t="shared" si="9"/>
        <v>100</v>
      </c>
      <c r="CF75" s="7">
        <v>30</v>
      </c>
      <c r="CG75" s="7">
        <v>30</v>
      </c>
      <c r="CH75" s="7">
        <v>20</v>
      </c>
      <c r="CI75" s="7">
        <v>20</v>
      </c>
      <c r="CJ75" s="8">
        <f t="shared" si="10"/>
        <v>100</v>
      </c>
      <c r="CK75" s="16">
        <v>4.4000000000000004</v>
      </c>
      <c r="CL75" s="16" t="s">
        <v>98</v>
      </c>
      <c r="CP75">
        <f>Form_Responses1[[#This Row],[Column89]]</f>
        <v>4.4000000000000004</v>
      </c>
      <c r="CQ75">
        <f>IF(Form_Responses1[[#This Row],[Column94]]&gt;0,Form_Responses1[[#This Row],[Column94]],Form_Responses1[[#This Row],[Column91]])</f>
        <v>4.4000000000000004</v>
      </c>
      <c r="CR75">
        <v>4.4000000000000004</v>
      </c>
    </row>
    <row r="76" spans="1:96" ht="15">
      <c r="A76" s="12">
        <v>45619.331913842594</v>
      </c>
      <c r="B76" s="13">
        <v>0</v>
      </c>
      <c r="C76" s="13" t="s">
        <v>193</v>
      </c>
      <c r="D76" s="13" t="s">
        <v>93</v>
      </c>
      <c r="E76" s="13" t="s">
        <v>112</v>
      </c>
      <c r="F76" s="13" t="s">
        <v>95</v>
      </c>
      <c r="G76" s="13" t="s">
        <v>113</v>
      </c>
      <c r="H76" s="13" t="s">
        <v>120</v>
      </c>
      <c r="I76" s="13">
        <v>3</v>
      </c>
      <c r="J76" s="13">
        <v>3</v>
      </c>
      <c r="K76" s="13">
        <v>3</v>
      </c>
      <c r="L76" s="13">
        <v>3</v>
      </c>
      <c r="M76" s="13">
        <v>4</v>
      </c>
      <c r="N76" s="13">
        <v>4</v>
      </c>
      <c r="O76" s="13">
        <v>4</v>
      </c>
      <c r="P76" s="13">
        <v>3</v>
      </c>
      <c r="Q76" s="13">
        <v>4</v>
      </c>
      <c r="R76" s="13">
        <v>4</v>
      </c>
      <c r="S76" s="13">
        <v>3</v>
      </c>
      <c r="T76" s="13">
        <v>3</v>
      </c>
      <c r="U76" s="13">
        <v>3</v>
      </c>
      <c r="V76" s="13">
        <v>3</v>
      </c>
      <c r="W76" s="13">
        <v>3</v>
      </c>
      <c r="X76" s="13">
        <v>3</v>
      </c>
      <c r="Y76" s="13">
        <v>3</v>
      </c>
      <c r="Z76" s="13">
        <v>3</v>
      </c>
      <c r="AA76" s="13">
        <v>3</v>
      </c>
      <c r="AB76" s="13">
        <v>3</v>
      </c>
      <c r="AC76" s="13">
        <v>40</v>
      </c>
      <c r="AD76" s="13">
        <v>20</v>
      </c>
      <c r="AE76" s="13">
        <v>20</v>
      </c>
      <c r="AF76" s="13">
        <v>20</v>
      </c>
      <c r="AG76" s="8">
        <f t="shared" si="11"/>
        <v>100</v>
      </c>
      <c r="AH76" s="13">
        <v>25</v>
      </c>
      <c r="AI76" s="13">
        <v>25</v>
      </c>
      <c r="AJ76" s="13">
        <v>25</v>
      </c>
      <c r="AK76" s="13">
        <v>25</v>
      </c>
      <c r="AL76" s="8">
        <f t="shared" si="0"/>
        <v>100</v>
      </c>
      <c r="AM76" s="13">
        <v>25</v>
      </c>
      <c r="AN76" s="13">
        <v>25</v>
      </c>
      <c r="AO76" s="13">
        <v>25</v>
      </c>
      <c r="AP76" s="13">
        <v>25</v>
      </c>
      <c r="AQ76" s="8">
        <f t="shared" si="1"/>
        <v>100</v>
      </c>
      <c r="AR76" s="13">
        <v>20</v>
      </c>
      <c r="AS76" s="13">
        <v>20</v>
      </c>
      <c r="AT76" s="13">
        <v>30</v>
      </c>
      <c r="AU76" s="13">
        <v>30</v>
      </c>
      <c r="AV76" s="8">
        <f t="shared" si="2"/>
        <v>100</v>
      </c>
      <c r="AW76" s="13">
        <v>25</v>
      </c>
      <c r="AX76" s="13">
        <v>25</v>
      </c>
      <c r="AY76" s="13">
        <v>25</v>
      </c>
      <c r="AZ76" s="13">
        <v>25</v>
      </c>
      <c r="BA76" s="8">
        <f t="shared" si="3"/>
        <v>100</v>
      </c>
      <c r="BB76" s="13">
        <v>25</v>
      </c>
      <c r="BC76" s="13">
        <v>25</v>
      </c>
      <c r="BD76" s="13">
        <v>25</v>
      </c>
      <c r="BE76" s="13">
        <v>25</v>
      </c>
      <c r="BF76" s="8">
        <f t="shared" si="4"/>
        <v>100</v>
      </c>
      <c r="BG76" s="13">
        <v>25</v>
      </c>
      <c r="BH76" s="13">
        <v>25</v>
      </c>
      <c r="BI76" s="13">
        <v>25</v>
      </c>
      <c r="BJ76" s="13">
        <v>25</v>
      </c>
      <c r="BK76" s="8">
        <f t="shared" si="5"/>
        <v>100</v>
      </c>
      <c r="BL76" s="13">
        <v>20</v>
      </c>
      <c r="BM76" s="13">
        <v>30</v>
      </c>
      <c r="BN76" s="13">
        <v>30</v>
      </c>
      <c r="BO76" s="13">
        <v>20</v>
      </c>
      <c r="BP76" s="8">
        <f t="shared" si="6"/>
        <v>100</v>
      </c>
      <c r="BQ76" s="13">
        <v>30</v>
      </c>
      <c r="BR76" s="13">
        <v>20</v>
      </c>
      <c r="BS76" s="13">
        <v>30</v>
      </c>
      <c r="BT76" s="13">
        <v>20</v>
      </c>
      <c r="BU76" s="8">
        <f t="shared" si="7"/>
        <v>100</v>
      </c>
      <c r="BV76" s="13">
        <v>20</v>
      </c>
      <c r="BW76" s="13">
        <v>20</v>
      </c>
      <c r="BX76" s="13">
        <v>20</v>
      </c>
      <c r="BY76" s="13">
        <v>40</v>
      </c>
      <c r="BZ76" s="8">
        <f t="shared" si="8"/>
        <v>100</v>
      </c>
      <c r="CA76" s="13">
        <v>25</v>
      </c>
      <c r="CB76" s="13">
        <v>25</v>
      </c>
      <c r="CC76" s="13">
        <v>25</v>
      </c>
      <c r="CD76" s="13">
        <v>25</v>
      </c>
      <c r="CE76" s="8">
        <f t="shared" si="9"/>
        <v>100</v>
      </c>
      <c r="CF76" s="13">
        <v>25</v>
      </c>
      <c r="CG76" s="13">
        <v>25</v>
      </c>
      <c r="CH76" s="13">
        <v>25</v>
      </c>
      <c r="CI76" s="13">
        <v>25</v>
      </c>
      <c r="CJ76" s="8">
        <f t="shared" si="10"/>
        <v>100</v>
      </c>
      <c r="CK76" s="14">
        <v>4.05</v>
      </c>
      <c r="CL76" s="19" t="s">
        <v>98</v>
      </c>
      <c r="CM76" s="14">
        <v>4.55</v>
      </c>
      <c r="CN76" s="19" t="s">
        <v>98</v>
      </c>
      <c r="CO76" s="20"/>
      <c r="CP76">
        <f>Form_Responses1[[#This Row],[Column89]]</f>
        <v>4.05</v>
      </c>
      <c r="CQ76">
        <f>IF(Form_Responses1[[#This Row],[Column94]]&gt;0,Form_Responses1[[#This Row],[Column94]],Form_Responses1[[#This Row],[Column91]])</f>
        <v>4.05</v>
      </c>
      <c r="CR76">
        <v>4.05</v>
      </c>
    </row>
    <row r="77" spans="1:96" ht="15">
      <c r="A77" s="6">
        <v>45619.332858842594</v>
      </c>
      <c r="B77" s="7">
        <v>0</v>
      </c>
      <c r="C77" s="7" t="s">
        <v>194</v>
      </c>
      <c r="D77" s="7" t="s">
        <v>93</v>
      </c>
      <c r="E77" s="7" t="s">
        <v>112</v>
      </c>
      <c r="F77" s="7" t="s">
        <v>101</v>
      </c>
      <c r="G77" s="7" t="s">
        <v>109</v>
      </c>
      <c r="H77" s="7" t="s">
        <v>102</v>
      </c>
      <c r="I77" s="7">
        <v>3</v>
      </c>
      <c r="J77" s="7">
        <v>4</v>
      </c>
      <c r="K77" s="7">
        <v>3</v>
      </c>
      <c r="L77" s="7">
        <v>3</v>
      </c>
      <c r="M77" s="7">
        <v>4</v>
      </c>
      <c r="N77" s="7">
        <v>4</v>
      </c>
      <c r="O77" s="7">
        <v>4</v>
      </c>
      <c r="P77" s="7">
        <v>4</v>
      </c>
      <c r="Q77" s="7">
        <v>4</v>
      </c>
      <c r="R77" s="7">
        <v>4</v>
      </c>
      <c r="S77" s="7">
        <v>3</v>
      </c>
      <c r="T77" s="7">
        <v>3</v>
      </c>
      <c r="U77" s="7">
        <v>3</v>
      </c>
      <c r="V77" s="7">
        <v>3</v>
      </c>
      <c r="W77" s="7">
        <v>4</v>
      </c>
      <c r="X77" s="7">
        <v>3</v>
      </c>
      <c r="Y77" s="7">
        <v>3</v>
      </c>
      <c r="Z77" s="7">
        <v>3</v>
      </c>
      <c r="AA77" s="7">
        <v>3</v>
      </c>
      <c r="AB77" s="7">
        <v>3</v>
      </c>
      <c r="AC77" s="7">
        <v>40</v>
      </c>
      <c r="AD77" s="7">
        <v>30</v>
      </c>
      <c r="AE77" s="7">
        <v>15</v>
      </c>
      <c r="AF77" s="7">
        <v>15</v>
      </c>
      <c r="AG77" s="8">
        <f t="shared" si="11"/>
        <v>100</v>
      </c>
      <c r="AH77" s="7">
        <v>25</v>
      </c>
      <c r="AI77" s="7">
        <v>25</v>
      </c>
      <c r="AJ77" s="7">
        <v>25</v>
      </c>
      <c r="AK77" s="7">
        <v>25</v>
      </c>
      <c r="AL77" s="8">
        <f t="shared" si="0"/>
        <v>100</v>
      </c>
      <c r="AM77" s="7">
        <v>40</v>
      </c>
      <c r="AN77" s="7">
        <v>20</v>
      </c>
      <c r="AO77" s="7">
        <v>20</v>
      </c>
      <c r="AP77" s="7">
        <v>20</v>
      </c>
      <c r="AQ77" s="8">
        <f t="shared" si="1"/>
        <v>100</v>
      </c>
      <c r="AR77" s="7">
        <v>25</v>
      </c>
      <c r="AS77" s="7">
        <v>25</v>
      </c>
      <c r="AT77" s="7">
        <v>25</v>
      </c>
      <c r="AU77" s="7">
        <v>25</v>
      </c>
      <c r="AV77" s="8">
        <f t="shared" si="2"/>
        <v>100</v>
      </c>
      <c r="AW77" s="7">
        <v>25</v>
      </c>
      <c r="AX77" s="7">
        <v>25</v>
      </c>
      <c r="AY77" s="7">
        <v>25</v>
      </c>
      <c r="AZ77" s="7">
        <v>25</v>
      </c>
      <c r="BA77" s="8">
        <f t="shared" si="3"/>
        <v>100</v>
      </c>
      <c r="BB77" s="7">
        <v>25</v>
      </c>
      <c r="BC77" s="7">
        <v>25</v>
      </c>
      <c r="BD77" s="7">
        <v>25</v>
      </c>
      <c r="BE77" s="7">
        <v>25</v>
      </c>
      <c r="BF77" s="8">
        <f t="shared" si="4"/>
        <v>100</v>
      </c>
      <c r="BG77" s="7">
        <v>10</v>
      </c>
      <c r="BH77" s="7">
        <v>30</v>
      </c>
      <c r="BI77" s="7">
        <v>30</v>
      </c>
      <c r="BJ77" s="7">
        <v>30</v>
      </c>
      <c r="BK77" s="8">
        <f t="shared" si="5"/>
        <v>100</v>
      </c>
      <c r="BL77" s="7">
        <v>25</v>
      </c>
      <c r="BM77" s="7">
        <v>25</v>
      </c>
      <c r="BN77" s="7">
        <v>25</v>
      </c>
      <c r="BO77" s="7">
        <v>25</v>
      </c>
      <c r="BP77" s="8">
        <f t="shared" si="6"/>
        <v>100</v>
      </c>
      <c r="BQ77" s="7">
        <v>25</v>
      </c>
      <c r="BR77" s="7">
        <v>25</v>
      </c>
      <c r="BS77" s="7">
        <v>25</v>
      </c>
      <c r="BT77" s="7">
        <v>25</v>
      </c>
      <c r="BU77" s="8">
        <f t="shared" si="7"/>
        <v>100</v>
      </c>
      <c r="BV77" s="7">
        <v>25</v>
      </c>
      <c r="BW77" s="7">
        <v>25</v>
      </c>
      <c r="BX77" s="7">
        <v>25</v>
      </c>
      <c r="BY77" s="7">
        <v>25</v>
      </c>
      <c r="BZ77" s="8">
        <f t="shared" si="8"/>
        <v>100</v>
      </c>
      <c r="CA77" s="7">
        <v>25</v>
      </c>
      <c r="CB77" s="7">
        <v>25</v>
      </c>
      <c r="CC77" s="7">
        <v>25</v>
      </c>
      <c r="CD77" s="7">
        <v>25</v>
      </c>
      <c r="CE77" s="8">
        <f t="shared" si="9"/>
        <v>100</v>
      </c>
      <c r="CF77" s="7">
        <v>25</v>
      </c>
      <c r="CG77" s="7">
        <v>25</v>
      </c>
      <c r="CH77" s="7">
        <v>25</v>
      </c>
      <c r="CI77" s="7">
        <v>25</v>
      </c>
      <c r="CJ77" s="8">
        <f t="shared" si="10"/>
        <v>100</v>
      </c>
      <c r="CK77" s="9">
        <v>4.25</v>
      </c>
      <c r="CL77" s="10" t="s">
        <v>98</v>
      </c>
      <c r="CM77" s="25"/>
      <c r="CN77" s="25"/>
      <c r="CO77" s="26"/>
      <c r="CP77">
        <f>Form_Responses1[[#This Row],[Column89]]</f>
        <v>4.25</v>
      </c>
      <c r="CQ77">
        <f>IF(Form_Responses1[[#This Row],[Column94]]&gt;0,Form_Responses1[[#This Row],[Column94]],Form_Responses1[[#This Row],[Column91]])</f>
        <v>4.25</v>
      </c>
      <c r="CR77">
        <v>4.25</v>
      </c>
    </row>
    <row r="78" spans="1:96" ht="15">
      <c r="A78" s="12">
        <v>45619.333753969906</v>
      </c>
      <c r="B78" s="13">
        <v>0</v>
      </c>
      <c r="C78" s="13" t="s">
        <v>195</v>
      </c>
      <c r="D78" s="13" t="s">
        <v>107</v>
      </c>
      <c r="E78" s="13" t="s">
        <v>112</v>
      </c>
      <c r="F78" s="13" t="s">
        <v>101</v>
      </c>
      <c r="G78" s="13" t="s">
        <v>123</v>
      </c>
      <c r="H78" s="13" t="s">
        <v>102</v>
      </c>
      <c r="I78" s="13">
        <v>4</v>
      </c>
      <c r="J78" s="13">
        <v>4</v>
      </c>
      <c r="K78" s="13">
        <v>4</v>
      </c>
      <c r="L78" s="13">
        <v>4</v>
      </c>
      <c r="M78" s="13">
        <v>4</v>
      </c>
      <c r="N78" s="13">
        <v>4</v>
      </c>
      <c r="O78" s="13">
        <v>4</v>
      </c>
      <c r="P78" s="13">
        <v>3</v>
      </c>
      <c r="Q78" s="13">
        <v>3</v>
      </c>
      <c r="R78" s="13">
        <v>4</v>
      </c>
      <c r="S78" s="13">
        <v>4</v>
      </c>
      <c r="T78" s="13">
        <v>3</v>
      </c>
      <c r="U78" s="13">
        <v>3</v>
      </c>
      <c r="V78" s="13">
        <v>4</v>
      </c>
      <c r="W78" s="13">
        <v>4</v>
      </c>
      <c r="X78" s="13">
        <v>4</v>
      </c>
      <c r="Y78" s="13">
        <v>4</v>
      </c>
      <c r="Z78" s="13">
        <v>4</v>
      </c>
      <c r="AA78" s="13">
        <v>4</v>
      </c>
      <c r="AB78" s="13">
        <v>4</v>
      </c>
      <c r="AC78" s="13">
        <v>30</v>
      </c>
      <c r="AD78" s="13">
        <v>10</v>
      </c>
      <c r="AE78" s="13">
        <v>30</v>
      </c>
      <c r="AF78" s="13">
        <v>30</v>
      </c>
      <c r="AG78" s="8">
        <f t="shared" si="11"/>
        <v>100</v>
      </c>
      <c r="AH78" s="13">
        <v>30</v>
      </c>
      <c r="AI78" s="13">
        <v>10</v>
      </c>
      <c r="AJ78" s="13">
        <v>30</v>
      </c>
      <c r="AK78" s="13">
        <v>30</v>
      </c>
      <c r="AL78" s="8">
        <f t="shared" si="0"/>
        <v>100</v>
      </c>
      <c r="AM78" s="13">
        <v>35</v>
      </c>
      <c r="AN78" s="13">
        <v>15</v>
      </c>
      <c r="AO78" s="13">
        <v>15</v>
      </c>
      <c r="AP78" s="13">
        <v>35</v>
      </c>
      <c r="AQ78" s="8">
        <f t="shared" si="1"/>
        <v>100</v>
      </c>
      <c r="AR78" s="13">
        <v>30</v>
      </c>
      <c r="AS78" s="13">
        <v>20</v>
      </c>
      <c r="AT78" s="13">
        <v>20</v>
      </c>
      <c r="AU78" s="13">
        <v>30</v>
      </c>
      <c r="AV78" s="8">
        <f t="shared" si="2"/>
        <v>100</v>
      </c>
      <c r="AW78" s="13">
        <v>20</v>
      </c>
      <c r="AX78" s="13">
        <v>20</v>
      </c>
      <c r="AY78" s="13">
        <v>30</v>
      </c>
      <c r="AZ78" s="13">
        <v>30</v>
      </c>
      <c r="BA78" s="8">
        <f t="shared" si="3"/>
        <v>100</v>
      </c>
      <c r="BB78" s="13">
        <v>20</v>
      </c>
      <c r="BC78" s="13">
        <v>20</v>
      </c>
      <c r="BD78" s="13">
        <v>30</v>
      </c>
      <c r="BE78" s="13">
        <v>30</v>
      </c>
      <c r="BF78" s="8">
        <f t="shared" si="4"/>
        <v>100</v>
      </c>
      <c r="BG78" s="13">
        <v>30</v>
      </c>
      <c r="BH78" s="13">
        <v>30</v>
      </c>
      <c r="BI78" s="13">
        <v>10</v>
      </c>
      <c r="BJ78" s="13">
        <v>30</v>
      </c>
      <c r="BK78" s="8">
        <f t="shared" si="5"/>
        <v>100</v>
      </c>
      <c r="BL78" s="13">
        <v>30</v>
      </c>
      <c r="BM78" s="13">
        <v>10</v>
      </c>
      <c r="BN78" s="13">
        <v>30</v>
      </c>
      <c r="BO78" s="13">
        <v>30</v>
      </c>
      <c r="BP78" s="8">
        <f t="shared" si="6"/>
        <v>100</v>
      </c>
      <c r="BQ78" s="13">
        <v>30</v>
      </c>
      <c r="BR78" s="13">
        <v>30</v>
      </c>
      <c r="BS78" s="13">
        <v>20</v>
      </c>
      <c r="BT78" s="13">
        <v>20</v>
      </c>
      <c r="BU78" s="8">
        <f t="shared" si="7"/>
        <v>100</v>
      </c>
      <c r="BV78" s="13">
        <v>30</v>
      </c>
      <c r="BW78" s="13">
        <v>30</v>
      </c>
      <c r="BX78" s="13">
        <v>20</v>
      </c>
      <c r="BY78" s="13">
        <v>20</v>
      </c>
      <c r="BZ78" s="8">
        <f t="shared" si="8"/>
        <v>100</v>
      </c>
      <c r="CA78" s="13">
        <v>40</v>
      </c>
      <c r="CB78" s="13">
        <v>20</v>
      </c>
      <c r="CC78" s="13">
        <v>20</v>
      </c>
      <c r="CD78" s="13">
        <v>20</v>
      </c>
      <c r="CE78" s="8">
        <f t="shared" si="9"/>
        <v>100</v>
      </c>
      <c r="CF78" s="13">
        <v>40</v>
      </c>
      <c r="CG78" s="13">
        <v>20</v>
      </c>
      <c r="CH78" s="13">
        <v>20</v>
      </c>
      <c r="CI78" s="13">
        <v>20</v>
      </c>
      <c r="CJ78" s="8">
        <f t="shared" si="10"/>
        <v>100</v>
      </c>
      <c r="CK78" s="14">
        <v>4.25</v>
      </c>
      <c r="CL78" s="19" t="s">
        <v>98</v>
      </c>
      <c r="CM78" s="23"/>
      <c r="CN78" s="23"/>
      <c r="CO78" s="24"/>
      <c r="CP78">
        <f>Form_Responses1[[#This Row],[Column89]]</f>
        <v>4.25</v>
      </c>
      <c r="CQ78">
        <f>IF(Form_Responses1[[#This Row],[Column94]]&gt;0,Form_Responses1[[#This Row],[Column94]],Form_Responses1[[#This Row],[Column91]])</f>
        <v>4.25</v>
      </c>
      <c r="CR78">
        <v>4.25</v>
      </c>
    </row>
    <row r="79" spans="1:96" ht="15">
      <c r="A79" s="6">
        <v>45619.334646192132</v>
      </c>
      <c r="B79" s="7">
        <v>0</v>
      </c>
      <c r="C79" s="7" t="s">
        <v>196</v>
      </c>
      <c r="D79" s="7" t="s">
        <v>93</v>
      </c>
      <c r="E79" s="7" t="s">
        <v>94</v>
      </c>
      <c r="F79" s="7" t="s">
        <v>130</v>
      </c>
      <c r="G79" s="7" t="s">
        <v>96</v>
      </c>
      <c r="H79" s="7" t="s">
        <v>102</v>
      </c>
      <c r="I79" s="7">
        <v>3</v>
      </c>
      <c r="J79" s="7">
        <v>3</v>
      </c>
      <c r="K79" s="7">
        <v>3</v>
      </c>
      <c r="L79" s="7">
        <v>4</v>
      </c>
      <c r="M79" s="7">
        <v>4</v>
      </c>
      <c r="N79" s="7">
        <v>3</v>
      </c>
      <c r="O79" s="7">
        <v>3</v>
      </c>
      <c r="P79" s="7">
        <v>3</v>
      </c>
      <c r="Q79" s="7">
        <v>3</v>
      </c>
      <c r="R79" s="7">
        <v>3</v>
      </c>
      <c r="S79" s="7">
        <v>3</v>
      </c>
      <c r="T79" s="7">
        <v>3</v>
      </c>
      <c r="U79" s="7">
        <v>3</v>
      </c>
      <c r="V79" s="7">
        <v>3</v>
      </c>
      <c r="W79" s="7">
        <v>3</v>
      </c>
      <c r="X79" s="7">
        <v>3</v>
      </c>
      <c r="Y79" s="7">
        <v>3</v>
      </c>
      <c r="Z79" s="7">
        <v>3</v>
      </c>
      <c r="AA79" s="7">
        <v>3</v>
      </c>
      <c r="AB79" s="7">
        <v>3</v>
      </c>
      <c r="AC79" s="7">
        <v>30</v>
      </c>
      <c r="AD79" s="7">
        <v>30</v>
      </c>
      <c r="AE79" s="7">
        <v>20</v>
      </c>
      <c r="AF79" s="7">
        <v>20</v>
      </c>
      <c r="AG79" s="8">
        <f t="shared" si="11"/>
        <v>100</v>
      </c>
      <c r="AH79" s="7">
        <v>30</v>
      </c>
      <c r="AI79" s="7">
        <v>20</v>
      </c>
      <c r="AJ79" s="7">
        <v>30</v>
      </c>
      <c r="AK79" s="7">
        <v>20</v>
      </c>
      <c r="AL79" s="8">
        <f t="shared" si="0"/>
        <v>100</v>
      </c>
      <c r="AM79" s="7">
        <v>30</v>
      </c>
      <c r="AN79" s="7">
        <v>20</v>
      </c>
      <c r="AO79" s="7">
        <v>30</v>
      </c>
      <c r="AP79" s="7">
        <v>20</v>
      </c>
      <c r="AQ79" s="8">
        <f t="shared" si="1"/>
        <v>100</v>
      </c>
      <c r="AR79" s="7">
        <v>30</v>
      </c>
      <c r="AS79" s="7">
        <v>30</v>
      </c>
      <c r="AT79" s="7">
        <v>20</v>
      </c>
      <c r="AU79" s="7">
        <v>20</v>
      </c>
      <c r="AV79" s="8">
        <f t="shared" si="2"/>
        <v>100</v>
      </c>
      <c r="AW79" s="7">
        <v>20</v>
      </c>
      <c r="AX79" s="7">
        <v>30</v>
      </c>
      <c r="AY79" s="7">
        <v>30</v>
      </c>
      <c r="AZ79" s="7">
        <v>20</v>
      </c>
      <c r="BA79" s="8">
        <f t="shared" si="3"/>
        <v>100</v>
      </c>
      <c r="BB79" s="7">
        <v>20</v>
      </c>
      <c r="BC79" s="7">
        <v>30</v>
      </c>
      <c r="BD79" s="7">
        <v>30</v>
      </c>
      <c r="BE79" s="7">
        <v>20</v>
      </c>
      <c r="BF79" s="8">
        <f t="shared" si="4"/>
        <v>100</v>
      </c>
      <c r="BG79" s="7">
        <v>30</v>
      </c>
      <c r="BH79" s="7">
        <v>20</v>
      </c>
      <c r="BI79" s="7">
        <v>20</v>
      </c>
      <c r="BJ79" s="7">
        <v>30</v>
      </c>
      <c r="BK79" s="8">
        <f t="shared" si="5"/>
        <v>100</v>
      </c>
      <c r="BL79" s="7">
        <v>30</v>
      </c>
      <c r="BM79" s="7">
        <v>20</v>
      </c>
      <c r="BN79" s="7">
        <v>20</v>
      </c>
      <c r="BO79" s="7">
        <v>30</v>
      </c>
      <c r="BP79" s="8">
        <f t="shared" si="6"/>
        <v>100</v>
      </c>
      <c r="BQ79" s="7">
        <v>30</v>
      </c>
      <c r="BR79" s="7">
        <v>30</v>
      </c>
      <c r="BS79" s="7">
        <v>20</v>
      </c>
      <c r="BT79" s="7">
        <v>20</v>
      </c>
      <c r="BU79" s="8">
        <f t="shared" si="7"/>
        <v>100</v>
      </c>
      <c r="BV79" s="7">
        <v>30</v>
      </c>
      <c r="BW79" s="7">
        <v>20</v>
      </c>
      <c r="BX79" s="7">
        <v>30</v>
      </c>
      <c r="BY79" s="7">
        <v>20</v>
      </c>
      <c r="BZ79" s="8">
        <f t="shared" si="8"/>
        <v>100</v>
      </c>
      <c r="CA79" s="7">
        <v>30</v>
      </c>
      <c r="CB79" s="7">
        <v>20</v>
      </c>
      <c r="CC79" s="7">
        <v>30</v>
      </c>
      <c r="CD79" s="7">
        <v>20</v>
      </c>
      <c r="CE79" s="8">
        <f t="shared" si="9"/>
        <v>100</v>
      </c>
      <c r="CF79" s="7">
        <v>30</v>
      </c>
      <c r="CG79" s="7">
        <v>20</v>
      </c>
      <c r="CH79" s="7">
        <v>30</v>
      </c>
      <c r="CI79" s="7">
        <v>20</v>
      </c>
      <c r="CJ79" s="8">
        <f t="shared" si="10"/>
        <v>100</v>
      </c>
      <c r="CK79" s="9">
        <v>4.0599999999999996</v>
      </c>
      <c r="CL79" s="9" t="s">
        <v>98</v>
      </c>
      <c r="CM79" s="25" t="s">
        <v>197</v>
      </c>
      <c r="CN79" s="25"/>
      <c r="CO79" s="26"/>
      <c r="CP79">
        <f>Form_Responses1[[#This Row],[Column89]]</f>
        <v>4.0599999999999996</v>
      </c>
      <c r="CQ79">
        <f>IF(Form_Responses1[[#This Row],[Column94]]&gt;0,Form_Responses1[[#This Row],[Column94]],Form_Responses1[[#This Row],[Column91]])</f>
        <v>4.0599999999999996</v>
      </c>
      <c r="CR79">
        <v>4.0599999999999996</v>
      </c>
    </row>
    <row r="80" spans="1:96" ht="15">
      <c r="A80" s="12">
        <v>45619.350539074076</v>
      </c>
      <c r="B80" s="13">
        <v>0</v>
      </c>
      <c r="C80" s="13" t="s">
        <v>198</v>
      </c>
      <c r="D80" s="13" t="s">
        <v>93</v>
      </c>
      <c r="E80" s="13" t="s">
        <v>112</v>
      </c>
      <c r="F80" s="13" t="s">
        <v>95</v>
      </c>
      <c r="G80" s="13" t="s">
        <v>123</v>
      </c>
      <c r="H80" s="13" t="s">
        <v>102</v>
      </c>
      <c r="I80" s="13">
        <v>2</v>
      </c>
      <c r="J80" s="13">
        <v>3</v>
      </c>
      <c r="K80" s="13">
        <v>2</v>
      </c>
      <c r="L80" s="13">
        <v>3</v>
      </c>
      <c r="M80" s="13">
        <v>3</v>
      </c>
      <c r="N80" s="13">
        <v>3</v>
      </c>
      <c r="O80" s="13">
        <v>3</v>
      </c>
      <c r="P80" s="13">
        <v>3</v>
      </c>
      <c r="Q80" s="13">
        <v>3</v>
      </c>
      <c r="R80" s="13">
        <v>3</v>
      </c>
      <c r="S80" s="13">
        <v>2</v>
      </c>
      <c r="T80" s="13">
        <v>2</v>
      </c>
      <c r="U80" s="13">
        <v>3</v>
      </c>
      <c r="V80" s="13">
        <v>2</v>
      </c>
      <c r="W80" s="13">
        <v>3</v>
      </c>
      <c r="X80" s="13">
        <v>2</v>
      </c>
      <c r="Y80" s="13">
        <v>3</v>
      </c>
      <c r="Z80" s="13">
        <v>3</v>
      </c>
      <c r="AA80" s="13">
        <v>3</v>
      </c>
      <c r="AB80" s="13">
        <v>2</v>
      </c>
      <c r="AC80" s="13">
        <v>10</v>
      </c>
      <c r="AD80" s="13">
        <v>30</v>
      </c>
      <c r="AE80" s="13">
        <v>30</v>
      </c>
      <c r="AF80" s="13">
        <v>30</v>
      </c>
      <c r="AG80" s="8">
        <f t="shared" si="11"/>
        <v>100</v>
      </c>
      <c r="AH80" s="13">
        <v>25</v>
      </c>
      <c r="AI80" s="13">
        <v>25</v>
      </c>
      <c r="AJ80" s="13">
        <v>25</v>
      </c>
      <c r="AK80" s="13">
        <v>25</v>
      </c>
      <c r="AL80" s="8">
        <f t="shared" si="0"/>
        <v>100</v>
      </c>
      <c r="AM80" s="13">
        <v>25</v>
      </c>
      <c r="AN80" s="13">
        <v>25</v>
      </c>
      <c r="AO80" s="13">
        <v>25</v>
      </c>
      <c r="AP80" s="13">
        <v>25</v>
      </c>
      <c r="AQ80" s="8">
        <f t="shared" si="1"/>
        <v>100</v>
      </c>
      <c r="AR80" s="13">
        <v>25</v>
      </c>
      <c r="AS80" s="13">
        <v>25</v>
      </c>
      <c r="AT80" s="13">
        <v>25</v>
      </c>
      <c r="AU80" s="13">
        <v>25</v>
      </c>
      <c r="AV80" s="8">
        <f t="shared" si="2"/>
        <v>100</v>
      </c>
      <c r="AW80" s="13">
        <v>25</v>
      </c>
      <c r="AX80" s="13">
        <v>25</v>
      </c>
      <c r="AY80" s="13">
        <v>25</v>
      </c>
      <c r="AZ80" s="13">
        <v>25</v>
      </c>
      <c r="BA80" s="8">
        <f t="shared" si="3"/>
        <v>100</v>
      </c>
      <c r="BB80" s="13">
        <v>25</v>
      </c>
      <c r="BC80" s="13">
        <v>25</v>
      </c>
      <c r="BD80" s="13">
        <v>25</v>
      </c>
      <c r="BE80" s="13">
        <v>25</v>
      </c>
      <c r="BF80" s="8">
        <f t="shared" si="4"/>
        <v>100</v>
      </c>
      <c r="BG80" s="13">
        <v>25</v>
      </c>
      <c r="BH80" s="13">
        <v>25</v>
      </c>
      <c r="BI80" s="13">
        <v>25</v>
      </c>
      <c r="BJ80" s="13">
        <v>25</v>
      </c>
      <c r="BK80" s="8">
        <f t="shared" si="5"/>
        <v>100</v>
      </c>
      <c r="BL80" s="13">
        <v>25</v>
      </c>
      <c r="BM80" s="13">
        <v>25</v>
      </c>
      <c r="BN80" s="13">
        <v>25</v>
      </c>
      <c r="BO80" s="13">
        <v>25</v>
      </c>
      <c r="BP80" s="8">
        <f t="shared" si="6"/>
        <v>100</v>
      </c>
      <c r="BQ80" s="13">
        <v>25</v>
      </c>
      <c r="BR80" s="13">
        <v>25</v>
      </c>
      <c r="BS80" s="13">
        <v>25</v>
      </c>
      <c r="BT80" s="13">
        <v>25</v>
      </c>
      <c r="BU80" s="8">
        <f t="shared" si="7"/>
        <v>100</v>
      </c>
      <c r="BV80" s="13">
        <v>25</v>
      </c>
      <c r="BW80" s="13">
        <v>25</v>
      </c>
      <c r="BX80" s="13">
        <v>25</v>
      </c>
      <c r="BY80" s="13">
        <v>25</v>
      </c>
      <c r="BZ80" s="8">
        <f t="shared" si="8"/>
        <v>100</v>
      </c>
      <c r="CA80" s="13">
        <v>25</v>
      </c>
      <c r="CB80" s="13">
        <v>25</v>
      </c>
      <c r="CC80" s="13">
        <v>25</v>
      </c>
      <c r="CD80" s="13">
        <v>25</v>
      </c>
      <c r="CE80" s="8">
        <f t="shared" si="9"/>
        <v>100</v>
      </c>
      <c r="CF80" s="13">
        <v>25</v>
      </c>
      <c r="CG80" s="13">
        <v>25</v>
      </c>
      <c r="CH80" s="13">
        <v>25</v>
      </c>
      <c r="CI80" s="13">
        <v>25</v>
      </c>
      <c r="CJ80" s="8">
        <f t="shared" si="10"/>
        <v>100</v>
      </c>
      <c r="CK80" s="14">
        <v>3.94</v>
      </c>
      <c r="CL80" s="14" t="s">
        <v>117</v>
      </c>
      <c r="CM80" s="14">
        <v>4.3499999999999996</v>
      </c>
      <c r="CN80" s="19" t="s">
        <v>98</v>
      </c>
      <c r="CO80" s="20"/>
      <c r="CP80">
        <f>Form_Responses1[[#This Row],[Column89]]</f>
        <v>3.94</v>
      </c>
      <c r="CQ80">
        <f>IF(Form_Responses1[[#This Row],[Column94]]&gt;0,Form_Responses1[[#This Row],[Column94]],Form_Responses1[[#This Row],[Column91]])</f>
        <v>3.94</v>
      </c>
      <c r="CR80">
        <v>3.94</v>
      </c>
    </row>
    <row r="81" spans="1:96" ht="15">
      <c r="A81" s="6">
        <v>45619.403712847226</v>
      </c>
      <c r="B81" s="7">
        <v>0</v>
      </c>
      <c r="C81" s="7" t="s">
        <v>199</v>
      </c>
      <c r="D81" s="7" t="s">
        <v>93</v>
      </c>
      <c r="E81" s="7" t="s">
        <v>112</v>
      </c>
      <c r="F81" s="7" t="s">
        <v>95</v>
      </c>
      <c r="G81" s="7" t="s">
        <v>123</v>
      </c>
      <c r="H81" s="7" t="s">
        <v>102</v>
      </c>
      <c r="I81" s="7">
        <v>1</v>
      </c>
      <c r="J81" s="7">
        <v>1</v>
      </c>
      <c r="K81" s="7">
        <v>2</v>
      </c>
      <c r="L81" s="7">
        <v>1</v>
      </c>
      <c r="M81" s="7">
        <v>1</v>
      </c>
      <c r="N81" s="7">
        <v>1</v>
      </c>
      <c r="O81" s="7">
        <v>1</v>
      </c>
      <c r="P81" s="7">
        <v>2</v>
      </c>
      <c r="Q81" s="7">
        <v>2</v>
      </c>
      <c r="R81" s="7">
        <v>2</v>
      </c>
      <c r="S81" s="7">
        <v>1</v>
      </c>
      <c r="T81" s="7">
        <v>1</v>
      </c>
      <c r="U81" s="7">
        <v>1</v>
      </c>
      <c r="V81" s="7">
        <v>1</v>
      </c>
      <c r="W81" s="7">
        <v>2</v>
      </c>
      <c r="X81" s="7">
        <v>1</v>
      </c>
      <c r="Y81" s="7">
        <v>2</v>
      </c>
      <c r="Z81" s="7">
        <v>2</v>
      </c>
      <c r="AA81" s="7">
        <v>2</v>
      </c>
      <c r="AB81" s="7">
        <v>1</v>
      </c>
      <c r="AC81" s="7">
        <v>40</v>
      </c>
      <c r="AD81" s="7">
        <v>20</v>
      </c>
      <c r="AE81" s="7">
        <v>20</v>
      </c>
      <c r="AF81" s="7">
        <v>20</v>
      </c>
      <c r="AG81" s="8">
        <f t="shared" si="11"/>
        <v>100</v>
      </c>
      <c r="AH81" s="7">
        <v>40</v>
      </c>
      <c r="AI81" s="7">
        <v>30</v>
      </c>
      <c r="AJ81" s="7">
        <v>20</v>
      </c>
      <c r="AK81" s="7">
        <v>10</v>
      </c>
      <c r="AL81" s="8">
        <f t="shared" si="0"/>
        <v>100</v>
      </c>
      <c r="AM81" s="7">
        <v>40</v>
      </c>
      <c r="AN81" s="7">
        <v>20</v>
      </c>
      <c r="AO81" s="7">
        <v>20</v>
      </c>
      <c r="AP81" s="7">
        <v>20</v>
      </c>
      <c r="AQ81" s="8">
        <f t="shared" si="1"/>
        <v>100</v>
      </c>
      <c r="AR81" s="7">
        <v>30</v>
      </c>
      <c r="AS81" s="7">
        <v>30</v>
      </c>
      <c r="AT81" s="7">
        <v>20</v>
      </c>
      <c r="AU81" s="7">
        <v>20</v>
      </c>
      <c r="AV81" s="8">
        <f t="shared" si="2"/>
        <v>100</v>
      </c>
      <c r="AW81" s="7">
        <v>20</v>
      </c>
      <c r="AX81" s="7">
        <v>20</v>
      </c>
      <c r="AY81" s="7">
        <v>20</v>
      </c>
      <c r="AZ81" s="7">
        <v>40</v>
      </c>
      <c r="BA81" s="8">
        <f t="shared" si="3"/>
        <v>100</v>
      </c>
      <c r="BB81" s="7">
        <v>20</v>
      </c>
      <c r="BC81" s="7">
        <v>20</v>
      </c>
      <c r="BD81" s="7">
        <v>20</v>
      </c>
      <c r="BE81" s="7">
        <v>40</v>
      </c>
      <c r="BF81" s="8">
        <f t="shared" si="4"/>
        <v>100</v>
      </c>
      <c r="BG81" s="7">
        <v>35</v>
      </c>
      <c r="BH81" s="7">
        <v>25</v>
      </c>
      <c r="BI81" s="7">
        <v>25</v>
      </c>
      <c r="BJ81" s="7">
        <v>15</v>
      </c>
      <c r="BK81" s="8">
        <f t="shared" si="5"/>
        <v>100</v>
      </c>
      <c r="BL81" s="7">
        <v>30</v>
      </c>
      <c r="BM81" s="7">
        <v>30</v>
      </c>
      <c r="BN81" s="7">
        <v>20</v>
      </c>
      <c r="BO81" s="7">
        <v>20</v>
      </c>
      <c r="BP81" s="8">
        <f t="shared" si="6"/>
        <v>100</v>
      </c>
      <c r="BQ81" s="7">
        <v>20</v>
      </c>
      <c r="BR81" s="7">
        <v>40</v>
      </c>
      <c r="BS81" s="7">
        <v>20</v>
      </c>
      <c r="BT81" s="7">
        <v>20</v>
      </c>
      <c r="BU81" s="8">
        <f t="shared" si="7"/>
        <v>100</v>
      </c>
      <c r="BV81" s="7">
        <v>20</v>
      </c>
      <c r="BW81" s="7">
        <v>40</v>
      </c>
      <c r="BX81" s="7">
        <v>20</v>
      </c>
      <c r="BY81" s="7">
        <v>20</v>
      </c>
      <c r="BZ81" s="8">
        <f t="shared" si="8"/>
        <v>100</v>
      </c>
      <c r="CA81" s="7">
        <v>40</v>
      </c>
      <c r="CB81" s="7">
        <v>30</v>
      </c>
      <c r="CC81" s="7">
        <v>20</v>
      </c>
      <c r="CD81" s="7">
        <v>10</v>
      </c>
      <c r="CE81" s="8">
        <f t="shared" si="9"/>
        <v>100</v>
      </c>
      <c r="CF81" s="7">
        <v>30</v>
      </c>
      <c r="CG81" s="7">
        <v>20</v>
      </c>
      <c r="CH81" s="7">
        <v>40</v>
      </c>
      <c r="CI81" s="7">
        <v>10</v>
      </c>
      <c r="CJ81" s="8">
        <f t="shared" si="10"/>
        <v>100</v>
      </c>
      <c r="CK81" s="9">
        <v>3.74</v>
      </c>
      <c r="CL81" s="9" t="s">
        <v>117</v>
      </c>
      <c r="CM81" s="16">
        <v>4.12</v>
      </c>
      <c r="CN81" s="16" t="s">
        <v>98</v>
      </c>
      <c r="CO81" s="17"/>
      <c r="CP81">
        <f>Form_Responses1[[#This Row],[Column89]]</f>
        <v>3.74</v>
      </c>
      <c r="CQ81">
        <f>IF(Form_Responses1[[#This Row],[Column94]]&gt;0,Form_Responses1[[#This Row],[Column94]],Form_Responses1[[#This Row],[Column91]])</f>
        <v>3.74</v>
      </c>
      <c r="CR81">
        <v>3.74</v>
      </c>
    </row>
    <row r="82" spans="1:96" ht="15">
      <c r="A82" s="12">
        <v>45619.428370081019</v>
      </c>
      <c r="B82" s="13">
        <v>0</v>
      </c>
      <c r="C82" s="13" t="s">
        <v>200</v>
      </c>
      <c r="D82" s="13" t="s">
        <v>93</v>
      </c>
      <c r="E82" s="13" t="s">
        <v>94</v>
      </c>
      <c r="F82" s="13" t="s">
        <v>95</v>
      </c>
      <c r="G82" s="13" t="s">
        <v>96</v>
      </c>
      <c r="H82" s="13" t="s">
        <v>102</v>
      </c>
      <c r="I82" s="13">
        <v>4</v>
      </c>
      <c r="J82" s="13">
        <v>4</v>
      </c>
      <c r="K82" s="13">
        <v>3</v>
      </c>
      <c r="L82" s="13">
        <v>4</v>
      </c>
      <c r="M82" s="13">
        <v>3</v>
      </c>
      <c r="N82" s="13">
        <v>4</v>
      </c>
      <c r="O82" s="13">
        <v>4</v>
      </c>
      <c r="P82" s="13">
        <v>4</v>
      </c>
      <c r="Q82" s="13">
        <v>4</v>
      </c>
      <c r="R82" s="13">
        <v>4</v>
      </c>
      <c r="S82" s="13">
        <v>3</v>
      </c>
      <c r="T82" s="13">
        <v>4</v>
      </c>
      <c r="U82" s="13">
        <v>3</v>
      </c>
      <c r="V82" s="13">
        <v>4</v>
      </c>
      <c r="W82" s="13">
        <v>4</v>
      </c>
      <c r="X82" s="13">
        <v>3</v>
      </c>
      <c r="Y82" s="13">
        <v>4</v>
      </c>
      <c r="Z82" s="13">
        <v>3</v>
      </c>
      <c r="AA82" s="13">
        <v>4</v>
      </c>
      <c r="AB82" s="13">
        <v>4</v>
      </c>
      <c r="AC82" s="13">
        <v>30</v>
      </c>
      <c r="AD82" s="13">
        <v>20</v>
      </c>
      <c r="AE82" s="13">
        <v>20</v>
      </c>
      <c r="AF82" s="13">
        <v>30</v>
      </c>
      <c r="AG82" s="8">
        <f t="shared" si="11"/>
        <v>100</v>
      </c>
      <c r="AH82" s="13">
        <v>20</v>
      </c>
      <c r="AI82" s="13">
        <v>20</v>
      </c>
      <c r="AJ82" s="13">
        <v>30</v>
      </c>
      <c r="AK82" s="13">
        <v>30</v>
      </c>
      <c r="AL82" s="8">
        <f t="shared" si="0"/>
        <v>100</v>
      </c>
      <c r="AM82" s="13">
        <v>30</v>
      </c>
      <c r="AN82" s="13">
        <v>30</v>
      </c>
      <c r="AO82" s="13">
        <v>10</v>
      </c>
      <c r="AP82" s="13">
        <v>30</v>
      </c>
      <c r="AQ82" s="8">
        <f t="shared" si="1"/>
        <v>100</v>
      </c>
      <c r="AR82" s="13">
        <v>20</v>
      </c>
      <c r="AS82" s="13">
        <v>20</v>
      </c>
      <c r="AT82" s="13">
        <v>40</v>
      </c>
      <c r="AU82" s="13">
        <v>20</v>
      </c>
      <c r="AV82" s="8">
        <f t="shared" si="2"/>
        <v>100</v>
      </c>
      <c r="AW82" s="13">
        <v>20</v>
      </c>
      <c r="AX82" s="13">
        <v>30</v>
      </c>
      <c r="AY82" s="13">
        <v>20</v>
      </c>
      <c r="AZ82" s="13">
        <v>30</v>
      </c>
      <c r="BA82" s="8">
        <f t="shared" si="3"/>
        <v>100</v>
      </c>
      <c r="BB82" s="13">
        <v>20</v>
      </c>
      <c r="BC82" s="13">
        <v>20</v>
      </c>
      <c r="BD82" s="13">
        <v>30</v>
      </c>
      <c r="BE82" s="13">
        <v>30</v>
      </c>
      <c r="BF82" s="8">
        <f t="shared" si="4"/>
        <v>100</v>
      </c>
      <c r="BG82" s="13">
        <v>30</v>
      </c>
      <c r="BH82" s="13">
        <v>30</v>
      </c>
      <c r="BI82" s="13">
        <v>20</v>
      </c>
      <c r="BJ82" s="13">
        <v>20</v>
      </c>
      <c r="BK82" s="8">
        <f t="shared" si="5"/>
        <v>100</v>
      </c>
      <c r="BL82" s="13">
        <v>30</v>
      </c>
      <c r="BM82" s="13">
        <v>30</v>
      </c>
      <c r="BN82" s="13">
        <v>20</v>
      </c>
      <c r="BO82" s="13">
        <v>20</v>
      </c>
      <c r="BP82" s="8">
        <f t="shared" si="6"/>
        <v>100</v>
      </c>
      <c r="BQ82" s="13">
        <v>30</v>
      </c>
      <c r="BR82" s="13">
        <v>20</v>
      </c>
      <c r="BS82" s="13">
        <v>30</v>
      </c>
      <c r="BT82" s="13">
        <v>20</v>
      </c>
      <c r="BU82" s="8">
        <f t="shared" si="7"/>
        <v>100</v>
      </c>
      <c r="BV82" s="13">
        <v>20</v>
      </c>
      <c r="BW82" s="13">
        <v>20</v>
      </c>
      <c r="BX82" s="13">
        <v>30</v>
      </c>
      <c r="BY82" s="13">
        <v>30</v>
      </c>
      <c r="BZ82" s="8">
        <f t="shared" si="8"/>
        <v>100</v>
      </c>
      <c r="CA82" s="13">
        <v>40</v>
      </c>
      <c r="CB82" s="13">
        <v>20</v>
      </c>
      <c r="CC82" s="13">
        <v>20</v>
      </c>
      <c r="CD82" s="13">
        <v>20</v>
      </c>
      <c r="CE82" s="8">
        <f t="shared" si="9"/>
        <v>100</v>
      </c>
      <c r="CF82" s="13">
        <v>30</v>
      </c>
      <c r="CG82" s="13">
        <v>20</v>
      </c>
      <c r="CH82" s="13">
        <v>20</v>
      </c>
      <c r="CI82" s="13">
        <v>30</v>
      </c>
      <c r="CJ82" s="8">
        <f t="shared" si="10"/>
        <v>100</v>
      </c>
      <c r="CK82" s="14">
        <v>4.6500000000000004</v>
      </c>
      <c r="CL82" s="19" t="s">
        <v>98</v>
      </c>
      <c r="CM82" s="23"/>
      <c r="CN82" s="23"/>
      <c r="CO82" s="24"/>
      <c r="CP82">
        <f>Form_Responses1[[#This Row],[Column89]]</f>
        <v>4.6500000000000004</v>
      </c>
      <c r="CQ82">
        <f>IF(Form_Responses1[[#This Row],[Column94]]&gt;0,Form_Responses1[[#This Row],[Column94]],Form_Responses1[[#This Row],[Column91]])</f>
        <v>4.6500000000000004</v>
      </c>
      <c r="CR82">
        <v>4.6500000000000004</v>
      </c>
    </row>
    <row r="83" spans="1:96" ht="15">
      <c r="A83" s="6">
        <v>45619.478430428237</v>
      </c>
      <c r="B83" s="7">
        <v>0</v>
      </c>
      <c r="C83" s="7" t="s">
        <v>201</v>
      </c>
      <c r="D83" s="7" t="s">
        <v>93</v>
      </c>
      <c r="E83" s="7" t="s">
        <v>100</v>
      </c>
      <c r="F83" s="7" t="s">
        <v>95</v>
      </c>
      <c r="G83" s="7" t="s">
        <v>123</v>
      </c>
      <c r="H83" s="7" t="s">
        <v>104</v>
      </c>
      <c r="I83" s="7">
        <v>4</v>
      </c>
      <c r="J83" s="7">
        <v>4</v>
      </c>
      <c r="K83" s="7">
        <v>3</v>
      </c>
      <c r="L83" s="7">
        <v>3</v>
      </c>
      <c r="M83" s="7">
        <v>4</v>
      </c>
      <c r="N83" s="7">
        <v>4</v>
      </c>
      <c r="O83" s="7">
        <v>4</v>
      </c>
      <c r="P83" s="7">
        <v>4</v>
      </c>
      <c r="Q83" s="7">
        <v>4</v>
      </c>
      <c r="R83" s="7">
        <v>3</v>
      </c>
      <c r="S83" s="7">
        <v>4</v>
      </c>
      <c r="T83" s="7">
        <v>4</v>
      </c>
      <c r="U83" s="7">
        <v>4</v>
      </c>
      <c r="V83" s="7">
        <v>5</v>
      </c>
      <c r="W83" s="7">
        <v>4</v>
      </c>
      <c r="X83" s="7">
        <v>4</v>
      </c>
      <c r="Y83" s="7">
        <v>4</v>
      </c>
      <c r="Z83" s="7">
        <v>2</v>
      </c>
      <c r="AA83" s="7">
        <v>4</v>
      </c>
      <c r="AB83" s="7">
        <v>3</v>
      </c>
      <c r="AC83" s="7">
        <v>40</v>
      </c>
      <c r="AD83" s="7">
        <v>30</v>
      </c>
      <c r="AE83" s="7">
        <v>10</v>
      </c>
      <c r="AF83" s="7">
        <v>20</v>
      </c>
      <c r="AG83" s="8">
        <f t="shared" si="11"/>
        <v>100</v>
      </c>
      <c r="AH83" s="7">
        <v>20</v>
      </c>
      <c r="AI83" s="7">
        <v>10</v>
      </c>
      <c r="AJ83" s="7">
        <v>35</v>
      </c>
      <c r="AK83" s="7">
        <v>35</v>
      </c>
      <c r="AL83" s="8">
        <f t="shared" si="0"/>
        <v>100</v>
      </c>
      <c r="AM83" s="7">
        <v>40</v>
      </c>
      <c r="AN83" s="7">
        <v>15</v>
      </c>
      <c r="AO83" s="7">
        <v>15</v>
      </c>
      <c r="AP83" s="7">
        <v>30</v>
      </c>
      <c r="AQ83" s="8">
        <f t="shared" si="1"/>
        <v>100</v>
      </c>
      <c r="AR83" s="7">
        <v>35</v>
      </c>
      <c r="AS83" s="7">
        <v>20</v>
      </c>
      <c r="AT83" s="7">
        <v>35</v>
      </c>
      <c r="AU83" s="7">
        <v>10</v>
      </c>
      <c r="AV83" s="8">
        <f t="shared" si="2"/>
        <v>100</v>
      </c>
      <c r="AW83" s="7">
        <v>20</v>
      </c>
      <c r="AX83" s="7">
        <v>20</v>
      </c>
      <c r="AY83" s="7">
        <v>10</v>
      </c>
      <c r="AZ83" s="7">
        <v>50</v>
      </c>
      <c r="BA83" s="8">
        <f t="shared" si="3"/>
        <v>100</v>
      </c>
      <c r="BB83" s="7">
        <v>40</v>
      </c>
      <c r="BC83" s="7">
        <v>15</v>
      </c>
      <c r="BD83" s="7">
        <v>30</v>
      </c>
      <c r="BE83" s="7">
        <v>15</v>
      </c>
      <c r="BF83" s="8">
        <f t="shared" si="4"/>
        <v>100</v>
      </c>
      <c r="BG83" s="7">
        <v>50</v>
      </c>
      <c r="BH83" s="7">
        <v>20</v>
      </c>
      <c r="BI83" s="7">
        <v>10</v>
      </c>
      <c r="BJ83" s="7">
        <v>20</v>
      </c>
      <c r="BK83" s="8">
        <f t="shared" si="5"/>
        <v>100</v>
      </c>
      <c r="BL83" s="7">
        <v>10</v>
      </c>
      <c r="BM83" s="7">
        <v>30</v>
      </c>
      <c r="BN83" s="7">
        <v>30</v>
      </c>
      <c r="BO83" s="7">
        <v>30</v>
      </c>
      <c r="BP83" s="8">
        <f t="shared" si="6"/>
        <v>100</v>
      </c>
      <c r="BQ83" s="7">
        <v>40</v>
      </c>
      <c r="BR83" s="7">
        <v>20</v>
      </c>
      <c r="BS83" s="7">
        <v>20</v>
      </c>
      <c r="BT83" s="7">
        <v>20</v>
      </c>
      <c r="BU83" s="8">
        <f t="shared" si="7"/>
        <v>100</v>
      </c>
      <c r="BV83" s="7">
        <v>20</v>
      </c>
      <c r="BW83" s="7">
        <v>20</v>
      </c>
      <c r="BX83" s="7">
        <v>30</v>
      </c>
      <c r="BY83" s="7">
        <v>30</v>
      </c>
      <c r="BZ83" s="8">
        <f t="shared" si="8"/>
        <v>100</v>
      </c>
      <c r="CA83" s="7">
        <v>40</v>
      </c>
      <c r="CB83" s="7">
        <v>20</v>
      </c>
      <c r="CC83" s="7">
        <v>20</v>
      </c>
      <c r="CD83" s="7">
        <v>20</v>
      </c>
      <c r="CE83" s="8">
        <f t="shared" si="9"/>
        <v>100</v>
      </c>
      <c r="CF83" s="7">
        <v>50</v>
      </c>
      <c r="CG83" s="7">
        <v>30</v>
      </c>
      <c r="CH83" s="7">
        <v>10</v>
      </c>
      <c r="CI83" s="7">
        <v>10</v>
      </c>
      <c r="CJ83" s="8">
        <f t="shared" si="10"/>
        <v>100</v>
      </c>
      <c r="CK83" s="9">
        <v>4.1500000000000004</v>
      </c>
      <c r="CL83" s="10" t="s">
        <v>98</v>
      </c>
      <c r="CM83" s="25"/>
      <c r="CN83" s="25"/>
      <c r="CO83" s="26"/>
      <c r="CP83">
        <f>Form_Responses1[[#This Row],[Column89]]</f>
        <v>4.1500000000000004</v>
      </c>
      <c r="CQ83">
        <f>IF(Form_Responses1[[#This Row],[Column94]]&gt;0,Form_Responses1[[#This Row],[Column94]],Form_Responses1[[#This Row],[Column91]])</f>
        <v>4.1500000000000004</v>
      </c>
      <c r="CR83">
        <v>4.1500000000000004</v>
      </c>
    </row>
    <row r="84" spans="1:96" ht="15">
      <c r="A84" s="12">
        <v>45619.53684630787</v>
      </c>
      <c r="B84" s="13">
        <v>0</v>
      </c>
      <c r="C84" s="13" t="s">
        <v>202</v>
      </c>
      <c r="D84" s="13" t="s">
        <v>93</v>
      </c>
      <c r="E84" s="13" t="s">
        <v>112</v>
      </c>
      <c r="F84" s="13" t="s">
        <v>95</v>
      </c>
      <c r="G84" s="13" t="s">
        <v>123</v>
      </c>
      <c r="H84" s="13" t="s">
        <v>102</v>
      </c>
      <c r="I84" s="13">
        <v>3</v>
      </c>
      <c r="J84" s="13">
        <v>2</v>
      </c>
      <c r="K84" s="13">
        <v>3</v>
      </c>
      <c r="L84" s="13">
        <v>3</v>
      </c>
      <c r="M84" s="13">
        <v>2</v>
      </c>
      <c r="N84" s="13">
        <v>3</v>
      </c>
      <c r="O84" s="13">
        <v>2</v>
      </c>
      <c r="P84" s="13">
        <v>3</v>
      </c>
      <c r="Q84" s="13">
        <v>2</v>
      </c>
      <c r="R84" s="13">
        <v>3</v>
      </c>
      <c r="S84" s="13">
        <v>3</v>
      </c>
      <c r="T84" s="13">
        <v>3</v>
      </c>
      <c r="U84" s="13">
        <v>3</v>
      </c>
      <c r="V84" s="13">
        <v>3</v>
      </c>
      <c r="W84" s="13">
        <v>3</v>
      </c>
      <c r="X84" s="13">
        <v>2</v>
      </c>
      <c r="Y84" s="13">
        <v>3</v>
      </c>
      <c r="Z84" s="13">
        <v>3</v>
      </c>
      <c r="AA84" s="13">
        <v>2</v>
      </c>
      <c r="AB84" s="13">
        <v>2</v>
      </c>
      <c r="AC84" s="13">
        <v>35</v>
      </c>
      <c r="AD84" s="13">
        <v>35</v>
      </c>
      <c r="AE84" s="13">
        <v>15</v>
      </c>
      <c r="AF84" s="13">
        <v>15</v>
      </c>
      <c r="AG84" s="8">
        <f t="shared" si="11"/>
        <v>100</v>
      </c>
      <c r="AH84" s="13">
        <v>10</v>
      </c>
      <c r="AI84" s="13">
        <v>10</v>
      </c>
      <c r="AJ84" s="13">
        <v>70</v>
      </c>
      <c r="AK84" s="13">
        <v>10</v>
      </c>
      <c r="AL84" s="8">
        <f t="shared" si="0"/>
        <v>100</v>
      </c>
      <c r="AM84" s="13">
        <v>25</v>
      </c>
      <c r="AN84" s="13">
        <v>25</v>
      </c>
      <c r="AO84" s="13">
        <v>25</v>
      </c>
      <c r="AP84" s="13">
        <v>25</v>
      </c>
      <c r="AQ84" s="8">
        <f t="shared" si="1"/>
        <v>100</v>
      </c>
      <c r="AR84" s="13">
        <v>40</v>
      </c>
      <c r="AS84" s="13">
        <v>20</v>
      </c>
      <c r="AT84" s="13">
        <v>20</v>
      </c>
      <c r="AU84" s="13">
        <v>20</v>
      </c>
      <c r="AV84" s="8">
        <f t="shared" si="2"/>
        <v>100</v>
      </c>
      <c r="AW84" s="13">
        <v>25</v>
      </c>
      <c r="AX84" s="13">
        <v>25</v>
      </c>
      <c r="AY84" s="13">
        <v>25</v>
      </c>
      <c r="AZ84" s="13">
        <v>25</v>
      </c>
      <c r="BA84" s="8">
        <f t="shared" si="3"/>
        <v>100</v>
      </c>
      <c r="BB84" s="13">
        <v>25</v>
      </c>
      <c r="BC84" s="13">
        <v>25</v>
      </c>
      <c r="BD84" s="13">
        <v>25</v>
      </c>
      <c r="BE84" s="13">
        <v>25</v>
      </c>
      <c r="BF84" s="8">
        <f t="shared" si="4"/>
        <v>100</v>
      </c>
      <c r="BG84" s="13">
        <v>25</v>
      </c>
      <c r="BH84" s="13">
        <v>25</v>
      </c>
      <c r="BI84" s="13">
        <v>25</v>
      </c>
      <c r="BJ84" s="13">
        <v>25</v>
      </c>
      <c r="BK84" s="8">
        <f t="shared" si="5"/>
        <v>100</v>
      </c>
      <c r="BL84" s="13">
        <v>20</v>
      </c>
      <c r="BM84" s="13">
        <v>20</v>
      </c>
      <c r="BN84" s="13">
        <v>40</v>
      </c>
      <c r="BO84" s="13">
        <v>20</v>
      </c>
      <c r="BP84" s="8">
        <f t="shared" si="6"/>
        <v>100</v>
      </c>
      <c r="BQ84" s="13">
        <v>25</v>
      </c>
      <c r="BR84" s="13">
        <v>25</v>
      </c>
      <c r="BS84" s="13">
        <v>35</v>
      </c>
      <c r="BT84" s="13">
        <v>15</v>
      </c>
      <c r="BU84" s="8">
        <f t="shared" si="7"/>
        <v>100</v>
      </c>
      <c r="BV84" s="13">
        <v>30</v>
      </c>
      <c r="BW84" s="13">
        <v>30</v>
      </c>
      <c r="BX84" s="13">
        <v>30</v>
      </c>
      <c r="BY84" s="13">
        <v>10</v>
      </c>
      <c r="BZ84" s="8">
        <f t="shared" si="8"/>
        <v>100</v>
      </c>
      <c r="CA84" s="13">
        <v>30</v>
      </c>
      <c r="CB84" s="13">
        <v>30</v>
      </c>
      <c r="CC84" s="13">
        <v>10</v>
      </c>
      <c r="CD84" s="13">
        <v>30</v>
      </c>
      <c r="CE84" s="8">
        <f t="shared" si="9"/>
        <v>100</v>
      </c>
      <c r="CF84" s="13">
        <v>25</v>
      </c>
      <c r="CG84" s="13">
        <v>25</v>
      </c>
      <c r="CH84" s="13">
        <v>25</v>
      </c>
      <c r="CI84" s="13">
        <v>25</v>
      </c>
      <c r="CJ84" s="8">
        <f t="shared" si="10"/>
        <v>100</v>
      </c>
      <c r="CK84" s="14">
        <v>3.98</v>
      </c>
      <c r="CL84" s="14" t="s">
        <v>117</v>
      </c>
      <c r="CM84" s="14">
        <v>4.1100000000000003</v>
      </c>
      <c r="CN84" s="14" t="s">
        <v>98</v>
      </c>
      <c r="CO84" s="15"/>
      <c r="CP84">
        <f>Form_Responses1[[#This Row],[Column89]]</f>
        <v>3.98</v>
      </c>
      <c r="CQ84">
        <f>IF(Form_Responses1[[#This Row],[Column94]]&gt;0,Form_Responses1[[#This Row],[Column94]],Form_Responses1[[#This Row],[Column91]])</f>
        <v>3.98</v>
      </c>
      <c r="CR84">
        <v>3.98</v>
      </c>
    </row>
    <row r="85" spans="1:96" ht="15">
      <c r="A85" s="6">
        <v>45619.537456701393</v>
      </c>
      <c r="B85" s="7">
        <v>0</v>
      </c>
      <c r="C85" s="7" t="s">
        <v>203</v>
      </c>
      <c r="D85" s="7" t="s">
        <v>93</v>
      </c>
      <c r="E85" s="7" t="s">
        <v>112</v>
      </c>
      <c r="F85" s="7" t="s">
        <v>95</v>
      </c>
      <c r="G85" s="7" t="s">
        <v>109</v>
      </c>
      <c r="H85" s="7" t="s">
        <v>102</v>
      </c>
      <c r="I85" s="7">
        <v>4</v>
      </c>
      <c r="J85" s="7">
        <v>4</v>
      </c>
      <c r="K85" s="7">
        <v>4</v>
      </c>
      <c r="L85" s="7">
        <v>4</v>
      </c>
      <c r="M85" s="7">
        <v>4</v>
      </c>
      <c r="N85" s="7">
        <v>4</v>
      </c>
      <c r="O85" s="7">
        <v>4</v>
      </c>
      <c r="P85" s="7">
        <v>4</v>
      </c>
      <c r="Q85" s="7">
        <v>4</v>
      </c>
      <c r="R85" s="7">
        <v>4</v>
      </c>
      <c r="S85" s="7">
        <v>4</v>
      </c>
      <c r="T85" s="7">
        <v>4</v>
      </c>
      <c r="U85" s="7">
        <v>4</v>
      </c>
      <c r="V85" s="7">
        <v>4</v>
      </c>
      <c r="W85" s="7">
        <v>4</v>
      </c>
      <c r="X85" s="7">
        <v>3</v>
      </c>
      <c r="Y85" s="7">
        <v>4</v>
      </c>
      <c r="Z85" s="7">
        <v>4</v>
      </c>
      <c r="AA85" s="7">
        <v>4</v>
      </c>
      <c r="AB85" s="7">
        <v>4</v>
      </c>
      <c r="AC85" s="7">
        <v>40</v>
      </c>
      <c r="AD85" s="7">
        <v>10</v>
      </c>
      <c r="AE85" s="7">
        <v>20</v>
      </c>
      <c r="AF85" s="7">
        <v>30</v>
      </c>
      <c r="AG85" s="8">
        <f t="shared" si="11"/>
        <v>100</v>
      </c>
      <c r="AH85" s="7">
        <v>40</v>
      </c>
      <c r="AI85" s="7">
        <v>25</v>
      </c>
      <c r="AJ85" s="7">
        <v>25</v>
      </c>
      <c r="AK85" s="7">
        <v>10</v>
      </c>
      <c r="AL85" s="8">
        <f t="shared" si="0"/>
        <v>100</v>
      </c>
      <c r="AM85" s="7">
        <v>50</v>
      </c>
      <c r="AN85" s="7">
        <v>20</v>
      </c>
      <c r="AO85" s="7">
        <v>20</v>
      </c>
      <c r="AP85" s="7">
        <v>10</v>
      </c>
      <c r="AQ85" s="8">
        <f t="shared" si="1"/>
        <v>100</v>
      </c>
      <c r="AR85" s="7">
        <v>40</v>
      </c>
      <c r="AS85" s="7">
        <v>40</v>
      </c>
      <c r="AT85" s="7">
        <v>10</v>
      </c>
      <c r="AU85" s="7">
        <v>10</v>
      </c>
      <c r="AV85" s="8">
        <f t="shared" si="2"/>
        <v>100</v>
      </c>
      <c r="AW85" s="7">
        <v>70</v>
      </c>
      <c r="AX85" s="7">
        <v>10</v>
      </c>
      <c r="AY85" s="7">
        <v>10</v>
      </c>
      <c r="AZ85" s="7">
        <v>10</v>
      </c>
      <c r="BA85" s="8">
        <f t="shared" si="3"/>
        <v>100</v>
      </c>
      <c r="BB85" s="7">
        <v>70</v>
      </c>
      <c r="BC85" s="7">
        <v>10</v>
      </c>
      <c r="BD85" s="7">
        <v>10</v>
      </c>
      <c r="BE85" s="7">
        <v>10</v>
      </c>
      <c r="BF85" s="8">
        <f t="shared" si="4"/>
        <v>100</v>
      </c>
      <c r="BG85" s="7">
        <v>60</v>
      </c>
      <c r="BH85" s="7">
        <v>10</v>
      </c>
      <c r="BI85" s="7">
        <v>10</v>
      </c>
      <c r="BJ85" s="7">
        <v>20</v>
      </c>
      <c r="BK85" s="8">
        <f t="shared" si="5"/>
        <v>100</v>
      </c>
      <c r="BL85" s="7">
        <v>70</v>
      </c>
      <c r="BM85" s="7">
        <v>10</v>
      </c>
      <c r="BN85" s="7">
        <v>10</v>
      </c>
      <c r="BO85" s="7">
        <v>10</v>
      </c>
      <c r="BP85" s="8">
        <f t="shared" si="6"/>
        <v>100</v>
      </c>
      <c r="BQ85" s="7">
        <v>50</v>
      </c>
      <c r="BR85" s="7">
        <v>30</v>
      </c>
      <c r="BS85" s="7">
        <v>10</v>
      </c>
      <c r="BT85" s="7">
        <v>10</v>
      </c>
      <c r="BU85" s="8">
        <f t="shared" si="7"/>
        <v>100</v>
      </c>
      <c r="BV85" s="7">
        <v>50</v>
      </c>
      <c r="BW85" s="7">
        <v>20</v>
      </c>
      <c r="BX85" s="7">
        <v>20</v>
      </c>
      <c r="BY85" s="7">
        <v>10</v>
      </c>
      <c r="BZ85" s="8">
        <f t="shared" si="8"/>
        <v>100</v>
      </c>
      <c r="CA85" s="7">
        <v>70</v>
      </c>
      <c r="CB85" s="7">
        <v>10</v>
      </c>
      <c r="CC85" s="7">
        <v>10</v>
      </c>
      <c r="CD85" s="7">
        <v>10</v>
      </c>
      <c r="CE85" s="8">
        <f t="shared" si="9"/>
        <v>100</v>
      </c>
      <c r="CF85" s="7">
        <v>70</v>
      </c>
      <c r="CG85" s="7">
        <v>10</v>
      </c>
      <c r="CH85" s="7">
        <v>10</v>
      </c>
      <c r="CI85" s="7">
        <v>10</v>
      </c>
      <c r="CJ85" s="8">
        <f t="shared" si="10"/>
        <v>100</v>
      </c>
      <c r="CK85" s="9">
        <v>4.32</v>
      </c>
      <c r="CL85" s="9" t="s">
        <v>98</v>
      </c>
      <c r="CM85" s="25"/>
      <c r="CN85" s="25"/>
      <c r="CO85" s="26"/>
      <c r="CP85">
        <f>Form_Responses1[[#This Row],[Column89]]</f>
        <v>4.32</v>
      </c>
      <c r="CQ85">
        <f>IF(Form_Responses1[[#This Row],[Column94]]&gt;0,Form_Responses1[[#This Row],[Column94]],Form_Responses1[[#This Row],[Column91]])</f>
        <v>4.32</v>
      </c>
      <c r="CR85">
        <v>4.32</v>
      </c>
    </row>
    <row r="86" spans="1:96" ht="15">
      <c r="A86" s="12">
        <v>45619.537473020835</v>
      </c>
      <c r="B86" s="13">
        <v>0</v>
      </c>
      <c r="C86" s="13" t="s">
        <v>204</v>
      </c>
      <c r="D86" s="13" t="s">
        <v>107</v>
      </c>
      <c r="E86" s="13" t="s">
        <v>112</v>
      </c>
      <c r="F86" s="13" t="s">
        <v>95</v>
      </c>
      <c r="G86" s="13" t="s">
        <v>113</v>
      </c>
      <c r="H86" s="13" t="s">
        <v>102</v>
      </c>
      <c r="I86" s="13">
        <v>2</v>
      </c>
      <c r="J86" s="13">
        <v>3</v>
      </c>
      <c r="K86" s="13">
        <v>3</v>
      </c>
      <c r="L86" s="13">
        <v>3</v>
      </c>
      <c r="M86" s="13">
        <v>2</v>
      </c>
      <c r="N86" s="13">
        <v>3</v>
      </c>
      <c r="O86" s="13">
        <v>2</v>
      </c>
      <c r="P86" s="13">
        <v>3</v>
      </c>
      <c r="Q86" s="13">
        <v>3</v>
      </c>
      <c r="R86" s="13">
        <v>3</v>
      </c>
      <c r="S86" s="13">
        <v>3</v>
      </c>
      <c r="T86" s="13">
        <v>2</v>
      </c>
      <c r="U86" s="13">
        <v>2</v>
      </c>
      <c r="V86" s="13">
        <v>2</v>
      </c>
      <c r="W86" s="13">
        <v>3</v>
      </c>
      <c r="X86" s="13">
        <v>3</v>
      </c>
      <c r="Y86" s="13">
        <v>3</v>
      </c>
      <c r="Z86" s="13">
        <v>3</v>
      </c>
      <c r="AA86" s="13">
        <v>3</v>
      </c>
      <c r="AB86" s="13">
        <v>3</v>
      </c>
      <c r="AC86" s="13">
        <v>35</v>
      </c>
      <c r="AD86" s="13">
        <v>35</v>
      </c>
      <c r="AE86" s="13">
        <v>15</v>
      </c>
      <c r="AF86" s="13">
        <v>15</v>
      </c>
      <c r="AG86" s="8">
        <f t="shared" si="11"/>
        <v>100</v>
      </c>
      <c r="AH86" s="13">
        <v>25</v>
      </c>
      <c r="AI86" s="13">
        <v>25</v>
      </c>
      <c r="AJ86" s="13">
        <v>25</v>
      </c>
      <c r="AK86" s="13">
        <v>25</v>
      </c>
      <c r="AL86" s="8">
        <f t="shared" si="0"/>
        <v>100</v>
      </c>
      <c r="AM86" s="13">
        <v>25</v>
      </c>
      <c r="AN86" s="13">
        <v>25</v>
      </c>
      <c r="AO86" s="13">
        <v>25</v>
      </c>
      <c r="AP86" s="13">
        <v>25</v>
      </c>
      <c r="AQ86" s="8">
        <f t="shared" si="1"/>
        <v>100</v>
      </c>
      <c r="AR86" s="13">
        <v>25</v>
      </c>
      <c r="AS86" s="13">
        <v>25</v>
      </c>
      <c r="AT86" s="13">
        <v>25</v>
      </c>
      <c r="AU86" s="13">
        <v>25</v>
      </c>
      <c r="AV86" s="8">
        <f t="shared" si="2"/>
        <v>100</v>
      </c>
      <c r="AW86" s="13">
        <v>20</v>
      </c>
      <c r="AX86" s="13">
        <v>20</v>
      </c>
      <c r="AY86" s="13">
        <v>40</v>
      </c>
      <c r="AZ86" s="13">
        <v>20</v>
      </c>
      <c r="BA86" s="8">
        <f t="shared" si="3"/>
        <v>100</v>
      </c>
      <c r="BB86" s="13">
        <v>25</v>
      </c>
      <c r="BC86" s="13">
        <v>25</v>
      </c>
      <c r="BD86" s="13">
        <v>25</v>
      </c>
      <c r="BE86" s="13">
        <v>25</v>
      </c>
      <c r="BF86" s="8">
        <f t="shared" si="4"/>
        <v>100</v>
      </c>
      <c r="BG86" s="13">
        <v>40</v>
      </c>
      <c r="BH86" s="13">
        <v>20</v>
      </c>
      <c r="BI86" s="13">
        <v>20</v>
      </c>
      <c r="BJ86" s="13">
        <v>20</v>
      </c>
      <c r="BK86" s="8">
        <f t="shared" si="5"/>
        <v>100</v>
      </c>
      <c r="BL86" s="13">
        <v>30</v>
      </c>
      <c r="BM86" s="13">
        <v>30</v>
      </c>
      <c r="BN86" s="13">
        <v>30</v>
      </c>
      <c r="BO86" s="13">
        <v>10</v>
      </c>
      <c r="BP86" s="8">
        <f t="shared" si="6"/>
        <v>100</v>
      </c>
      <c r="BQ86" s="13">
        <v>25</v>
      </c>
      <c r="BR86" s="13">
        <v>25</v>
      </c>
      <c r="BS86" s="13">
        <v>25</v>
      </c>
      <c r="BT86" s="13">
        <v>25</v>
      </c>
      <c r="BU86" s="8">
        <f t="shared" si="7"/>
        <v>100</v>
      </c>
      <c r="BV86" s="13">
        <v>25</v>
      </c>
      <c r="BW86" s="13">
        <v>25</v>
      </c>
      <c r="BX86" s="13">
        <v>25</v>
      </c>
      <c r="BY86" s="13">
        <v>25</v>
      </c>
      <c r="BZ86" s="8">
        <f t="shared" si="8"/>
        <v>100</v>
      </c>
      <c r="CA86" s="13">
        <v>20</v>
      </c>
      <c r="CB86" s="13">
        <v>20</v>
      </c>
      <c r="CC86" s="13">
        <v>30</v>
      </c>
      <c r="CD86" s="13">
        <v>30</v>
      </c>
      <c r="CE86" s="8">
        <f t="shared" si="9"/>
        <v>100</v>
      </c>
      <c r="CF86" s="13">
        <v>25</v>
      </c>
      <c r="CG86" s="13">
        <v>25</v>
      </c>
      <c r="CH86" s="13">
        <v>25</v>
      </c>
      <c r="CI86" s="13">
        <v>25</v>
      </c>
      <c r="CJ86" s="8">
        <f t="shared" si="10"/>
        <v>100</v>
      </c>
      <c r="CK86" s="27"/>
      <c r="CL86" s="27"/>
      <c r="CM86" s="14">
        <v>3.98</v>
      </c>
      <c r="CN86" s="14" t="s">
        <v>117</v>
      </c>
      <c r="CO86" s="15"/>
      <c r="CP86">
        <f>Form_Responses1[[#This Row],[Column89]]</f>
        <v>0</v>
      </c>
      <c r="CQ86">
        <f>IF(Form_Responses1[[#This Row],[Column94]]&gt;0,Form_Responses1[[#This Row],[Column94]],Form_Responses1[[#This Row],[Column91]])</f>
        <v>3.98</v>
      </c>
      <c r="CR86">
        <v>3.98</v>
      </c>
    </row>
    <row r="87" spans="1:96" ht="15">
      <c r="A87" s="6">
        <v>45619.538897847218</v>
      </c>
      <c r="B87" s="7">
        <v>0</v>
      </c>
      <c r="C87" s="7" t="s">
        <v>205</v>
      </c>
      <c r="D87" s="7" t="s">
        <v>93</v>
      </c>
      <c r="E87" s="7" t="s">
        <v>112</v>
      </c>
      <c r="F87" s="7" t="s">
        <v>101</v>
      </c>
      <c r="G87" s="7" t="s">
        <v>96</v>
      </c>
      <c r="H87" s="7" t="s">
        <v>102</v>
      </c>
      <c r="I87" s="7">
        <v>4</v>
      </c>
      <c r="J87" s="7">
        <v>5</v>
      </c>
      <c r="K87" s="7">
        <v>4</v>
      </c>
      <c r="L87" s="7">
        <v>5</v>
      </c>
      <c r="M87" s="7">
        <v>4</v>
      </c>
      <c r="N87" s="7">
        <v>4</v>
      </c>
      <c r="O87" s="7">
        <v>5</v>
      </c>
      <c r="P87" s="7">
        <v>4</v>
      </c>
      <c r="Q87" s="7">
        <v>5</v>
      </c>
      <c r="R87" s="7">
        <v>4</v>
      </c>
      <c r="S87" s="7">
        <v>5</v>
      </c>
      <c r="T87" s="7">
        <v>5</v>
      </c>
      <c r="U87" s="7">
        <v>4</v>
      </c>
      <c r="V87" s="7">
        <v>4</v>
      </c>
      <c r="W87" s="7">
        <v>4</v>
      </c>
      <c r="X87" s="7">
        <v>4</v>
      </c>
      <c r="Y87" s="7">
        <v>4</v>
      </c>
      <c r="Z87" s="7">
        <v>5</v>
      </c>
      <c r="AA87" s="7">
        <v>5</v>
      </c>
      <c r="AB87" s="7">
        <v>4</v>
      </c>
      <c r="AC87" s="7">
        <v>30</v>
      </c>
      <c r="AD87" s="7">
        <v>30</v>
      </c>
      <c r="AE87" s="7">
        <v>10</v>
      </c>
      <c r="AF87" s="7">
        <v>30</v>
      </c>
      <c r="AG87" s="8">
        <f t="shared" si="11"/>
        <v>100</v>
      </c>
      <c r="AH87" s="7">
        <v>30</v>
      </c>
      <c r="AI87" s="7">
        <v>30</v>
      </c>
      <c r="AJ87" s="7">
        <v>20</v>
      </c>
      <c r="AK87" s="7">
        <v>20</v>
      </c>
      <c r="AL87" s="8">
        <f t="shared" si="0"/>
        <v>100</v>
      </c>
      <c r="AM87" s="7">
        <v>40</v>
      </c>
      <c r="AN87" s="7">
        <v>40</v>
      </c>
      <c r="AO87" s="7">
        <v>10</v>
      </c>
      <c r="AP87" s="7">
        <v>10</v>
      </c>
      <c r="AQ87" s="8">
        <f t="shared" si="1"/>
        <v>100</v>
      </c>
      <c r="AR87" s="7">
        <v>30</v>
      </c>
      <c r="AS87" s="7">
        <v>30</v>
      </c>
      <c r="AT87" s="7">
        <v>20</v>
      </c>
      <c r="AU87" s="7">
        <v>20</v>
      </c>
      <c r="AV87" s="8">
        <f t="shared" si="2"/>
        <v>100</v>
      </c>
      <c r="AW87" s="7">
        <v>20</v>
      </c>
      <c r="AX87" s="7">
        <v>20</v>
      </c>
      <c r="AY87" s="7">
        <v>30</v>
      </c>
      <c r="AZ87" s="7">
        <v>30</v>
      </c>
      <c r="BA87" s="8">
        <f t="shared" si="3"/>
        <v>100</v>
      </c>
      <c r="BB87" s="7">
        <v>20</v>
      </c>
      <c r="BC87" s="7">
        <v>20</v>
      </c>
      <c r="BD87" s="7">
        <v>30</v>
      </c>
      <c r="BE87" s="7">
        <v>30</v>
      </c>
      <c r="BF87" s="8">
        <f t="shared" si="4"/>
        <v>100</v>
      </c>
      <c r="BG87" s="7">
        <v>20</v>
      </c>
      <c r="BH87" s="7">
        <v>20</v>
      </c>
      <c r="BI87" s="7">
        <v>30</v>
      </c>
      <c r="BJ87" s="7">
        <v>30</v>
      </c>
      <c r="BK87" s="8">
        <f t="shared" si="5"/>
        <v>100</v>
      </c>
      <c r="BL87" s="7">
        <v>20</v>
      </c>
      <c r="BM87" s="7">
        <v>20</v>
      </c>
      <c r="BN87" s="7">
        <v>30</v>
      </c>
      <c r="BO87" s="7">
        <v>30</v>
      </c>
      <c r="BP87" s="8">
        <f t="shared" si="6"/>
        <v>100</v>
      </c>
      <c r="BQ87" s="7">
        <v>20</v>
      </c>
      <c r="BR87" s="7">
        <v>20</v>
      </c>
      <c r="BS87" s="7">
        <v>30</v>
      </c>
      <c r="BT87" s="7">
        <v>30</v>
      </c>
      <c r="BU87" s="8">
        <f t="shared" si="7"/>
        <v>100</v>
      </c>
      <c r="BV87" s="7">
        <v>20</v>
      </c>
      <c r="BW87" s="7">
        <v>20</v>
      </c>
      <c r="BX87" s="7">
        <v>30</v>
      </c>
      <c r="BY87" s="7">
        <v>30</v>
      </c>
      <c r="BZ87" s="8">
        <f t="shared" si="8"/>
        <v>100</v>
      </c>
      <c r="CA87" s="7">
        <v>20</v>
      </c>
      <c r="CB87" s="7">
        <v>20</v>
      </c>
      <c r="CC87" s="7">
        <v>30</v>
      </c>
      <c r="CD87" s="7">
        <v>30</v>
      </c>
      <c r="CE87" s="8">
        <f t="shared" si="9"/>
        <v>100</v>
      </c>
      <c r="CF87" s="7">
        <v>20</v>
      </c>
      <c r="CG87" s="7">
        <v>20</v>
      </c>
      <c r="CH87" s="7">
        <v>30</v>
      </c>
      <c r="CI87" s="7">
        <v>30</v>
      </c>
      <c r="CJ87" s="8">
        <f t="shared" si="10"/>
        <v>100</v>
      </c>
      <c r="CK87" s="9">
        <v>4.16</v>
      </c>
      <c r="CL87" s="9" t="s">
        <v>98</v>
      </c>
      <c r="CM87" s="25"/>
      <c r="CN87" s="25"/>
      <c r="CO87" s="26"/>
      <c r="CP87">
        <f>Form_Responses1[[#This Row],[Column89]]</f>
        <v>4.16</v>
      </c>
      <c r="CQ87">
        <f>IF(Form_Responses1[[#This Row],[Column94]]&gt;0,Form_Responses1[[#This Row],[Column94]],Form_Responses1[[#This Row],[Column91]])</f>
        <v>4.16</v>
      </c>
      <c r="CR87">
        <v>4.16</v>
      </c>
    </row>
    <row r="88" spans="1:96" ht="15">
      <c r="A88" s="12">
        <v>45619.540434965282</v>
      </c>
      <c r="B88" s="13">
        <v>0</v>
      </c>
      <c r="C88" s="13" t="s">
        <v>206</v>
      </c>
      <c r="D88" s="13" t="s">
        <v>93</v>
      </c>
      <c r="E88" s="13" t="s">
        <v>112</v>
      </c>
      <c r="F88" s="13" t="s">
        <v>95</v>
      </c>
      <c r="G88" s="13" t="s">
        <v>123</v>
      </c>
      <c r="H88" s="13" t="s">
        <v>102</v>
      </c>
      <c r="I88" s="13">
        <v>3</v>
      </c>
      <c r="J88" s="13">
        <v>3</v>
      </c>
      <c r="K88" s="13">
        <v>2</v>
      </c>
      <c r="L88" s="13">
        <v>3</v>
      </c>
      <c r="M88" s="13">
        <v>3</v>
      </c>
      <c r="N88" s="13">
        <v>2</v>
      </c>
      <c r="O88" s="13">
        <v>3</v>
      </c>
      <c r="P88" s="13">
        <v>3</v>
      </c>
      <c r="Q88" s="13">
        <v>3</v>
      </c>
      <c r="R88" s="13">
        <v>3</v>
      </c>
      <c r="S88" s="13">
        <v>3</v>
      </c>
      <c r="T88" s="13">
        <v>3</v>
      </c>
      <c r="U88" s="13">
        <v>3</v>
      </c>
      <c r="V88" s="13">
        <v>3</v>
      </c>
      <c r="W88" s="13">
        <v>3</v>
      </c>
      <c r="X88" s="13">
        <v>3</v>
      </c>
      <c r="Y88" s="13">
        <v>3</v>
      </c>
      <c r="Z88" s="13">
        <v>3</v>
      </c>
      <c r="AA88" s="13">
        <v>3</v>
      </c>
      <c r="AB88" s="13">
        <v>3</v>
      </c>
      <c r="AC88" s="13">
        <v>30</v>
      </c>
      <c r="AD88" s="13">
        <v>30</v>
      </c>
      <c r="AE88" s="13">
        <v>20</v>
      </c>
      <c r="AF88" s="13">
        <v>20</v>
      </c>
      <c r="AG88" s="8">
        <f t="shared" si="11"/>
        <v>100</v>
      </c>
      <c r="AH88" s="13">
        <v>30</v>
      </c>
      <c r="AI88" s="13">
        <v>30</v>
      </c>
      <c r="AJ88" s="13">
        <v>20</v>
      </c>
      <c r="AK88" s="13">
        <v>20</v>
      </c>
      <c r="AL88" s="8">
        <f t="shared" si="0"/>
        <v>100</v>
      </c>
      <c r="AM88" s="13">
        <v>30</v>
      </c>
      <c r="AN88" s="13">
        <v>30</v>
      </c>
      <c r="AO88" s="13">
        <v>20</v>
      </c>
      <c r="AP88" s="13">
        <v>20</v>
      </c>
      <c r="AQ88" s="8">
        <f t="shared" si="1"/>
        <v>100</v>
      </c>
      <c r="AR88" s="13">
        <v>20</v>
      </c>
      <c r="AS88" s="13">
        <v>20</v>
      </c>
      <c r="AT88" s="13">
        <v>30</v>
      </c>
      <c r="AU88" s="13">
        <v>30</v>
      </c>
      <c r="AV88" s="8">
        <f t="shared" si="2"/>
        <v>100</v>
      </c>
      <c r="AW88" s="13">
        <v>20</v>
      </c>
      <c r="AX88" s="13">
        <v>30</v>
      </c>
      <c r="AY88" s="13">
        <v>30</v>
      </c>
      <c r="AZ88" s="13">
        <v>20</v>
      </c>
      <c r="BA88" s="8">
        <f t="shared" si="3"/>
        <v>100</v>
      </c>
      <c r="BB88" s="13">
        <v>30</v>
      </c>
      <c r="BC88" s="13">
        <v>20</v>
      </c>
      <c r="BD88" s="13">
        <v>20</v>
      </c>
      <c r="BE88" s="13">
        <v>30</v>
      </c>
      <c r="BF88" s="8">
        <f t="shared" si="4"/>
        <v>100</v>
      </c>
      <c r="BG88" s="13">
        <v>30</v>
      </c>
      <c r="BH88" s="13">
        <v>30</v>
      </c>
      <c r="BI88" s="13">
        <v>20</v>
      </c>
      <c r="BJ88" s="13">
        <v>20</v>
      </c>
      <c r="BK88" s="8">
        <f t="shared" si="5"/>
        <v>100</v>
      </c>
      <c r="BL88" s="13">
        <v>30</v>
      </c>
      <c r="BM88" s="13">
        <v>20</v>
      </c>
      <c r="BN88" s="13">
        <v>20</v>
      </c>
      <c r="BO88" s="13">
        <v>30</v>
      </c>
      <c r="BP88" s="8">
        <f t="shared" si="6"/>
        <v>100</v>
      </c>
      <c r="BQ88" s="13">
        <v>20</v>
      </c>
      <c r="BR88" s="13">
        <v>30</v>
      </c>
      <c r="BS88" s="13">
        <v>20</v>
      </c>
      <c r="BT88" s="13">
        <v>30</v>
      </c>
      <c r="BU88" s="8">
        <f t="shared" si="7"/>
        <v>100</v>
      </c>
      <c r="BV88" s="13">
        <v>30</v>
      </c>
      <c r="BW88" s="13">
        <v>20</v>
      </c>
      <c r="BX88" s="13">
        <v>20</v>
      </c>
      <c r="BY88" s="13">
        <v>30</v>
      </c>
      <c r="BZ88" s="8">
        <f t="shared" si="8"/>
        <v>100</v>
      </c>
      <c r="CA88" s="13">
        <v>30</v>
      </c>
      <c r="CB88" s="13">
        <v>20</v>
      </c>
      <c r="CC88" s="13">
        <v>20</v>
      </c>
      <c r="CD88" s="13">
        <v>30</v>
      </c>
      <c r="CE88" s="8">
        <f t="shared" si="9"/>
        <v>100</v>
      </c>
      <c r="CF88" s="13">
        <v>40</v>
      </c>
      <c r="CG88" s="13">
        <v>20</v>
      </c>
      <c r="CH88" s="13">
        <v>20</v>
      </c>
      <c r="CI88" s="13">
        <v>20</v>
      </c>
      <c r="CJ88" s="8">
        <f t="shared" si="10"/>
        <v>100</v>
      </c>
      <c r="CK88" s="14">
        <v>4.1500000000000004</v>
      </c>
      <c r="CL88" s="19" t="s">
        <v>98</v>
      </c>
      <c r="CM88" s="14">
        <v>4.45</v>
      </c>
      <c r="CN88" s="19" t="s">
        <v>98</v>
      </c>
      <c r="CO88" s="20"/>
      <c r="CP88">
        <f>Form_Responses1[[#This Row],[Column89]]</f>
        <v>4.1500000000000004</v>
      </c>
      <c r="CQ88">
        <f>IF(Form_Responses1[[#This Row],[Column94]]&gt;0,Form_Responses1[[#This Row],[Column94]],Form_Responses1[[#This Row],[Column91]])</f>
        <v>4.1500000000000004</v>
      </c>
      <c r="CR88">
        <v>4.1500000000000004</v>
      </c>
    </row>
    <row r="89" spans="1:96" ht="15">
      <c r="A89" s="6">
        <v>45619.542261863426</v>
      </c>
      <c r="B89" s="7">
        <v>0</v>
      </c>
      <c r="C89" s="7" t="s">
        <v>207</v>
      </c>
      <c r="D89" s="7" t="s">
        <v>93</v>
      </c>
      <c r="E89" s="7" t="s">
        <v>112</v>
      </c>
      <c r="F89" s="7" t="s">
        <v>101</v>
      </c>
      <c r="G89" s="7" t="s">
        <v>96</v>
      </c>
      <c r="H89" s="7" t="s">
        <v>102</v>
      </c>
      <c r="I89" s="7">
        <v>4</v>
      </c>
      <c r="J89" s="7">
        <v>4</v>
      </c>
      <c r="K89" s="7">
        <v>4</v>
      </c>
      <c r="L89" s="7">
        <v>5</v>
      </c>
      <c r="M89" s="7">
        <v>5</v>
      </c>
      <c r="N89" s="7">
        <v>4</v>
      </c>
      <c r="O89" s="7">
        <v>4</v>
      </c>
      <c r="P89" s="7">
        <v>5</v>
      </c>
      <c r="Q89" s="7">
        <v>5</v>
      </c>
      <c r="R89" s="7">
        <v>5</v>
      </c>
      <c r="S89" s="7">
        <v>5</v>
      </c>
      <c r="T89" s="7">
        <v>5</v>
      </c>
      <c r="U89" s="7">
        <v>5</v>
      </c>
      <c r="V89" s="7">
        <v>4</v>
      </c>
      <c r="W89" s="7">
        <v>4</v>
      </c>
      <c r="X89" s="7">
        <v>5</v>
      </c>
      <c r="Y89" s="7">
        <v>5</v>
      </c>
      <c r="Z89" s="7">
        <v>5</v>
      </c>
      <c r="AA89" s="7">
        <v>5</v>
      </c>
      <c r="AB89" s="7">
        <v>4</v>
      </c>
      <c r="AC89" s="7">
        <v>40</v>
      </c>
      <c r="AD89" s="7">
        <v>20</v>
      </c>
      <c r="AE89" s="7">
        <v>20</v>
      </c>
      <c r="AF89" s="7">
        <v>20</v>
      </c>
      <c r="AG89" s="8">
        <f t="shared" si="11"/>
        <v>100</v>
      </c>
      <c r="AH89" s="7">
        <v>40</v>
      </c>
      <c r="AI89" s="7">
        <v>20</v>
      </c>
      <c r="AJ89" s="7">
        <v>20</v>
      </c>
      <c r="AK89" s="7">
        <v>20</v>
      </c>
      <c r="AL89" s="8">
        <f t="shared" si="0"/>
        <v>100</v>
      </c>
      <c r="AM89" s="7">
        <v>30</v>
      </c>
      <c r="AN89" s="7">
        <v>30</v>
      </c>
      <c r="AO89" s="7">
        <v>20</v>
      </c>
      <c r="AP89" s="7">
        <v>20</v>
      </c>
      <c r="AQ89" s="8">
        <f t="shared" si="1"/>
        <v>100</v>
      </c>
      <c r="AR89" s="7">
        <v>20</v>
      </c>
      <c r="AS89" s="7">
        <v>20</v>
      </c>
      <c r="AT89" s="7">
        <v>20</v>
      </c>
      <c r="AU89" s="7">
        <v>40</v>
      </c>
      <c r="AV89" s="8">
        <f t="shared" si="2"/>
        <v>100</v>
      </c>
      <c r="AW89" s="7">
        <v>30</v>
      </c>
      <c r="AX89" s="7">
        <v>30</v>
      </c>
      <c r="AY89" s="7">
        <v>20</v>
      </c>
      <c r="AZ89" s="7">
        <v>20</v>
      </c>
      <c r="BA89" s="8">
        <f t="shared" si="3"/>
        <v>100</v>
      </c>
      <c r="BB89" s="7">
        <v>20</v>
      </c>
      <c r="BC89" s="7">
        <v>20</v>
      </c>
      <c r="BD89" s="7">
        <v>20</v>
      </c>
      <c r="BE89" s="7">
        <v>40</v>
      </c>
      <c r="BF89" s="8">
        <f t="shared" si="4"/>
        <v>100</v>
      </c>
      <c r="BG89" s="7">
        <v>30</v>
      </c>
      <c r="BH89" s="7">
        <v>30</v>
      </c>
      <c r="BI89" s="7">
        <v>30</v>
      </c>
      <c r="BJ89" s="7">
        <v>10</v>
      </c>
      <c r="BK89" s="8">
        <f t="shared" si="5"/>
        <v>100</v>
      </c>
      <c r="BL89" s="7">
        <v>20</v>
      </c>
      <c r="BM89" s="7">
        <v>20</v>
      </c>
      <c r="BN89" s="7">
        <v>30</v>
      </c>
      <c r="BO89" s="7">
        <v>30</v>
      </c>
      <c r="BP89" s="8">
        <f t="shared" si="6"/>
        <v>100</v>
      </c>
      <c r="BQ89" s="7">
        <v>20</v>
      </c>
      <c r="BR89" s="7">
        <v>20</v>
      </c>
      <c r="BS89" s="7">
        <v>20</v>
      </c>
      <c r="BT89" s="7">
        <v>40</v>
      </c>
      <c r="BU89" s="8">
        <f t="shared" si="7"/>
        <v>100</v>
      </c>
      <c r="BV89" s="7">
        <v>40</v>
      </c>
      <c r="BW89" s="7">
        <v>40</v>
      </c>
      <c r="BX89" s="7">
        <v>10</v>
      </c>
      <c r="BY89" s="7">
        <v>10</v>
      </c>
      <c r="BZ89" s="8">
        <f t="shared" si="8"/>
        <v>100</v>
      </c>
      <c r="CA89" s="7">
        <v>20</v>
      </c>
      <c r="CB89" s="7">
        <v>20</v>
      </c>
      <c r="CC89" s="7">
        <v>20</v>
      </c>
      <c r="CD89" s="7">
        <v>40</v>
      </c>
      <c r="CE89" s="8">
        <f t="shared" si="9"/>
        <v>100</v>
      </c>
      <c r="CF89" s="7">
        <v>30</v>
      </c>
      <c r="CG89" s="7">
        <v>30</v>
      </c>
      <c r="CH89" s="7">
        <v>30</v>
      </c>
      <c r="CI89" s="7">
        <v>10</v>
      </c>
      <c r="CJ89" s="8">
        <f t="shared" si="10"/>
        <v>100</v>
      </c>
      <c r="CK89" s="9">
        <v>4.24</v>
      </c>
      <c r="CL89" s="9" t="s">
        <v>98</v>
      </c>
      <c r="CM89" s="25"/>
      <c r="CN89" s="25"/>
      <c r="CO89" s="26"/>
      <c r="CP89">
        <f>Form_Responses1[[#This Row],[Column89]]</f>
        <v>4.24</v>
      </c>
      <c r="CQ89">
        <f>IF(Form_Responses1[[#This Row],[Column94]]&gt;0,Form_Responses1[[#This Row],[Column94]],Form_Responses1[[#This Row],[Column91]])</f>
        <v>4.24</v>
      </c>
      <c r="CR89">
        <v>4.24</v>
      </c>
    </row>
    <row r="90" spans="1:96" ht="15">
      <c r="A90" s="12">
        <v>45619.542959467595</v>
      </c>
      <c r="B90" s="13">
        <v>0</v>
      </c>
      <c r="C90" s="13" t="s">
        <v>208</v>
      </c>
      <c r="D90" s="13" t="s">
        <v>93</v>
      </c>
      <c r="E90" s="13" t="s">
        <v>112</v>
      </c>
      <c r="F90" s="13" t="s">
        <v>95</v>
      </c>
      <c r="G90" s="13" t="s">
        <v>123</v>
      </c>
      <c r="H90" s="13" t="s">
        <v>102</v>
      </c>
      <c r="I90" s="13">
        <v>4</v>
      </c>
      <c r="J90" s="13">
        <v>2</v>
      </c>
      <c r="K90" s="13">
        <v>3</v>
      </c>
      <c r="L90" s="13">
        <v>3</v>
      </c>
      <c r="M90" s="13">
        <v>4</v>
      </c>
      <c r="N90" s="13">
        <v>2</v>
      </c>
      <c r="O90" s="13">
        <v>2</v>
      </c>
      <c r="P90" s="13">
        <v>3</v>
      </c>
      <c r="Q90" s="13">
        <v>4</v>
      </c>
      <c r="R90" s="13">
        <v>4</v>
      </c>
      <c r="S90" s="13">
        <v>2</v>
      </c>
      <c r="T90" s="13">
        <v>2</v>
      </c>
      <c r="U90" s="13">
        <v>2</v>
      </c>
      <c r="V90" s="13">
        <v>4</v>
      </c>
      <c r="W90" s="13">
        <v>2</v>
      </c>
      <c r="X90" s="13">
        <v>2</v>
      </c>
      <c r="Y90" s="13">
        <v>3</v>
      </c>
      <c r="Z90" s="13">
        <v>4</v>
      </c>
      <c r="AA90" s="13">
        <v>4</v>
      </c>
      <c r="AB90" s="13">
        <v>2</v>
      </c>
      <c r="AC90" s="13">
        <v>40</v>
      </c>
      <c r="AD90" s="13">
        <v>30</v>
      </c>
      <c r="AE90" s="13">
        <v>15</v>
      </c>
      <c r="AF90" s="13">
        <v>15</v>
      </c>
      <c r="AG90" s="8">
        <f t="shared" si="11"/>
        <v>100</v>
      </c>
      <c r="AH90" s="13">
        <v>25</v>
      </c>
      <c r="AI90" s="13">
        <v>35</v>
      </c>
      <c r="AJ90" s="13">
        <v>15</v>
      </c>
      <c r="AK90" s="13">
        <v>25</v>
      </c>
      <c r="AL90" s="8">
        <f t="shared" si="0"/>
        <v>100</v>
      </c>
      <c r="AM90" s="13">
        <v>30</v>
      </c>
      <c r="AN90" s="13">
        <v>30</v>
      </c>
      <c r="AO90" s="13">
        <v>30</v>
      </c>
      <c r="AP90" s="13">
        <v>10</v>
      </c>
      <c r="AQ90" s="8">
        <f t="shared" si="1"/>
        <v>100</v>
      </c>
      <c r="AR90" s="13">
        <v>20</v>
      </c>
      <c r="AS90" s="13">
        <v>30</v>
      </c>
      <c r="AT90" s="13">
        <v>20</v>
      </c>
      <c r="AU90" s="13">
        <v>30</v>
      </c>
      <c r="AV90" s="8">
        <f t="shared" si="2"/>
        <v>100</v>
      </c>
      <c r="AW90" s="13">
        <v>40</v>
      </c>
      <c r="AX90" s="13">
        <v>20</v>
      </c>
      <c r="AY90" s="13">
        <v>20</v>
      </c>
      <c r="AZ90" s="13">
        <v>20</v>
      </c>
      <c r="BA90" s="8">
        <f t="shared" si="3"/>
        <v>100</v>
      </c>
      <c r="BB90" s="13">
        <v>30</v>
      </c>
      <c r="BC90" s="13">
        <v>20</v>
      </c>
      <c r="BD90" s="13">
        <v>20</v>
      </c>
      <c r="BE90" s="13">
        <v>30</v>
      </c>
      <c r="BF90" s="8">
        <f t="shared" si="4"/>
        <v>100</v>
      </c>
      <c r="BG90" s="13">
        <v>20</v>
      </c>
      <c r="BH90" s="13">
        <v>30</v>
      </c>
      <c r="BI90" s="13">
        <v>20</v>
      </c>
      <c r="BJ90" s="13">
        <v>30</v>
      </c>
      <c r="BK90" s="8">
        <f t="shared" si="5"/>
        <v>100</v>
      </c>
      <c r="BL90" s="13">
        <v>20</v>
      </c>
      <c r="BM90" s="13">
        <v>30</v>
      </c>
      <c r="BN90" s="13">
        <v>20</v>
      </c>
      <c r="BO90" s="13">
        <v>30</v>
      </c>
      <c r="BP90" s="8">
        <f t="shared" si="6"/>
        <v>100</v>
      </c>
      <c r="BQ90" s="13">
        <v>20</v>
      </c>
      <c r="BR90" s="13">
        <v>30</v>
      </c>
      <c r="BS90" s="13">
        <v>20</v>
      </c>
      <c r="BT90" s="13">
        <v>30</v>
      </c>
      <c r="BU90" s="8">
        <f t="shared" si="7"/>
        <v>100</v>
      </c>
      <c r="BV90" s="13">
        <v>20</v>
      </c>
      <c r="BW90" s="13">
        <v>30</v>
      </c>
      <c r="BX90" s="13">
        <v>30</v>
      </c>
      <c r="BY90" s="13">
        <v>20</v>
      </c>
      <c r="BZ90" s="8">
        <f t="shared" si="8"/>
        <v>100</v>
      </c>
      <c r="CA90" s="13">
        <v>30</v>
      </c>
      <c r="CB90" s="13">
        <v>20</v>
      </c>
      <c r="CC90" s="13">
        <v>20</v>
      </c>
      <c r="CD90" s="13">
        <v>30</v>
      </c>
      <c r="CE90" s="8">
        <f t="shared" si="9"/>
        <v>100</v>
      </c>
      <c r="CF90" s="13">
        <v>30</v>
      </c>
      <c r="CG90" s="13">
        <v>20</v>
      </c>
      <c r="CH90" s="13">
        <v>20</v>
      </c>
      <c r="CI90" s="13">
        <v>30</v>
      </c>
      <c r="CJ90" s="8">
        <f t="shared" si="10"/>
        <v>100</v>
      </c>
      <c r="CK90" s="14">
        <v>3.98</v>
      </c>
      <c r="CL90" s="14" t="s">
        <v>117</v>
      </c>
      <c r="CM90" s="23"/>
      <c r="CN90" s="23"/>
      <c r="CO90" s="24"/>
      <c r="CP90">
        <f>Form_Responses1[[#This Row],[Column89]]</f>
        <v>3.98</v>
      </c>
      <c r="CQ90">
        <f>IF(Form_Responses1[[#This Row],[Column94]]&gt;0,Form_Responses1[[#This Row],[Column94]],Form_Responses1[[#This Row],[Column91]])</f>
        <v>3.98</v>
      </c>
      <c r="CR90">
        <v>3.98</v>
      </c>
    </row>
    <row r="91" spans="1:96" ht="15">
      <c r="A91" s="6">
        <v>45619.543079918978</v>
      </c>
      <c r="B91" s="7">
        <v>0</v>
      </c>
      <c r="C91" s="7" t="s">
        <v>209</v>
      </c>
      <c r="D91" s="7" t="s">
        <v>93</v>
      </c>
      <c r="E91" s="7" t="s">
        <v>112</v>
      </c>
      <c r="F91" s="7" t="s">
        <v>130</v>
      </c>
      <c r="G91" s="7" t="s">
        <v>123</v>
      </c>
      <c r="H91" s="7" t="s">
        <v>102</v>
      </c>
      <c r="I91" s="7">
        <v>2</v>
      </c>
      <c r="J91" s="7">
        <v>3</v>
      </c>
      <c r="K91" s="7">
        <v>4</v>
      </c>
      <c r="L91" s="7">
        <v>4</v>
      </c>
      <c r="M91" s="7">
        <v>3</v>
      </c>
      <c r="N91" s="7">
        <v>2</v>
      </c>
      <c r="O91" s="7">
        <v>2</v>
      </c>
      <c r="P91" s="7">
        <v>4</v>
      </c>
      <c r="Q91" s="7">
        <v>4</v>
      </c>
      <c r="R91" s="7">
        <v>4</v>
      </c>
      <c r="S91" s="7">
        <v>2</v>
      </c>
      <c r="T91" s="7">
        <v>3</v>
      </c>
      <c r="U91" s="7">
        <v>2</v>
      </c>
      <c r="V91" s="7">
        <v>3</v>
      </c>
      <c r="W91" s="7">
        <v>4</v>
      </c>
      <c r="X91" s="7">
        <v>4</v>
      </c>
      <c r="Y91" s="7">
        <v>2</v>
      </c>
      <c r="Z91" s="7">
        <v>4</v>
      </c>
      <c r="AA91" s="7">
        <v>2</v>
      </c>
      <c r="AB91" s="7">
        <v>3</v>
      </c>
      <c r="AC91" s="7">
        <v>30</v>
      </c>
      <c r="AD91" s="7">
        <v>20</v>
      </c>
      <c r="AE91" s="7">
        <v>20</v>
      </c>
      <c r="AF91" s="7">
        <v>30</v>
      </c>
      <c r="AG91" s="8">
        <f t="shared" si="11"/>
        <v>100</v>
      </c>
      <c r="AH91" s="7">
        <v>30</v>
      </c>
      <c r="AI91" s="7">
        <v>30</v>
      </c>
      <c r="AJ91" s="7">
        <v>20</v>
      </c>
      <c r="AK91" s="7">
        <v>20</v>
      </c>
      <c r="AL91" s="8">
        <f t="shared" si="0"/>
        <v>100</v>
      </c>
      <c r="AM91" s="7">
        <v>50</v>
      </c>
      <c r="AN91" s="7">
        <v>30</v>
      </c>
      <c r="AO91" s="7">
        <v>10</v>
      </c>
      <c r="AP91" s="7">
        <v>10</v>
      </c>
      <c r="AQ91" s="8">
        <f t="shared" si="1"/>
        <v>100</v>
      </c>
      <c r="AR91" s="7">
        <v>50</v>
      </c>
      <c r="AS91" s="7">
        <v>30</v>
      </c>
      <c r="AT91" s="7">
        <v>10</v>
      </c>
      <c r="AU91" s="7">
        <v>10</v>
      </c>
      <c r="AV91" s="8">
        <f t="shared" si="2"/>
        <v>100</v>
      </c>
      <c r="AW91" s="7">
        <v>70</v>
      </c>
      <c r="AX91" s="7">
        <v>10</v>
      </c>
      <c r="AY91" s="7">
        <v>10</v>
      </c>
      <c r="AZ91" s="7">
        <v>10</v>
      </c>
      <c r="BA91" s="8">
        <f t="shared" si="3"/>
        <v>100</v>
      </c>
      <c r="BB91" s="7">
        <v>70</v>
      </c>
      <c r="BC91" s="7">
        <v>10</v>
      </c>
      <c r="BD91" s="7">
        <v>10</v>
      </c>
      <c r="BE91" s="7">
        <v>10</v>
      </c>
      <c r="BF91" s="8">
        <f t="shared" si="4"/>
        <v>100</v>
      </c>
      <c r="BG91" s="7">
        <v>30</v>
      </c>
      <c r="BH91" s="7">
        <v>20</v>
      </c>
      <c r="BI91" s="7">
        <v>20</v>
      </c>
      <c r="BJ91" s="7">
        <v>30</v>
      </c>
      <c r="BK91" s="8">
        <f t="shared" si="5"/>
        <v>100</v>
      </c>
      <c r="BL91" s="7">
        <v>20</v>
      </c>
      <c r="BM91" s="7">
        <v>30</v>
      </c>
      <c r="BN91" s="7">
        <v>20</v>
      </c>
      <c r="BO91" s="7">
        <v>30</v>
      </c>
      <c r="BP91" s="8">
        <f t="shared" si="6"/>
        <v>100</v>
      </c>
      <c r="BQ91" s="7">
        <v>40</v>
      </c>
      <c r="BR91" s="7">
        <v>10</v>
      </c>
      <c r="BS91" s="7">
        <v>40</v>
      </c>
      <c r="BT91" s="7">
        <v>10</v>
      </c>
      <c r="BU91" s="8">
        <f t="shared" si="7"/>
        <v>100</v>
      </c>
      <c r="BV91" s="7">
        <v>70</v>
      </c>
      <c r="BW91" s="7">
        <v>10</v>
      </c>
      <c r="BX91" s="7">
        <v>10</v>
      </c>
      <c r="BY91" s="7">
        <v>10</v>
      </c>
      <c r="BZ91" s="8">
        <f t="shared" si="8"/>
        <v>100</v>
      </c>
      <c r="CA91" s="7">
        <v>25</v>
      </c>
      <c r="CB91" s="7">
        <v>25</v>
      </c>
      <c r="CC91" s="7">
        <v>25</v>
      </c>
      <c r="CD91" s="7">
        <v>25</v>
      </c>
      <c r="CE91" s="8">
        <f t="shared" si="9"/>
        <v>100</v>
      </c>
      <c r="CF91" s="7">
        <v>70</v>
      </c>
      <c r="CG91" s="7">
        <v>10</v>
      </c>
      <c r="CH91" s="7">
        <v>10</v>
      </c>
      <c r="CI91" s="7">
        <v>10</v>
      </c>
      <c r="CJ91" s="8">
        <f t="shared" si="10"/>
        <v>100</v>
      </c>
      <c r="CK91" s="9">
        <v>3.98</v>
      </c>
      <c r="CL91" s="9" t="s">
        <v>117</v>
      </c>
      <c r="CM91" s="9">
        <v>4.1100000000000003</v>
      </c>
      <c r="CN91" s="9" t="s">
        <v>98</v>
      </c>
      <c r="CO91" s="34"/>
      <c r="CP91">
        <f>Form_Responses1[[#This Row],[Column89]]</f>
        <v>3.98</v>
      </c>
      <c r="CQ91">
        <f>IF(Form_Responses1[[#This Row],[Column94]]&gt;0,Form_Responses1[[#This Row],[Column94]],Form_Responses1[[#This Row],[Column91]])</f>
        <v>3.98</v>
      </c>
      <c r="CR91">
        <v>3.98</v>
      </c>
    </row>
    <row r="92" spans="1:96" ht="15">
      <c r="A92" s="12">
        <v>45619.561690127317</v>
      </c>
      <c r="B92" s="13">
        <v>0</v>
      </c>
      <c r="C92" s="13" t="s">
        <v>210</v>
      </c>
      <c r="D92" s="13" t="s">
        <v>93</v>
      </c>
      <c r="E92" s="13" t="s">
        <v>100</v>
      </c>
      <c r="F92" s="13" t="s">
        <v>101</v>
      </c>
      <c r="G92" s="13" t="s">
        <v>96</v>
      </c>
      <c r="H92" s="13" t="s">
        <v>120</v>
      </c>
      <c r="I92" s="13">
        <v>3</v>
      </c>
      <c r="J92" s="13">
        <v>4</v>
      </c>
      <c r="K92" s="13">
        <v>3</v>
      </c>
      <c r="L92" s="13">
        <v>4</v>
      </c>
      <c r="M92" s="13">
        <v>4</v>
      </c>
      <c r="N92" s="13">
        <v>3</v>
      </c>
      <c r="O92" s="13">
        <v>4</v>
      </c>
      <c r="P92" s="13">
        <v>4</v>
      </c>
      <c r="Q92" s="13">
        <v>3</v>
      </c>
      <c r="R92" s="13">
        <v>4</v>
      </c>
      <c r="S92" s="13">
        <v>3</v>
      </c>
      <c r="T92" s="13">
        <v>3</v>
      </c>
      <c r="U92" s="13">
        <v>4</v>
      </c>
      <c r="V92" s="13">
        <v>4</v>
      </c>
      <c r="W92" s="13">
        <v>4</v>
      </c>
      <c r="X92" s="13">
        <v>3</v>
      </c>
      <c r="Y92" s="13">
        <v>3</v>
      </c>
      <c r="Z92" s="13">
        <v>3</v>
      </c>
      <c r="AA92" s="13">
        <v>3</v>
      </c>
      <c r="AB92" s="13">
        <v>4</v>
      </c>
      <c r="AC92" s="13">
        <v>30</v>
      </c>
      <c r="AD92" s="13">
        <v>30</v>
      </c>
      <c r="AE92" s="13">
        <v>20</v>
      </c>
      <c r="AF92" s="13">
        <v>20</v>
      </c>
      <c r="AG92" s="8">
        <f t="shared" si="11"/>
        <v>100</v>
      </c>
      <c r="AH92" s="13">
        <v>30</v>
      </c>
      <c r="AI92" s="13">
        <v>30</v>
      </c>
      <c r="AJ92" s="13">
        <v>20</v>
      </c>
      <c r="AK92" s="13">
        <v>20</v>
      </c>
      <c r="AL92" s="8">
        <f t="shared" si="0"/>
        <v>100</v>
      </c>
      <c r="AM92" s="13">
        <v>30</v>
      </c>
      <c r="AN92" s="13">
        <v>30</v>
      </c>
      <c r="AO92" s="13">
        <v>20</v>
      </c>
      <c r="AP92" s="13">
        <v>20</v>
      </c>
      <c r="AQ92" s="8">
        <f t="shared" si="1"/>
        <v>100</v>
      </c>
      <c r="AR92" s="13">
        <v>30</v>
      </c>
      <c r="AS92" s="13">
        <v>30</v>
      </c>
      <c r="AT92" s="13">
        <v>20</v>
      </c>
      <c r="AU92" s="13">
        <v>20</v>
      </c>
      <c r="AV92" s="8">
        <f t="shared" si="2"/>
        <v>100</v>
      </c>
      <c r="AW92" s="13">
        <v>30</v>
      </c>
      <c r="AX92" s="13">
        <v>30</v>
      </c>
      <c r="AY92" s="13">
        <v>20</v>
      </c>
      <c r="AZ92" s="13">
        <v>20</v>
      </c>
      <c r="BA92" s="8">
        <f t="shared" si="3"/>
        <v>100</v>
      </c>
      <c r="BB92" s="13">
        <v>30</v>
      </c>
      <c r="BC92" s="13">
        <v>30</v>
      </c>
      <c r="BD92" s="13">
        <v>20</v>
      </c>
      <c r="BE92" s="13">
        <v>20</v>
      </c>
      <c r="BF92" s="8">
        <f t="shared" si="4"/>
        <v>100</v>
      </c>
      <c r="BG92" s="13">
        <v>30</v>
      </c>
      <c r="BH92" s="13">
        <v>30</v>
      </c>
      <c r="BI92" s="13">
        <v>20</v>
      </c>
      <c r="BJ92" s="13">
        <v>20</v>
      </c>
      <c r="BK92" s="8">
        <f t="shared" si="5"/>
        <v>100</v>
      </c>
      <c r="BL92" s="13">
        <v>30</v>
      </c>
      <c r="BM92" s="13">
        <v>30</v>
      </c>
      <c r="BN92" s="13">
        <v>20</v>
      </c>
      <c r="BO92" s="13">
        <v>20</v>
      </c>
      <c r="BP92" s="8">
        <f t="shared" si="6"/>
        <v>100</v>
      </c>
      <c r="BQ92" s="13">
        <v>30</v>
      </c>
      <c r="BR92" s="13">
        <v>30</v>
      </c>
      <c r="BS92" s="13">
        <v>20</v>
      </c>
      <c r="BT92" s="13">
        <v>20</v>
      </c>
      <c r="BU92" s="8">
        <f t="shared" si="7"/>
        <v>100</v>
      </c>
      <c r="BV92" s="13">
        <v>20</v>
      </c>
      <c r="BW92" s="13">
        <v>20</v>
      </c>
      <c r="BX92" s="13">
        <v>30</v>
      </c>
      <c r="BY92" s="13">
        <v>30</v>
      </c>
      <c r="BZ92" s="8">
        <f t="shared" si="8"/>
        <v>100</v>
      </c>
      <c r="CA92" s="13">
        <v>20</v>
      </c>
      <c r="CB92" s="13">
        <v>20</v>
      </c>
      <c r="CC92" s="13">
        <v>30</v>
      </c>
      <c r="CD92" s="13">
        <v>30</v>
      </c>
      <c r="CE92" s="8">
        <f t="shared" si="9"/>
        <v>100</v>
      </c>
      <c r="CF92" s="13">
        <v>30</v>
      </c>
      <c r="CG92" s="13">
        <v>20</v>
      </c>
      <c r="CH92" s="13">
        <v>30</v>
      </c>
      <c r="CI92" s="13">
        <v>20</v>
      </c>
      <c r="CJ92" s="8">
        <f t="shared" si="10"/>
        <v>100</v>
      </c>
      <c r="CK92" s="14">
        <v>4.37</v>
      </c>
      <c r="CL92" s="14" t="s">
        <v>98</v>
      </c>
      <c r="CM92" s="23"/>
      <c r="CN92" s="23" t="s">
        <v>211</v>
      </c>
      <c r="CO92" s="24"/>
      <c r="CP92">
        <f>Form_Responses1[[#This Row],[Column89]]</f>
        <v>4.37</v>
      </c>
      <c r="CQ92">
        <f>IF(Form_Responses1[[#This Row],[Column94]]&gt;0,Form_Responses1[[#This Row],[Column94]],Form_Responses1[[#This Row],[Column91]])</f>
        <v>4.37</v>
      </c>
      <c r="CR92">
        <v>4.37</v>
      </c>
    </row>
    <row r="93" spans="1:96" ht="15">
      <c r="A93" s="6">
        <v>45619.564263553242</v>
      </c>
      <c r="B93" s="7">
        <v>0</v>
      </c>
      <c r="C93" s="7" t="s">
        <v>212</v>
      </c>
      <c r="D93" s="7" t="s">
        <v>93</v>
      </c>
      <c r="E93" s="7" t="s">
        <v>100</v>
      </c>
      <c r="F93" s="7" t="s">
        <v>101</v>
      </c>
      <c r="G93" s="7" t="s">
        <v>96</v>
      </c>
      <c r="H93" s="7" t="s">
        <v>102</v>
      </c>
      <c r="I93" s="7">
        <v>3</v>
      </c>
      <c r="J93" s="7">
        <v>3</v>
      </c>
      <c r="K93" s="7">
        <v>3</v>
      </c>
      <c r="L93" s="7">
        <v>3</v>
      </c>
      <c r="M93" s="7">
        <v>2</v>
      </c>
      <c r="N93" s="7">
        <v>3</v>
      </c>
      <c r="O93" s="7">
        <v>2</v>
      </c>
      <c r="P93" s="7">
        <v>4</v>
      </c>
      <c r="Q93" s="7">
        <v>3</v>
      </c>
      <c r="R93" s="7">
        <v>2</v>
      </c>
      <c r="S93" s="7">
        <v>4</v>
      </c>
      <c r="T93" s="7">
        <v>4</v>
      </c>
      <c r="U93" s="7">
        <v>4</v>
      </c>
      <c r="V93" s="7">
        <v>2</v>
      </c>
      <c r="W93" s="7">
        <v>4</v>
      </c>
      <c r="X93" s="7">
        <v>3</v>
      </c>
      <c r="Y93" s="7">
        <v>2</v>
      </c>
      <c r="Z93" s="7">
        <v>3</v>
      </c>
      <c r="AA93" s="7">
        <v>3</v>
      </c>
      <c r="AB93" s="7">
        <v>3</v>
      </c>
      <c r="AC93" s="7">
        <v>70</v>
      </c>
      <c r="AD93" s="7">
        <v>10</v>
      </c>
      <c r="AE93" s="7">
        <v>10</v>
      </c>
      <c r="AF93" s="7">
        <v>10</v>
      </c>
      <c r="AG93" s="8">
        <f t="shared" si="11"/>
        <v>100</v>
      </c>
      <c r="AH93" s="7">
        <v>25</v>
      </c>
      <c r="AI93" s="7">
        <v>25</v>
      </c>
      <c r="AJ93" s="7">
        <v>25</v>
      </c>
      <c r="AK93" s="7">
        <v>25</v>
      </c>
      <c r="AL93" s="8">
        <f t="shared" si="0"/>
        <v>100</v>
      </c>
      <c r="AM93" s="7">
        <v>25</v>
      </c>
      <c r="AN93" s="7">
        <v>25</v>
      </c>
      <c r="AO93" s="7">
        <v>25</v>
      </c>
      <c r="AP93" s="7">
        <v>25</v>
      </c>
      <c r="AQ93" s="8">
        <f t="shared" si="1"/>
        <v>100</v>
      </c>
      <c r="AR93" s="7">
        <v>25</v>
      </c>
      <c r="AS93" s="7">
        <v>25</v>
      </c>
      <c r="AT93" s="7">
        <v>25</v>
      </c>
      <c r="AU93" s="7">
        <v>25</v>
      </c>
      <c r="AV93" s="8">
        <f t="shared" si="2"/>
        <v>100</v>
      </c>
      <c r="AW93" s="7">
        <v>25</v>
      </c>
      <c r="AX93" s="7">
        <v>25</v>
      </c>
      <c r="AY93" s="7">
        <v>25</v>
      </c>
      <c r="AZ93" s="7">
        <v>25</v>
      </c>
      <c r="BA93" s="8">
        <f t="shared" si="3"/>
        <v>100</v>
      </c>
      <c r="BB93" s="7">
        <v>25</v>
      </c>
      <c r="BC93" s="7">
        <v>25</v>
      </c>
      <c r="BD93" s="7">
        <v>25</v>
      </c>
      <c r="BE93" s="7">
        <v>25</v>
      </c>
      <c r="BF93" s="8">
        <f t="shared" si="4"/>
        <v>100</v>
      </c>
      <c r="BG93" s="7">
        <v>25</v>
      </c>
      <c r="BH93" s="7">
        <v>25</v>
      </c>
      <c r="BI93" s="7">
        <v>25</v>
      </c>
      <c r="BJ93" s="7">
        <v>25</v>
      </c>
      <c r="BK93" s="8">
        <f t="shared" si="5"/>
        <v>100</v>
      </c>
      <c r="BL93" s="7">
        <v>20</v>
      </c>
      <c r="BM93" s="7">
        <v>30</v>
      </c>
      <c r="BN93" s="7">
        <v>30</v>
      </c>
      <c r="BO93" s="7">
        <v>20</v>
      </c>
      <c r="BP93" s="8">
        <f t="shared" si="6"/>
        <v>100</v>
      </c>
      <c r="BQ93" s="7">
        <v>30</v>
      </c>
      <c r="BR93" s="7">
        <v>40</v>
      </c>
      <c r="BS93" s="7">
        <v>15</v>
      </c>
      <c r="BT93" s="7">
        <v>15</v>
      </c>
      <c r="BU93" s="8">
        <f t="shared" si="7"/>
        <v>100</v>
      </c>
      <c r="BV93" s="7">
        <v>25</v>
      </c>
      <c r="BW93" s="7">
        <v>25</v>
      </c>
      <c r="BX93" s="7">
        <v>25</v>
      </c>
      <c r="BY93" s="7">
        <v>25</v>
      </c>
      <c r="BZ93" s="8">
        <f t="shared" si="8"/>
        <v>100</v>
      </c>
      <c r="CA93" s="7">
        <v>40</v>
      </c>
      <c r="CB93" s="7">
        <v>30</v>
      </c>
      <c r="CC93" s="7">
        <v>15</v>
      </c>
      <c r="CD93" s="7">
        <v>15</v>
      </c>
      <c r="CE93" s="8">
        <f t="shared" si="9"/>
        <v>100</v>
      </c>
      <c r="CF93" s="7">
        <v>20</v>
      </c>
      <c r="CG93" s="7">
        <v>20</v>
      </c>
      <c r="CH93" s="7">
        <v>40</v>
      </c>
      <c r="CI93" s="7">
        <v>20</v>
      </c>
      <c r="CJ93" s="8">
        <f t="shared" si="10"/>
        <v>100</v>
      </c>
      <c r="CK93" s="9">
        <v>4.12</v>
      </c>
      <c r="CL93" s="9" t="s">
        <v>98</v>
      </c>
      <c r="CM93" s="25"/>
      <c r="CN93" s="25"/>
      <c r="CO93" s="26"/>
      <c r="CP93">
        <f>Form_Responses1[[#This Row],[Column89]]</f>
        <v>4.12</v>
      </c>
      <c r="CQ93">
        <f>IF(Form_Responses1[[#This Row],[Column94]]&gt;0,Form_Responses1[[#This Row],[Column94]],Form_Responses1[[#This Row],[Column91]])</f>
        <v>4.12</v>
      </c>
      <c r="CR93">
        <v>4.12</v>
      </c>
    </row>
    <row r="94" spans="1:96" ht="15">
      <c r="A94" s="12">
        <v>45619.571777835648</v>
      </c>
      <c r="B94" s="13">
        <v>0</v>
      </c>
      <c r="C94" s="13" t="s">
        <v>213</v>
      </c>
      <c r="D94" s="13" t="s">
        <v>107</v>
      </c>
      <c r="E94" s="13" t="s">
        <v>94</v>
      </c>
      <c r="F94" s="13" t="s">
        <v>130</v>
      </c>
      <c r="G94" s="13" t="s">
        <v>96</v>
      </c>
      <c r="H94" s="13" t="s">
        <v>120</v>
      </c>
      <c r="I94" s="13">
        <v>4</v>
      </c>
      <c r="J94" s="13">
        <v>4</v>
      </c>
      <c r="K94" s="13">
        <v>4</v>
      </c>
      <c r="L94" s="13">
        <v>4</v>
      </c>
      <c r="M94" s="13">
        <v>5</v>
      </c>
      <c r="N94" s="13">
        <v>5</v>
      </c>
      <c r="O94" s="13">
        <v>4</v>
      </c>
      <c r="P94" s="13">
        <v>4</v>
      </c>
      <c r="Q94" s="13">
        <v>4</v>
      </c>
      <c r="R94" s="13">
        <v>4</v>
      </c>
      <c r="S94" s="13">
        <v>5</v>
      </c>
      <c r="T94" s="13">
        <v>4</v>
      </c>
      <c r="U94" s="13">
        <v>5</v>
      </c>
      <c r="V94" s="13">
        <v>4</v>
      </c>
      <c r="W94" s="13">
        <v>4</v>
      </c>
      <c r="X94" s="13">
        <v>4</v>
      </c>
      <c r="Y94" s="13">
        <v>5</v>
      </c>
      <c r="Z94" s="13">
        <v>4</v>
      </c>
      <c r="AA94" s="13">
        <v>5</v>
      </c>
      <c r="AB94" s="13">
        <v>4</v>
      </c>
      <c r="AC94" s="13">
        <v>30</v>
      </c>
      <c r="AD94" s="13">
        <v>20</v>
      </c>
      <c r="AE94" s="13">
        <v>20</v>
      </c>
      <c r="AF94" s="13">
        <v>30</v>
      </c>
      <c r="AG94" s="8">
        <f t="shared" si="11"/>
        <v>100</v>
      </c>
      <c r="AH94" s="13">
        <v>30</v>
      </c>
      <c r="AI94" s="13">
        <v>20</v>
      </c>
      <c r="AJ94" s="13">
        <v>20</v>
      </c>
      <c r="AK94" s="13">
        <v>30</v>
      </c>
      <c r="AL94" s="8">
        <f t="shared" si="0"/>
        <v>100</v>
      </c>
      <c r="AM94" s="13">
        <v>30</v>
      </c>
      <c r="AN94" s="13">
        <v>30</v>
      </c>
      <c r="AO94" s="13">
        <v>20</v>
      </c>
      <c r="AP94" s="13">
        <v>20</v>
      </c>
      <c r="AQ94" s="8">
        <f t="shared" si="1"/>
        <v>100</v>
      </c>
      <c r="AR94" s="13">
        <v>30</v>
      </c>
      <c r="AS94" s="13">
        <v>30</v>
      </c>
      <c r="AT94" s="13">
        <v>20</v>
      </c>
      <c r="AU94" s="13">
        <v>20</v>
      </c>
      <c r="AV94" s="8">
        <f t="shared" si="2"/>
        <v>100</v>
      </c>
      <c r="AW94" s="13">
        <v>20</v>
      </c>
      <c r="AX94" s="13">
        <v>20</v>
      </c>
      <c r="AY94" s="13">
        <v>30</v>
      </c>
      <c r="AZ94" s="13">
        <v>30</v>
      </c>
      <c r="BA94" s="8">
        <f t="shared" si="3"/>
        <v>100</v>
      </c>
      <c r="BB94" s="13">
        <v>20</v>
      </c>
      <c r="BC94" s="13">
        <v>20</v>
      </c>
      <c r="BD94" s="13">
        <v>30</v>
      </c>
      <c r="BE94" s="13">
        <v>30</v>
      </c>
      <c r="BF94" s="8">
        <f t="shared" si="4"/>
        <v>100</v>
      </c>
      <c r="BG94" s="13">
        <v>20</v>
      </c>
      <c r="BH94" s="13">
        <v>20</v>
      </c>
      <c r="BI94" s="13">
        <v>30</v>
      </c>
      <c r="BJ94" s="13">
        <v>30</v>
      </c>
      <c r="BK94" s="8">
        <f t="shared" si="5"/>
        <v>100</v>
      </c>
      <c r="BL94" s="13">
        <v>20</v>
      </c>
      <c r="BM94" s="13">
        <v>20</v>
      </c>
      <c r="BN94" s="13">
        <v>30</v>
      </c>
      <c r="BO94" s="13">
        <v>30</v>
      </c>
      <c r="BP94" s="8">
        <f t="shared" si="6"/>
        <v>100</v>
      </c>
      <c r="BQ94" s="13">
        <v>30</v>
      </c>
      <c r="BR94" s="13">
        <v>20</v>
      </c>
      <c r="BS94" s="13">
        <v>30</v>
      </c>
      <c r="BT94" s="13">
        <v>20</v>
      </c>
      <c r="BU94" s="8">
        <f t="shared" si="7"/>
        <v>100</v>
      </c>
      <c r="BV94" s="13">
        <v>30</v>
      </c>
      <c r="BW94" s="13">
        <v>20</v>
      </c>
      <c r="BX94" s="13">
        <v>30</v>
      </c>
      <c r="BY94" s="13">
        <v>20</v>
      </c>
      <c r="BZ94" s="8">
        <f t="shared" si="8"/>
        <v>100</v>
      </c>
      <c r="CA94" s="13">
        <v>30</v>
      </c>
      <c r="CB94" s="13">
        <v>20</v>
      </c>
      <c r="CC94" s="13">
        <v>20</v>
      </c>
      <c r="CD94" s="13">
        <v>30</v>
      </c>
      <c r="CE94" s="8">
        <f t="shared" si="9"/>
        <v>100</v>
      </c>
      <c r="CF94" s="13">
        <v>30</v>
      </c>
      <c r="CG94" s="13">
        <v>20</v>
      </c>
      <c r="CH94" s="13">
        <v>20</v>
      </c>
      <c r="CI94" s="13">
        <v>30</v>
      </c>
      <c r="CJ94" s="8">
        <f t="shared" si="10"/>
        <v>100</v>
      </c>
      <c r="CK94" s="14">
        <v>4.8499999999999996</v>
      </c>
      <c r="CL94" s="19" t="s">
        <v>98</v>
      </c>
      <c r="CM94" s="23"/>
      <c r="CN94" s="23"/>
      <c r="CO94" s="24"/>
      <c r="CP94">
        <f>Form_Responses1[[#This Row],[Column89]]</f>
        <v>4.8499999999999996</v>
      </c>
      <c r="CQ94">
        <f>IF(Form_Responses1[[#This Row],[Column94]]&gt;0,Form_Responses1[[#This Row],[Column94]],Form_Responses1[[#This Row],[Column91]])</f>
        <v>4.8499999999999996</v>
      </c>
      <c r="CR94">
        <v>4.8499999999999996</v>
      </c>
    </row>
    <row r="95" spans="1:96" ht="15">
      <c r="A95" s="6">
        <v>45619.594989513891</v>
      </c>
      <c r="B95" s="7">
        <v>0</v>
      </c>
      <c r="C95" s="7" t="s">
        <v>214</v>
      </c>
      <c r="D95" s="7" t="s">
        <v>107</v>
      </c>
      <c r="E95" s="7" t="s">
        <v>100</v>
      </c>
      <c r="F95" s="7" t="s">
        <v>130</v>
      </c>
      <c r="G95" s="7" t="s">
        <v>96</v>
      </c>
      <c r="H95" s="7" t="s">
        <v>120</v>
      </c>
      <c r="I95" s="7">
        <v>5</v>
      </c>
      <c r="J95" s="7">
        <v>4</v>
      </c>
      <c r="K95" s="7">
        <v>3</v>
      </c>
      <c r="L95" s="7">
        <v>5</v>
      </c>
      <c r="M95" s="7">
        <v>4</v>
      </c>
      <c r="N95" s="7">
        <v>4</v>
      </c>
      <c r="O95" s="7">
        <v>4</v>
      </c>
      <c r="P95" s="7">
        <v>4</v>
      </c>
      <c r="Q95" s="7">
        <v>5</v>
      </c>
      <c r="R95" s="7">
        <v>5</v>
      </c>
      <c r="S95" s="7">
        <v>4</v>
      </c>
      <c r="T95" s="7">
        <v>4</v>
      </c>
      <c r="U95" s="7">
        <v>4</v>
      </c>
      <c r="V95" s="7">
        <v>4</v>
      </c>
      <c r="W95" s="7">
        <v>4</v>
      </c>
      <c r="X95" s="7">
        <v>2</v>
      </c>
      <c r="Y95" s="7">
        <v>3</v>
      </c>
      <c r="Z95" s="7">
        <v>3</v>
      </c>
      <c r="AA95" s="7">
        <v>3</v>
      </c>
      <c r="AB95" s="7">
        <v>3</v>
      </c>
      <c r="AC95" s="7">
        <v>30</v>
      </c>
      <c r="AD95" s="7">
        <v>10</v>
      </c>
      <c r="AE95" s="7">
        <v>30</v>
      </c>
      <c r="AF95" s="7">
        <v>30</v>
      </c>
      <c r="AG95" s="8">
        <f t="shared" si="11"/>
        <v>100</v>
      </c>
      <c r="AH95" s="7">
        <v>30</v>
      </c>
      <c r="AI95" s="7">
        <v>10</v>
      </c>
      <c r="AJ95" s="7">
        <v>30</v>
      </c>
      <c r="AK95" s="7">
        <v>30</v>
      </c>
      <c r="AL95" s="8">
        <f t="shared" si="0"/>
        <v>100</v>
      </c>
      <c r="AM95" s="7">
        <v>20</v>
      </c>
      <c r="AN95" s="7">
        <v>30</v>
      </c>
      <c r="AO95" s="7">
        <v>30</v>
      </c>
      <c r="AP95" s="7">
        <v>20</v>
      </c>
      <c r="AQ95" s="8">
        <f t="shared" si="1"/>
        <v>100</v>
      </c>
      <c r="AR95" s="7">
        <v>20</v>
      </c>
      <c r="AS95" s="7">
        <v>20</v>
      </c>
      <c r="AT95" s="7">
        <v>30</v>
      </c>
      <c r="AU95" s="7">
        <v>30</v>
      </c>
      <c r="AV95" s="8">
        <f t="shared" si="2"/>
        <v>100</v>
      </c>
      <c r="AW95" s="7">
        <v>20</v>
      </c>
      <c r="AX95" s="7">
        <v>20</v>
      </c>
      <c r="AY95" s="7">
        <v>30</v>
      </c>
      <c r="AZ95" s="7">
        <v>30</v>
      </c>
      <c r="BA95" s="8">
        <f t="shared" si="3"/>
        <v>100</v>
      </c>
      <c r="BB95" s="7">
        <v>20</v>
      </c>
      <c r="BC95" s="7">
        <v>20</v>
      </c>
      <c r="BD95" s="7">
        <v>30</v>
      </c>
      <c r="BE95" s="7">
        <v>30</v>
      </c>
      <c r="BF95" s="8">
        <f t="shared" si="4"/>
        <v>100</v>
      </c>
      <c r="BG95" s="7">
        <v>20</v>
      </c>
      <c r="BH95" s="7">
        <v>20</v>
      </c>
      <c r="BI95" s="7">
        <v>30</v>
      </c>
      <c r="BJ95" s="7">
        <v>30</v>
      </c>
      <c r="BK95" s="8">
        <f t="shared" si="5"/>
        <v>100</v>
      </c>
      <c r="BL95" s="7">
        <v>20</v>
      </c>
      <c r="BM95" s="7">
        <v>20</v>
      </c>
      <c r="BN95" s="7">
        <v>30</v>
      </c>
      <c r="BO95" s="7">
        <v>30</v>
      </c>
      <c r="BP95" s="8">
        <f t="shared" si="6"/>
        <v>100</v>
      </c>
      <c r="BQ95" s="7">
        <v>10</v>
      </c>
      <c r="BR95" s="7">
        <v>10</v>
      </c>
      <c r="BS95" s="7">
        <v>40</v>
      </c>
      <c r="BT95" s="7">
        <v>40</v>
      </c>
      <c r="BU95" s="8">
        <f t="shared" si="7"/>
        <v>100</v>
      </c>
      <c r="BV95" s="7">
        <v>10</v>
      </c>
      <c r="BW95" s="7">
        <v>10</v>
      </c>
      <c r="BX95" s="7">
        <v>40</v>
      </c>
      <c r="BY95" s="7">
        <v>40</v>
      </c>
      <c r="BZ95" s="8">
        <f t="shared" si="8"/>
        <v>100</v>
      </c>
      <c r="CA95" s="7">
        <v>20</v>
      </c>
      <c r="CB95" s="7">
        <v>20</v>
      </c>
      <c r="CC95" s="7">
        <v>30</v>
      </c>
      <c r="CD95" s="7">
        <v>30</v>
      </c>
      <c r="CE95" s="8">
        <f t="shared" si="9"/>
        <v>100</v>
      </c>
      <c r="CF95" s="7">
        <v>20</v>
      </c>
      <c r="CG95" s="7">
        <v>20</v>
      </c>
      <c r="CH95" s="7">
        <v>30</v>
      </c>
      <c r="CI95" s="7">
        <v>30</v>
      </c>
      <c r="CJ95" s="8">
        <f t="shared" si="10"/>
        <v>100</v>
      </c>
      <c r="CK95" s="9">
        <v>4.45</v>
      </c>
      <c r="CL95" s="10" t="s">
        <v>98</v>
      </c>
      <c r="CM95" s="25"/>
      <c r="CN95" s="25"/>
      <c r="CO95" s="26"/>
      <c r="CP95">
        <f>Form_Responses1[[#This Row],[Column89]]</f>
        <v>4.45</v>
      </c>
      <c r="CQ95">
        <f>IF(Form_Responses1[[#This Row],[Column94]]&gt;0,Form_Responses1[[#This Row],[Column94]],Form_Responses1[[#This Row],[Column91]])</f>
        <v>4.45</v>
      </c>
      <c r="CR95">
        <v>4.45</v>
      </c>
    </row>
    <row r="96" spans="1:96" ht="15">
      <c r="A96" s="12">
        <v>45619.596186168987</v>
      </c>
      <c r="B96" s="13">
        <v>0</v>
      </c>
      <c r="C96" s="13" t="s">
        <v>215</v>
      </c>
      <c r="D96" s="13" t="s">
        <v>107</v>
      </c>
      <c r="E96" s="13" t="s">
        <v>112</v>
      </c>
      <c r="F96" s="13" t="s">
        <v>130</v>
      </c>
      <c r="G96" s="13" t="s">
        <v>123</v>
      </c>
      <c r="H96" s="13" t="s">
        <v>102</v>
      </c>
      <c r="I96" s="13">
        <v>4</v>
      </c>
      <c r="J96" s="13">
        <v>4</v>
      </c>
      <c r="K96" s="13">
        <v>4</v>
      </c>
      <c r="L96" s="13">
        <v>4</v>
      </c>
      <c r="M96" s="13">
        <v>4</v>
      </c>
      <c r="N96" s="13">
        <v>4</v>
      </c>
      <c r="O96" s="13">
        <v>4</v>
      </c>
      <c r="P96" s="13">
        <v>4</v>
      </c>
      <c r="Q96" s="13">
        <v>3</v>
      </c>
      <c r="R96" s="13">
        <v>4</v>
      </c>
      <c r="S96" s="13">
        <v>3</v>
      </c>
      <c r="T96" s="13">
        <v>4</v>
      </c>
      <c r="U96" s="13">
        <v>4</v>
      </c>
      <c r="V96" s="13">
        <v>4</v>
      </c>
      <c r="W96" s="13">
        <v>4</v>
      </c>
      <c r="X96" s="13">
        <v>4</v>
      </c>
      <c r="Y96" s="13">
        <v>4</v>
      </c>
      <c r="Z96" s="13">
        <v>4</v>
      </c>
      <c r="AA96" s="13">
        <v>4</v>
      </c>
      <c r="AB96" s="13">
        <v>4</v>
      </c>
      <c r="AC96" s="13">
        <v>30</v>
      </c>
      <c r="AD96" s="13">
        <v>30</v>
      </c>
      <c r="AE96" s="13">
        <v>20</v>
      </c>
      <c r="AF96" s="13">
        <v>20</v>
      </c>
      <c r="AG96" s="8">
        <f t="shared" si="11"/>
        <v>100</v>
      </c>
      <c r="AH96" s="13">
        <v>30</v>
      </c>
      <c r="AI96" s="13">
        <v>30</v>
      </c>
      <c r="AJ96" s="13">
        <v>20</v>
      </c>
      <c r="AK96" s="13">
        <v>20</v>
      </c>
      <c r="AL96" s="8">
        <f t="shared" si="0"/>
        <v>100</v>
      </c>
      <c r="AM96" s="13">
        <v>20</v>
      </c>
      <c r="AN96" s="13">
        <v>20</v>
      </c>
      <c r="AO96" s="13">
        <v>30</v>
      </c>
      <c r="AP96" s="13">
        <v>30</v>
      </c>
      <c r="AQ96" s="8">
        <f t="shared" si="1"/>
        <v>100</v>
      </c>
      <c r="AR96" s="13">
        <v>20</v>
      </c>
      <c r="AS96" s="13">
        <v>20</v>
      </c>
      <c r="AT96" s="13">
        <v>30</v>
      </c>
      <c r="AU96" s="13">
        <v>30</v>
      </c>
      <c r="AV96" s="8">
        <f t="shared" si="2"/>
        <v>100</v>
      </c>
      <c r="AW96" s="13">
        <v>20</v>
      </c>
      <c r="AX96" s="13">
        <v>30</v>
      </c>
      <c r="AY96" s="13">
        <v>20</v>
      </c>
      <c r="AZ96" s="13">
        <v>30</v>
      </c>
      <c r="BA96" s="8">
        <f t="shared" si="3"/>
        <v>100</v>
      </c>
      <c r="BB96" s="13">
        <v>20</v>
      </c>
      <c r="BC96" s="13">
        <v>30</v>
      </c>
      <c r="BD96" s="13">
        <v>20</v>
      </c>
      <c r="BE96" s="13">
        <v>30</v>
      </c>
      <c r="BF96" s="8">
        <f t="shared" si="4"/>
        <v>100</v>
      </c>
      <c r="BG96" s="13">
        <v>30</v>
      </c>
      <c r="BH96" s="13">
        <v>30</v>
      </c>
      <c r="BI96" s="13">
        <v>20</v>
      </c>
      <c r="BJ96" s="13">
        <v>20</v>
      </c>
      <c r="BK96" s="8">
        <f t="shared" si="5"/>
        <v>100</v>
      </c>
      <c r="BL96" s="13">
        <v>30</v>
      </c>
      <c r="BM96" s="13">
        <v>30</v>
      </c>
      <c r="BN96" s="13">
        <v>20</v>
      </c>
      <c r="BO96" s="13">
        <v>20</v>
      </c>
      <c r="BP96" s="8">
        <f t="shared" si="6"/>
        <v>100</v>
      </c>
      <c r="BQ96" s="13">
        <v>30</v>
      </c>
      <c r="BR96" s="13">
        <v>30</v>
      </c>
      <c r="BS96" s="13">
        <v>20</v>
      </c>
      <c r="BT96" s="13">
        <v>20</v>
      </c>
      <c r="BU96" s="8">
        <f t="shared" si="7"/>
        <v>100</v>
      </c>
      <c r="BV96" s="13">
        <v>30</v>
      </c>
      <c r="BW96" s="13">
        <v>20</v>
      </c>
      <c r="BX96" s="13">
        <v>30</v>
      </c>
      <c r="BY96" s="13">
        <v>20</v>
      </c>
      <c r="BZ96" s="8">
        <f t="shared" si="8"/>
        <v>100</v>
      </c>
      <c r="CA96" s="13">
        <v>40</v>
      </c>
      <c r="CB96" s="13">
        <v>20</v>
      </c>
      <c r="CC96" s="13">
        <v>20</v>
      </c>
      <c r="CD96" s="13">
        <v>20</v>
      </c>
      <c r="CE96" s="8">
        <f t="shared" si="9"/>
        <v>100</v>
      </c>
      <c r="CF96" s="13">
        <v>30</v>
      </c>
      <c r="CG96" s="13">
        <v>30</v>
      </c>
      <c r="CH96" s="13">
        <v>20</v>
      </c>
      <c r="CI96" s="13">
        <v>20</v>
      </c>
      <c r="CJ96" s="8">
        <f t="shared" si="10"/>
        <v>100</v>
      </c>
      <c r="CK96" s="14">
        <v>4.3499999999999996</v>
      </c>
      <c r="CL96" s="19" t="s">
        <v>98</v>
      </c>
      <c r="CM96" s="23"/>
      <c r="CN96" s="23"/>
      <c r="CO96" s="24"/>
      <c r="CP96">
        <f>Form_Responses1[[#This Row],[Column89]]</f>
        <v>4.3499999999999996</v>
      </c>
      <c r="CQ96">
        <f>IF(Form_Responses1[[#This Row],[Column94]]&gt;0,Form_Responses1[[#This Row],[Column94]],Form_Responses1[[#This Row],[Column91]])</f>
        <v>4.3499999999999996</v>
      </c>
      <c r="CR96">
        <v>4.3499999999999996</v>
      </c>
    </row>
    <row r="97" spans="1:96">
      <c r="A97" s="6">
        <v>45619.635496932868</v>
      </c>
      <c r="B97" s="7">
        <v>0</v>
      </c>
      <c r="C97" s="7" t="s">
        <v>216</v>
      </c>
      <c r="D97" s="7" t="s">
        <v>93</v>
      </c>
      <c r="E97" s="7" t="s">
        <v>100</v>
      </c>
      <c r="F97" s="7" t="s">
        <v>95</v>
      </c>
      <c r="G97" s="7" t="s">
        <v>123</v>
      </c>
      <c r="H97" s="7" t="s">
        <v>102</v>
      </c>
      <c r="I97" s="7">
        <v>5</v>
      </c>
      <c r="J97" s="7">
        <v>5</v>
      </c>
      <c r="K97" s="7">
        <v>5</v>
      </c>
      <c r="L97" s="7">
        <v>5</v>
      </c>
      <c r="M97" s="7">
        <v>5</v>
      </c>
      <c r="N97" s="7">
        <v>4</v>
      </c>
      <c r="O97" s="7">
        <v>4</v>
      </c>
      <c r="P97" s="7">
        <v>5</v>
      </c>
      <c r="Q97" s="7">
        <v>5</v>
      </c>
      <c r="R97" s="7">
        <v>4</v>
      </c>
      <c r="S97" s="7">
        <v>5</v>
      </c>
      <c r="T97" s="7">
        <v>4</v>
      </c>
      <c r="U97" s="7">
        <v>5</v>
      </c>
      <c r="V97" s="7">
        <v>5</v>
      </c>
      <c r="W97" s="7">
        <v>5</v>
      </c>
      <c r="X97" s="7">
        <v>5</v>
      </c>
      <c r="Y97" s="7">
        <v>5</v>
      </c>
      <c r="Z97" s="7">
        <v>5</v>
      </c>
      <c r="AA97" s="7">
        <v>5</v>
      </c>
      <c r="AB97" s="7">
        <v>5</v>
      </c>
      <c r="AC97" s="7">
        <v>10</v>
      </c>
      <c r="AD97" s="7">
        <v>20</v>
      </c>
      <c r="AE97" s="7">
        <v>30</v>
      </c>
      <c r="AF97" s="7">
        <v>40</v>
      </c>
      <c r="AG97" s="8">
        <f t="shared" si="11"/>
        <v>100</v>
      </c>
      <c r="AH97" s="7">
        <v>10</v>
      </c>
      <c r="AI97" s="7">
        <v>10</v>
      </c>
      <c r="AJ97" s="7">
        <v>30</v>
      </c>
      <c r="AK97" s="7">
        <v>50</v>
      </c>
      <c r="AL97" s="8">
        <f t="shared" si="0"/>
        <v>100</v>
      </c>
      <c r="AM97" s="7">
        <v>10</v>
      </c>
      <c r="AN97" s="7">
        <v>20</v>
      </c>
      <c r="AO97" s="7">
        <v>35</v>
      </c>
      <c r="AP97" s="7">
        <v>35</v>
      </c>
      <c r="AQ97" s="8">
        <f t="shared" si="1"/>
        <v>100</v>
      </c>
      <c r="AR97" s="7">
        <v>30</v>
      </c>
      <c r="AS97" s="7">
        <v>30</v>
      </c>
      <c r="AT97" s="7">
        <v>20</v>
      </c>
      <c r="AU97" s="7">
        <v>20</v>
      </c>
      <c r="AV97" s="8">
        <f t="shared" si="2"/>
        <v>100</v>
      </c>
      <c r="AW97" s="7">
        <v>40</v>
      </c>
      <c r="AX97" s="7">
        <v>40</v>
      </c>
      <c r="AY97" s="7">
        <v>10</v>
      </c>
      <c r="AZ97" s="7">
        <v>10</v>
      </c>
      <c r="BA97" s="8">
        <f t="shared" si="3"/>
        <v>100</v>
      </c>
      <c r="BB97" s="7">
        <v>30</v>
      </c>
      <c r="BC97" s="7">
        <v>30</v>
      </c>
      <c r="BD97" s="7">
        <v>30</v>
      </c>
      <c r="BE97" s="7">
        <v>10</v>
      </c>
      <c r="BF97" s="8">
        <f t="shared" si="4"/>
        <v>100</v>
      </c>
      <c r="BG97" s="7">
        <v>10</v>
      </c>
      <c r="BH97" s="7">
        <v>30</v>
      </c>
      <c r="BI97" s="7">
        <v>30</v>
      </c>
      <c r="BJ97" s="7">
        <v>30</v>
      </c>
      <c r="BK97" s="8">
        <f t="shared" si="5"/>
        <v>100</v>
      </c>
      <c r="BL97" s="7">
        <v>15</v>
      </c>
      <c r="BM97" s="7">
        <v>25</v>
      </c>
      <c r="BN97" s="7">
        <v>25</v>
      </c>
      <c r="BO97" s="7">
        <v>35</v>
      </c>
      <c r="BP97" s="8">
        <f t="shared" si="6"/>
        <v>100</v>
      </c>
      <c r="BQ97" s="7">
        <v>25</v>
      </c>
      <c r="BR97" s="7">
        <v>25</v>
      </c>
      <c r="BS97" s="7">
        <v>25</v>
      </c>
      <c r="BT97" s="7">
        <v>25</v>
      </c>
      <c r="BU97" s="8">
        <f t="shared" si="7"/>
        <v>100</v>
      </c>
      <c r="BV97" s="7">
        <v>25</v>
      </c>
      <c r="BW97" s="7">
        <v>35</v>
      </c>
      <c r="BX97" s="7">
        <v>25</v>
      </c>
      <c r="BY97" s="7">
        <v>15</v>
      </c>
      <c r="BZ97" s="8">
        <f t="shared" si="8"/>
        <v>100</v>
      </c>
      <c r="CA97" s="7">
        <v>15</v>
      </c>
      <c r="CB97" s="7">
        <v>15</v>
      </c>
      <c r="CC97" s="7">
        <v>35</v>
      </c>
      <c r="CD97" s="7">
        <v>35</v>
      </c>
      <c r="CE97" s="8">
        <f t="shared" si="9"/>
        <v>100</v>
      </c>
      <c r="CF97" s="7">
        <v>30</v>
      </c>
      <c r="CG97" s="7">
        <v>10</v>
      </c>
      <c r="CH97" s="7">
        <v>30</v>
      </c>
      <c r="CI97" s="7">
        <v>30</v>
      </c>
      <c r="CJ97" s="8">
        <f t="shared" si="10"/>
        <v>100</v>
      </c>
      <c r="CK97" s="16"/>
      <c r="CL97" s="21"/>
      <c r="CM97" s="16">
        <v>4.25</v>
      </c>
      <c r="CN97" s="36" t="s">
        <v>98</v>
      </c>
      <c r="CO97" s="37"/>
      <c r="CP97">
        <f>Form_Responses1[[#This Row],[Column89]]</f>
        <v>0</v>
      </c>
      <c r="CQ97">
        <f>IF(Form_Responses1[[#This Row],[Column94]]&gt;0,Form_Responses1[[#This Row],[Column94]],Form_Responses1[[#This Row],[Column91]])</f>
        <v>4.25</v>
      </c>
      <c r="CR97">
        <v>4.25</v>
      </c>
    </row>
    <row r="98" spans="1:96" ht="15">
      <c r="A98" s="12">
        <v>45619.659204004631</v>
      </c>
      <c r="B98" s="13">
        <v>0</v>
      </c>
      <c r="C98" s="13" t="s">
        <v>217</v>
      </c>
      <c r="D98" s="13" t="s">
        <v>93</v>
      </c>
      <c r="E98" s="13" t="s">
        <v>100</v>
      </c>
      <c r="F98" s="13" t="s">
        <v>101</v>
      </c>
      <c r="G98" s="13" t="s">
        <v>96</v>
      </c>
      <c r="H98" s="13" t="s">
        <v>102</v>
      </c>
      <c r="I98" s="13">
        <v>5</v>
      </c>
      <c r="J98" s="13">
        <v>5</v>
      </c>
      <c r="K98" s="13">
        <v>5</v>
      </c>
      <c r="L98" s="13">
        <v>5</v>
      </c>
      <c r="M98" s="13">
        <v>5</v>
      </c>
      <c r="N98" s="13">
        <v>5</v>
      </c>
      <c r="O98" s="13">
        <v>5</v>
      </c>
      <c r="P98" s="13">
        <v>5</v>
      </c>
      <c r="Q98" s="13">
        <v>5</v>
      </c>
      <c r="R98" s="13">
        <v>5</v>
      </c>
      <c r="S98" s="13">
        <v>5</v>
      </c>
      <c r="T98" s="13">
        <v>5</v>
      </c>
      <c r="U98" s="13">
        <v>5</v>
      </c>
      <c r="V98" s="13">
        <v>5</v>
      </c>
      <c r="W98" s="13">
        <v>5</v>
      </c>
      <c r="X98" s="13">
        <v>5</v>
      </c>
      <c r="Y98" s="13">
        <v>5</v>
      </c>
      <c r="Z98" s="13">
        <v>5</v>
      </c>
      <c r="AA98" s="13">
        <v>5</v>
      </c>
      <c r="AB98" s="13">
        <v>5</v>
      </c>
      <c r="AC98" s="13">
        <v>20</v>
      </c>
      <c r="AD98" s="13">
        <v>20</v>
      </c>
      <c r="AE98" s="13">
        <v>20</v>
      </c>
      <c r="AF98" s="13">
        <v>40</v>
      </c>
      <c r="AG98" s="8">
        <f t="shared" si="11"/>
        <v>100</v>
      </c>
      <c r="AH98" s="13">
        <v>30</v>
      </c>
      <c r="AI98" s="13">
        <v>20</v>
      </c>
      <c r="AJ98" s="13">
        <v>20</v>
      </c>
      <c r="AK98" s="13">
        <v>30</v>
      </c>
      <c r="AL98" s="8">
        <f t="shared" si="0"/>
        <v>100</v>
      </c>
      <c r="AM98" s="13">
        <v>30</v>
      </c>
      <c r="AN98" s="13">
        <v>30</v>
      </c>
      <c r="AO98" s="13">
        <v>20</v>
      </c>
      <c r="AP98" s="13">
        <v>20</v>
      </c>
      <c r="AQ98" s="8">
        <f t="shared" si="1"/>
        <v>100</v>
      </c>
      <c r="AR98" s="13">
        <v>30</v>
      </c>
      <c r="AS98" s="13">
        <v>30</v>
      </c>
      <c r="AT98" s="13">
        <v>10</v>
      </c>
      <c r="AU98" s="13">
        <v>30</v>
      </c>
      <c r="AV98" s="8">
        <f t="shared" si="2"/>
        <v>100</v>
      </c>
      <c r="AW98" s="13">
        <v>20</v>
      </c>
      <c r="AX98" s="13">
        <v>20</v>
      </c>
      <c r="AY98" s="13">
        <v>30</v>
      </c>
      <c r="AZ98" s="13">
        <v>30</v>
      </c>
      <c r="BA98" s="8">
        <f t="shared" si="3"/>
        <v>100</v>
      </c>
      <c r="BB98" s="13">
        <v>30</v>
      </c>
      <c r="BC98" s="13">
        <v>30</v>
      </c>
      <c r="BD98" s="13">
        <v>30</v>
      </c>
      <c r="BE98" s="13">
        <v>10</v>
      </c>
      <c r="BF98" s="8">
        <f t="shared" si="4"/>
        <v>100</v>
      </c>
      <c r="BG98" s="13">
        <v>30</v>
      </c>
      <c r="BH98" s="13">
        <v>30</v>
      </c>
      <c r="BI98" s="13">
        <v>20</v>
      </c>
      <c r="BJ98" s="13">
        <v>20</v>
      </c>
      <c r="BK98" s="8">
        <f t="shared" si="5"/>
        <v>100</v>
      </c>
      <c r="BL98" s="13">
        <v>40</v>
      </c>
      <c r="BM98" s="13">
        <v>40</v>
      </c>
      <c r="BN98" s="13">
        <v>10</v>
      </c>
      <c r="BO98" s="13">
        <v>10</v>
      </c>
      <c r="BP98" s="8">
        <f t="shared" si="6"/>
        <v>100</v>
      </c>
      <c r="BQ98" s="13">
        <v>40</v>
      </c>
      <c r="BR98" s="13">
        <v>40</v>
      </c>
      <c r="BS98" s="13">
        <v>10</v>
      </c>
      <c r="BT98" s="13">
        <v>10</v>
      </c>
      <c r="BU98" s="8">
        <f t="shared" si="7"/>
        <v>100</v>
      </c>
      <c r="BV98" s="13">
        <v>30</v>
      </c>
      <c r="BW98" s="13">
        <v>20</v>
      </c>
      <c r="BX98" s="13">
        <v>20</v>
      </c>
      <c r="BY98" s="13">
        <v>30</v>
      </c>
      <c r="BZ98" s="8">
        <f t="shared" si="8"/>
        <v>100</v>
      </c>
      <c r="CA98" s="13">
        <v>30</v>
      </c>
      <c r="CB98" s="13">
        <v>20</v>
      </c>
      <c r="CC98" s="13">
        <v>20</v>
      </c>
      <c r="CD98" s="13">
        <v>30</v>
      </c>
      <c r="CE98" s="8">
        <f t="shared" si="9"/>
        <v>100</v>
      </c>
      <c r="CF98" s="13">
        <v>30</v>
      </c>
      <c r="CG98" s="13">
        <v>20</v>
      </c>
      <c r="CH98" s="13">
        <v>20</v>
      </c>
      <c r="CI98" s="13">
        <v>30</v>
      </c>
      <c r="CJ98" s="8">
        <f t="shared" si="10"/>
        <v>100</v>
      </c>
      <c r="CK98" s="14">
        <v>4.93</v>
      </c>
      <c r="CL98" s="14" t="s">
        <v>98</v>
      </c>
      <c r="CM98" s="23" t="s">
        <v>218</v>
      </c>
      <c r="CN98" s="23"/>
      <c r="CO98" s="24"/>
      <c r="CP98">
        <f>Form_Responses1[[#This Row],[Column89]]</f>
        <v>4.93</v>
      </c>
      <c r="CQ98">
        <f>IF(Form_Responses1[[#This Row],[Column94]]&gt;0,Form_Responses1[[#This Row],[Column94]],Form_Responses1[[#This Row],[Column91]])</f>
        <v>4.93</v>
      </c>
      <c r="CR98">
        <v>4.93</v>
      </c>
    </row>
    <row r="99" spans="1:96" ht="15">
      <c r="A99" s="6">
        <v>45619.675732476855</v>
      </c>
      <c r="B99" s="7">
        <v>0</v>
      </c>
      <c r="C99" s="7" t="s">
        <v>219</v>
      </c>
      <c r="D99" s="7" t="s">
        <v>107</v>
      </c>
      <c r="E99" s="7" t="s">
        <v>100</v>
      </c>
      <c r="F99" s="7" t="s">
        <v>95</v>
      </c>
      <c r="G99" s="7" t="s">
        <v>96</v>
      </c>
      <c r="H99" s="7" t="s">
        <v>102</v>
      </c>
      <c r="I99" s="7">
        <v>4</v>
      </c>
      <c r="J99" s="7">
        <v>4</v>
      </c>
      <c r="K99" s="7">
        <v>4</v>
      </c>
      <c r="L99" s="7">
        <v>4</v>
      </c>
      <c r="M99" s="7">
        <v>4</v>
      </c>
      <c r="N99" s="7">
        <v>4</v>
      </c>
      <c r="O99" s="7">
        <v>4</v>
      </c>
      <c r="P99" s="7">
        <v>4</v>
      </c>
      <c r="Q99" s="7">
        <v>4</v>
      </c>
      <c r="R99" s="7">
        <v>4</v>
      </c>
      <c r="S99" s="7">
        <v>4</v>
      </c>
      <c r="T99" s="7">
        <v>4</v>
      </c>
      <c r="U99" s="7">
        <v>4</v>
      </c>
      <c r="V99" s="7">
        <v>4</v>
      </c>
      <c r="W99" s="7">
        <v>4</v>
      </c>
      <c r="X99" s="7">
        <v>4</v>
      </c>
      <c r="Y99" s="7">
        <v>4</v>
      </c>
      <c r="Z99" s="7">
        <v>4</v>
      </c>
      <c r="AA99" s="7">
        <v>4</v>
      </c>
      <c r="AB99" s="7">
        <v>4</v>
      </c>
      <c r="AC99" s="7">
        <v>25</v>
      </c>
      <c r="AD99" s="7">
        <v>25</v>
      </c>
      <c r="AE99" s="7">
        <v>25</v>
      </c>
      <c r="AF99" s="7">
        <v>25</v>
      </c>
      <c r="AG99" s="8">
        <f t="shared" si="11"/>
        <v>100</v>
      </c>
      <c r="AH99" s="7">
        <v>25</v>
      </c>
      <c r="AI99" s="7">
        <v>25</v>
      </c>
      <c r="AJ99" s="7">
        <v>25</v>
      </c>
      <c r="AK99" s="7">
        <v>25</v>
      </c>
      <c r="AL99" s="8">
        <f t="shared" si="0"/>
        <v>100</v>
      </c>
      <c r="AM99" s="7">
        <v>25</v>
      </c>
      <c r="AN99" s="7">
        <v>25</v>
      </c>
      <c r="AO99" s="7">
        <v>25</v>
      </c>
      <c r="AP99" s="7">
        <v>25</v>
      </c>
      <c r="AQ99" s="8">
        <f t="shared" si="1"/>
        <v>100</v>
      </c>
      <c r="AR99" s="7">
        <v>25</v>
      </c>
      <c r="AS99" s="7">
        <v>25</v>
      </c>
      <c r="AT99" s="7">
        <v>25</v>
      </c>
      <c r="AU99" s="7">
        <v>25</v>
      </c>
      <c r="AV99" s="8">
        <f t="shared" si="2"/>
        <v>100</v>
      </c>
      <c r="AW99" s="7">
        <v>25</v>
      </c>
      <c r="AX99" s="7">
        <v>25</v>
      </c>
      <c r="AY99" s="7">
        <v>25</v>
      </c>
      <c r="AZ99" s="7">
        <v>25</v>
      </c>
      <c r="BA99" s="8">
        <f t="shared" si="3"/>
        <v>100</v>
      </c>
      <c r="BB99" s="7">
        <v>25</v>
      </c>
      <c r="BC99" s="7">
        <v>25</v>
      </c>
      <c r="BD99" s="7">
        <v>25</v>
      </c>
      <c r="BE99" s="7">
        <v>25</v>
      </c>
      <c r="BF99" s="8">
        <f t="shared" si="4"/>
        <v>100</v>
      </c>
      <c r="BG99" s="7">
        <v>25</v>
      </c>
      <c r="BH99" s="7">
        <v>25</v>
      </c>
      <c r="BI99" s="7">
        <v>25</v>
      </c>
      <c r="BJ99" s="7">
        <v>25</v>
      </c>
      <c r="BK99" s="8">
        <f t="shared" si="5"/>
        <v>100</v>
      </c>
      <c r="BL99" s="7">
        <v>25</v>
      </c>
      <c r="BM99" s="7">
        <v>25</v>
      </c>
      <c r="BN99" s="7">
        <v>25</v>
      </c>
      <c r="BO99" s="7">
        <v>25</v>
      </c>
      <c r="BP99" s="8">
        <f t="shared" si="6"/>
        <v>100</v>
      </c>
      <c r="BQ99" s="7">
        <v>25</v>
      </c>
      <c r="BR99" s="7">
        <v>25</v>
      </c>
      <c r="BS99" s="7">
        <v>25</v>
      </c>
      <c r="BT99" s="7">
        <v>25</v>
      </c>
      <c r="BU99" s="8">
        <f t="shared" si="7"/>
        <v>100</v>
      </c>
      <c r="BV99" s="7">
        <v>25</v>
      </c>
      <c r="BW99" s="7">
        <v>25</v>
      </c>
      <c r="BX99" s="7">
        <v>25</v>
      </c>
      <c r="BY99" s="7">
        <v>25</v>
      </c>
      <c r="BZ99" s="8">
        <f t="shared" si="8"/>
        <v>100</v>
      </c>
      <c r="CA99" s="7">
        <v>25</v>
      </c>
      <c r="CB99" s="7">
        <v>25</v>
      </c>
      <c r="CC99" s="7">
        <v>25</v>
      </c>
      <c r="CD99" s="7">
        <v>25</v>
      </c>
      <c r="CE99" s="8">
        <f t="shared" si="9"/>
        <v>100</v>
      </c>
      <c r="CF99" s="7">
        <v>25</v>
      </c>
      <c r="CG99" s="7">
        <v>25</v>
      </c>
      <c r="CH99" s="7">
        <v>25</v>
      </c>
      <c r="CI99" s="7">
        <v>25</v>
      </c>
      <c r="CJ99" s="8">
        <f t="shared" si="10"/>
        <v>100</v>
      </c>
      <c r="CK99" s="16">
        <v>4.29</v>
      </c>
      <c r="CL99" s="10" t="s">
        <v>98</v>
      </c>
      <c r="CM99" s="16">
        <v>4.54</v>
      </c>
      <c r="CN99" s="10" t="s">
        <v>98</v>
      </c>
      <c r="CO99" s="11"/>
      <c r="CP99">
        <f>Form_Responses1[[#This Row],[Column89]]</f>
        <v>4.29</v>
      </c>
      <c r="CQ99">
        <f>IF(Form_Responses1[[#This Row],[Column94]]&gt;0,Form_Responses1[[#This Row],[Column94]],Form_Responses1[[#This Row],[Column91]])</f>
        <v>4.29</v>
      </c>
      <c r="CR99">
        <v>4.29</v>
      </c>
    </row>
    <row r="100" spans="1:96" ht="15">
      <c r="A100" s="12">
        <v>45619.722388483795</v>
      </c>
      <c r="B100" s="13">
        <v>0</v>
      </c>
      <c r="C100" s="13" t="s">
        <v>220</v>
      </c>
      <c r="D100" s="13" t="s">
        <v>107</v>
      </c>
      <c r="E100" s="13" t="s">
        <v>94</v>
      </c>
      <c r="F100" s="13" t="s">
        <v>101</v>
      </c>
      <c r="G100" s="13" t="s">
        <v>96</v>
      </c>
      <c r="H100" s="13" t="s">
        <v>120</v>
      </c>
      <c r="I100" s="13">
        <v>5</v>
      </c>
      <c r="J100" s="13">
        <v>5</v>
      </c>
      <c r="K100" s="13">
        <v>5</v>
      </c>
      <c r="L100" s="13">
        <v>5</v>
      </c>
      <c r="M100" s="13">
        <v>5</v>
      </c>
      <c r="N100" s="13">
        <v>5</v>
      </c>
      <c r="O100" s="13">
        <v>5</v>
      </c>
      <c r="P100" s="13">
        <v>5</v>
      </c>
      <c r="Q100" s="13">
        <v>4</v>
      </c>
      <c r="R100" s="13">
        <v>5</v>
      </c>
      <c r="S100" s="13">
        <v>5</v>
      </c>
      <c r="T100" s="13">
        <v>5</v>
      </c>
      <c r="U100" s="13">
        <v>5</v>
      </c>
      <c r="V100" s="13">
        <v>5</v>
      </c>
      <c r="W100" s="13">
        <v>5</v>
      </c>
      <c r="X100" s="13">
        <v>5</v>
      </c>
      <c r="Y100" s="13">
        <v>5</v>
      </c>
      <c r="Z100" s="13">
        <v>5</v>
      </c>
      <c r="AA100" s="13">
        <v>5</v>
      </c>
      <c r="AB100" s="13">
        <v>5</v>
      </c>
      <c r="AC100" s="13">
        <v>70</v>
      </c>
      <c r="AD100" s="13">
        <v>10</v>
      </c>
      <c r="AE100" s="13">
        <v>10</v>
      </c>
      <c r="AF100" s="13">
        <v>10</v>
      </c>
      <c r="AG100" s="8">
        <f t="shared" si="11"/>
        <v>100</v>
      </c>
      <c r="AH100" s="13">
        <v>70</v>
      </c>
      <c r="AI100" s="13">
        <v>10</v>
      </c>
      <c r="AJ100" s="13">
        <v>10</v>
      </c>
      <c r="AK100" s="13">
        <v>10</v>
      </c>
      <c r="AL100" s="8">
        <f t="shared" si="0"/>
        <v>100</v>
      </c>
      <c r="AM100" s="13">
        <v>10</v>
      </c>
      <c r="AN100" s="13">
        <v>10</v>
      </c>
      <c r="AO100" s="13">
        <v>10</v>
      </c>
      <c r="AP100" s="13">
        <v>70</v>
      </c>
      <c r="AQ100" s="8">
        <f t="shared" si="1"/>
        <v>100</v>
      </c>
      <c r="AR100" s="13">
        <v>10</v>
      </c>
      <c r="AS100" s="13">
        <v>20</v>
      </c>
      <c r="AT100" s="13">
        <v>50</v>
      </c>
      <c r="AU100" s="13">
        <v>20</v>
      </c>
      <c r="AV100" s="8">
        <f t="shared" si="2"/>
        <v>100</v>
      </c>
      <c r="AW100" s="13">
        <v>20</v>
      </c>
      <c r="AX100" s="13">
        <v>20</v>
      </c>
      <c r="AY100" s="13">
        <v>30</v>
      </c>
      <c r="AZ100" s="13">
        <v>30</v>
      </c>
      <c r="BA100" s="8">
        <f t="shared" si="3"/>
        <v>100</v>
      </c>
      <c r="BB100" s="13">
        <v>55</v>
      </c>
      <c r="BC100" s="13">
        <v>15</v>
      </c>
      <c r="BD100" s="13">
        <v>15</v>
      </c>
      <c r="BE100" s="13">
        <v>15</v>
      </c>
      <c r="BF100" s="8">
        <f t="shared" si="4"/>
        <v>100</v>
      </c>
      <c r="BG100" s="13">
        <v>20</v>
      </c>
      <c r="BH100" s="13">
        <v>20</v>
      </c>
      <c r="BI100" s="13">
        <v>20</v>
      </c>
      <c r="BJ100" s="13">
        <v>40</v>
      </c>
      <c r="BK100" s="8">
        <f t="shared" si="5"/>
        <v>100</v>
      </c>
      <c r="BL100" s="13">
        <v>30</v>
      </c>
      <c r="BM100" s="13">
        <v>40</v>
      </c>
      <c r="BN100" s="13">
        <v>10</v>
      </c>
      <c r="BO100" s="13">
        <v>20</v>
      </c>
      <c r="BP100" s="8">
        <f t="shared" si="6"/>
        <v>100</v>
      </c>
      <c r="BQ100" s="13">
        <v>20</v>
      </c>
      <c r="BR100" s="13">
        <v>10</v>
      </c>
      <c r="BS100" s="13">
        <v>35</v>
      </c>
      <c r="BT100" s="13">
        <v>35</v>
      </c>
      <c r="BU100" s="8">
        <f t="shared" si="7"/>
        <v>100</v>
      </c>
      <c r="BV100" s="13">
        <v>20</v>
      </c>
      <c r="BW100" s="13">
        <v>20</v>
      </c>
      <c r="BX100" s="13">
        <v>30</v>
      </c>
      <c r="BY100" s="13">
        <v>30</v>
      </c>
      <c r="BZ100" s="8">
        <f t="shared" si="8"/>
        <v>100</v>
      </c>
      <c r="CA100" s="13">
        <v>40</v>
      </c>
      <c r="CB100" s="13">
        <v>20</v>
      </c>
      <c r="CC100" s="13">
        <v>20</v>
      </c>
      <c r="CD100" s="13">
        <v>20</v>
      </c>
      <c r="CE100" s="8">
        <f t="shared" si="9"/>
        <v>100</v>
      </c>
      <c r="CF100" s="13">
        <v>15</v>
      </c>
      <c r="CG100" s="13">
        <v>25</v>
      </c>
      <c r="CH100" s="13">
        <v>15</v>
      </c>
      <c r="CI100" s="13">
        <v>45</v>
      </c>
      <c r="CJ100" s="8">
        <f t="shared" si="10"/>
        <v>100</v>
      </c>
      <c r="CK100" s="18">
        <v>4.45</v>
      </c>
      <c r="CL100" s="19" t="s">
        <v>98</v>
      </c>
      <c r="CM100" s="23"/>
      <c r="CN100" s="23"/>
      <c r="CO100" s="24"/>
      <c r="CP100">
        <f>Form_Responses1[[#This Row],[Column89]]</f>
        <v>4.45</v>
      </c>
      <c r="CQ100">
        <f>IF(Form_Responses1[[#This Row],[Column94]]&gt;0,Form_Responses1[[#This Row],[Column94]],Form_Responses1[[#This Row],[Column91]])</f>
        <v>4.45</v>
      </c>
      <c r="CR100">
        <v>4.45</v>
      </c>
    </row>
    <row r="101" spans="1:96" ht="15">
      <c r="A101" s="6">
        <v>45619.863167974538</v>
      </c>
      <c r="B101" s="7">
        <v>0</v>
      </c>
      <c r="C101" s="7" t="s">
        <v>221</v>
      </c>
      <c r="D101" s="7" t="s">
        <v>107</v>
      </c>
      <c r="E101" s="7" t="s">
        <v>100</v>
      </c>
      <c r="F101" s="7" t="s">
        <v>130</v>
      </c>
      <c r="G101" s="7" t="s">
        <v>123</v>
      </c>
      <c r="H101" s="7" t="s">
        <v>102</v>
      </c>
      <c r="I101" s="7">
        <v>2</v>
      </c>
      <c r="J101" s="7">
        <v>2</v>
      </c>
      <c r="K101" s="7">
        <v>2</v>
      </c>
      <c r="L101" s="7">
        <v>2</v>
      </c>
      <c r="M101" s="7">
        <v>2</v>
      </c>
      <c r="N101" s="7">
        <v>2</v>
      </c>
      <c r="O101" s="7">
        <v>2</v>
      </c>
      <c r="P101" s="7">
        <v>2</v>
      </c>
      <c r="Q101" s="7">
        <v>2</v>
      </c>
      <c r="R101" s="7">
        <v>2</v>
      </c>
      <c r="S101" s="7">
        <v>2</v>
      </c>
      <c r="T101" s="7">
        <v>2</v>
      </c>
      <c r="U101" s="7">
        <v>2</v>
      </c>
      <c r="V101" s="7">
        <v>2</v>
      </c>
      <c r="W101" s="7">
        <v>2</v>
      </c>
      <c r="X101" s="7">
        <v>2</v>
      </c>
      <c r="Y101" s="7">
        <v>2</v>
      </c>
      <c r="Z101" s="7">
        <v>2</v>
      </c>
      <c r="AA101" s="7">
        <v>2</v>
      </c>
      <c r="AB101" s="7">
        <v>2</v>
      </c>
      <c r="AC101" s="7">
        <v>20</v>
      </c>
      <c r="AD101" s="7">
        <v>30</v>
      </c>
      <c r="AE101" s="7">
        <v>30</v>
      </c>
      <c r="AF101" s="7">
        <v>20</v>
      </c>
      <c r="AG101" s="8">
        <f t="shared" si="11"/>
        <v>100</v>
      </c>
      <c r="AH101" s="7">
        <v>30</v>
      </c>
      <c r="AI101" s="7">
        <v>20</v>
      </c>
      <c r="AJ101" s="7">
        <v>20</v>
      </c>
      <c r="AK101" s="7">
        <v>30</v>
      </c>
      <c r="AL101" s="8">
        <f t="shared" si="0"/>
        <v>100</v>
      </c>
      <c r="AM101" s="7">
        <v>30</v>
      </c>
      <c r="AN101" s="7">
        <v>20</v>
      </c>
      <c r="AO101" s="7">
        <v>20</v>
      </c>
      <c r="AP101" s="7">
        <v>30</v>
      </c>
      <c r="AQ101" s="8">
        <f t="shared" si="1"/>
        <v>100</v>
      </c>
      <c r="AR101" s="7">
        <v>30</v>
      </c>
      <c r="AS101" s="7">
        <v>20</v>
      </c>
      <c r="AT101" s="7">
        <v>30</v>
      </c>
      <c r="AU101" s="7">
        <v>20</v>
      </c>
      <c r="AV101" s="8">
        <f t="shared" si="2"/>
        <v>100</v>
      </c>
      <c r="AW101" s="7">
        <v>30</v>
      </c>
      <c r="AX101" s="7">
        <v>30</v>
      </c>
      <c r="AY101" s="7">
        <v>20</v>
      </c>
      <c r="AZ101" s="7">
        <v>20</v>
      </c>
      <c r="BA101" s="8">
        <f t="shared" si="3"/>
        <v>100</v>
      </c>
      <c r="BB101" s="7">
        <v>20</v>
      </c>
      <c r="BC101" s="7">
        <v>20</v>
      </c>
      <c r="BD101" s="7">
        <v>20</v>
      </c>
      <c r="BE101" s="7">
        <v>40</v>
      </c>
      <c r="BF101" s="8">
        <f t="shared" si="4"/>
        <v>100</v>
      </c>
      <c r="BG101" s="7">
        <v>40</v>
      </c>
      <c r="BH101" s="7">
        <v>20</v>
      </c>
      <c r="BI101" s="7">
        <v>20</v>
      </c>
      <c r="BJ101" s="7">
        <v>20</v>
      </c>
      <c r="BK101" s="8">
        <f t="shared" si="5"/>
        <v>100</v>
      </c>
      <c r="BL101" s="7">
        <v>20</v>
      </c>
      <c r="BM101" s="7">
        <v>30</v>
      </c>
      <c r="BN101" s="7">
        <v>20</v>
      </c>
      <c r="BO101" s="7">
        <v>30</v>
      </c>
      <c r="BP101" s="8">
        <f t="shared" si="6"/>
        <v>100</v>
      </c>
      <c r="BQ101" s="7">
        <v>20</v>
      </c>
      <c r="BR101" s="7">
        <v>30</v>
      </c>
      <c r="BS101" s="7">
        <v>30</v>
      </c>
      <c r="BT101" s="7">
        <v>20</v>
      </c>
      <c r="BU101" s="8">
        <f t="shared" si="7"/>
        <v>100</v>
      </c>
      <c r="BV101" s="7">
        <v>20</v>
      </c>
      <c r="BW101" s="7">
        <v>30</v>
      </c>
      <c r="BX101" s="7">
        <v>30</v>
      </c>
      <c r="BY101" s="7">
        <v>20</v>
      </c>
      <c r="BZ101" s="8">
        <f t="shared" si="8"/>
        <v>100</v>
      </c>
      <c r="CA101" s="7">
        <v>30</v>
      </c>
      <c r="CB101" s="7">
        <v>10</v>
      </c>
      <c r="CC101" s="7">
        <v>30</v>
      </c>
      <c r="CD101" s="7">
        <v>30</v>
      </c>
      <c r="CE101" s="8">
        <f t="shared" si="9"/>
        <v>100</v>
      </c>
      <c r="CF101" s="7">
        <v>30</v>
      </c>
      <c r="CG101" s="7">
        <v>20</v>
      </c>
      <c r="CH101" s="7">
        <v>30</v>
      </c>
      <c r="CI101" s="7">
        <v>20</v>
      </c>
      <c r="CJ101" s="8">
        <f t="shared" si="10"/>
        <v>100</v>
      </c>
      <c r="CK101" s="9">
        <v>3.94</v>
      </c>
      <c r="CL101" s="9" t="s">
        <v>117</v>
      </c>
      <c r="CM101" s="9">
        <v>4.1500000000000004</v>
      </c>
      <c r="CN101" s="10" t="s">
        <v>98</v>
      </c>
      <c r="CO101" s="11"/>
      <c r="CP101">
        <f>Form_Responses1[[#This Row],[Column89]]</f>
        <v>3.94</v>
      </c>
      <c r="CQ101">
        <f>IF(Form_Responses1[[#This Row],[Column94]]&gt;0,Form_Responses1[[#This Row],[Column94]],Form_Responses1[[#This Row],[Column91]])</f>
        <v>3.94</v>
      </c>
      <c r="CR101">
        <v>3.94</v>
      </c>
    </row>
    <row r="102" spans="1:96" ht="15">
      <c r="A102" s="12">
        <v>45619.865222685185</v>
      </c>
      <c r="B102" s="13">
        <v>0</v>
      </c>
      <c r="C102" s="13" t="s">
        <v>222</v>
      </c>
      <c r="D102" s="13" t="s">
        <v>107</v>
      </c>
      <c r="E102" s="13" t="s">
        <v>100</v>
      </c>
      <c r="F102" s="13" t="s">
        <v>101</v>
      </c>
      <c r="G102" s="13" t="s">
        <v>96</v>
      </c>
      <c r="H102" s="13" t="s">
        <v>102</v>
      </c>
      <c r="I102" s="13">
        <v>2</v>
      </c>
      <c r="J102" s="13">
        <v>3</v>
      </c>
      <c r="K102" s="13">
        <v>2</v>
      </c>
      <c r="L102" s="13">
        <v>3</v>
      </c>
      <c r="M102" s="13">
        <v>3</v>
      </c>
      <c r="N102" s="13">
        <v>2</v>
      </c>
      <c r="O102" s="13">
        <v>2</v>
      </c>
      <c r="P102" s="13">
        <v>2</v>
      </c>
      <c r="Q102" s="13">
        <v>2</v>
      </c>
      <c r="R102" s="13">
        <v>2</v>
      </c>
      <c r="S102" s="13">
        <v>3</v>
      </c>
      <c r="T102" s="13">
        <v>2</v>
      </c>
      <c r="U102" s="13">
        <v>2</v>
      </c>
      <c r="V102" s="13">
        <v>2</v>
      </c>
      <c r="W102" s="13">
        <v>3</v>
      </c>
      <c r="X102" s="13">
        <v>3</v>
      </c>
      <c r="Y102" s="13">
        <v>2</v>
      </c>
      <c r="Z102" s="13">
        <v>3</v>
      </c>
      <c r="AA102" s="13">
        <v>3</v>
      </c>
      <c r="AB102" s="13">
        <v>3</v>
      </c>
      <c r="AC102" s="13">
        <v>25</v>
      </c>
      <c r="AD102" s="13">
        <v>10</v>
      </c>
      <c r="AE102" s="13">
        <v>25</v>
      </c>
      <c r="AF102" s="13">
        <v>40</v>
      </c>
      <c r="AG102" s="8">
        <f t="shared" si="11"/>
        <v>100</v>
      </c>
      <c r="AH102" s="13">
        <v>30</v>
      </c>
      <c r="AI102" s="13">
        <v>10</v>
      </c>
      <c r="AJ102" s="13">
        <v>20</v>
      </c>
      <c r="AK102" s="13">
        <v>40</v>
      </c>
      <c r="AL102" s="8">
        <f t="shared" si="0"/>
        <v>100</v>
      </c>
      <c r="AM102" s="13">
        <v>35</v>
      </c>
      <c r="AN102" s="13">
        <v>10</v>
      </c>
      <c r="AO102" s="13">
        <v>35</v>
      </c>
      <c r="AP102" s="13">
        <v>20</v>
      </c>
      <c r="AQ102" s="8">
        <f t="shared" si="1"/>
        <v>100</v>
      </c>
      <c r="AR102" s="13">
        <v>30</v>
      </c>
      <c r="AS102" s="13">
        <v>20</v>
      </c>
      <c r="AT102" s="13">
        <v>20</v>
      </c>
      <c r="AU102" s="13">
        <v>30</v>
      </c>
      <c r="AV102" s="8">
        <f t="shared" si="2"/>
        <v>100</v>
      </c>
      <c r="AW102" s="13">
        <v>25</v>
      </c>
      <c r="AX102" s="13">
        <v>25</v>
      </c>
      <c r="AY102" s="13">
        <v>25</v>
      </c>
      <c r="AZ102" s="13">
        <v>25</v>
      </c>
      <c r="BA102" s="8">
        <f t="shared" si="3"/>
        <v>100</v>
      </c>
      <c r="BB102" s="13">
        <v>25</v>
      </c>
      <c r="BC102" s="13">
        <v>25</v>
      </c>
      <c r="BD102" s="13">
        <v>25</v>
      </c>
      <c r="BE102" s="13">
        <v>25</v>
      </c>
      <c r="BF102" s="8">
        <f t="shared" si="4"/>
        <v>100</v>
      </c>
      <c r="BG102" s="13">
        <v>25</v>
      </c>
      <c r="BH102" s="13">
        <v>25</v>
      </c>
      <c r="BI102" s="13">
        <v>25</v>
      </c>
      <c r="BJ102" s="13">
        <v>25</v>
      </c>
      <c r="BK102" s="8">
        <f t="shared" si="5"/>
        <v>100</v>
      </c>
      <c r="BL102" s="13">
        <v>25</v>
      </c>
      <c r="BM102" s="13">
        <v>25</v>
      </c>
      <c r="BN102" s="13">
        <v>25</v>
      </c>
      <c r="BO102" s="13">
        <v>25</v>
      </c>
      <c r="BP102" s="8">
        <f t="shared" si="6"/>
        <v>100</v>
      </c>
      <c r="BQ102" s="13">
        <v>25</v>
      </c>
      <c r="BR102" s="13">
        <v>25</v>
      </c>
      <c r="BS102" s="13">
        <v>25</v>
      </c>
      <c r="BT102" s="13">
        <v>25</v>
      </c>
      <c r="BU102" s="8">
        <f t="shared" si="7"/>
        <v>100</v>
      </c>
      <c r="BV102" s="13">
        <v>25</v>
      </c>
      <c r="BW102" s="13">
        <v>25</v>
      </c>
      <c r="BX102" s="13">
        <v>25</v>
      </c>
      <c r="BY102" s="13">
        <v>25</v>
      </c>
      <c r="BZ102" s="8">
        <f t="shared" si="8"/>
        <v>100</v>
      </c>
      <c r="CA102" s="13">
        <v>40</v>
      </c>
      <c r="CB102" s="13">
        <v>20</v>
      </c>
      <c r="CC102" s="13">
        <v>20</v>
      </c>
      <c r="CD102" s="13">
        <v>20</v>
      </c>
      <c r="CE102" s="8">
        <f t="shared" si="9"/>
        <v>100</v>
      </c>
      <c r="CF102" s="13">
        <v>40</v>
      </c>
      <c r="CG102" s="13">
        <v>20</v>
      </c>
      <c r="CH102" s="13">
        <v>20</v>
      </c>
      <c r="CI102" s="13">
        <v>20</v>
      </c>
      <c r="CJ102" s="8">
        <f t="shared" si="10"/>
        <v>100</v>
      </c>
      <c r="CK102" s="18">
        <v>3.79</v>
      </c>
      <c r="CL102" s="18" t="s">
        <v>117</v>
      </c>
      <c r="CM102" s="23"/>
      <c r="CN102" s="23"/>
      <c r="CO102" s="24"/>
      <c r="CP102">
        <f>Form_Responses1[[#This Row],[Column89]]</f>
        <v>3.79</v>
      </c>
      <c r="CQ102">
        <f>IF(Form_Responses1[[#This Row],[Column94]]&gt;0,Form_Responses1[[#This Row],[Column94]],Form_Responses1[[#This Row],[Column91]])</f>
        <v>3.79</v>
      </c>
      <c r="CR102">
        <v>3.79</v>
      </c>
    </row>
    <row r="103" spans="1:96" ht="15">
      <c r="A103" s="6">
        <v>45620.635146122688</v>
      </c>
      <c r="B103" s="7">
        <v>0</v>
      </c>
      <c r="C103" s="7" t="s">
        <v>223</v>
      </c>
      <c r="D103" s="7" t="s">
        <v>107</v>
      </c>
      <c r="E103" s="7" t="s">
        <v>100</v>
      </c>
      <c r="F103" s="7" t="s">
        <v>130</v>
      </c>
      <c r="G103" s="7" t="s">
        <v>96</v>
      </c>
      <c r="H103" s="7" t="s">
        <v>102</v>
      </c>
      <c r="I103" s="7">
        <v>4</v>
      </c>
      <c r="J103" s="7">
        <v>4</v>
      </c>
      <c r="K103" s="7">
        <v>4</v>
      </c>
      <c r="L103" s="7">
        <v>4</v>
      </c>
      <c r="M103" s="7">
        <v>4</v>
      </c>
      <c r="N103" s="7">
        <v>4</v>
      </c>
      <c r="O103" s="7">
        <v>4</v>
      </c>
      <c r="P103" s="7">
        <v>4</v>
      </c>
      <c r="Q103" s="7">
        <v>4</v>
      </c>
      <c r="R103" s="7">
        <v>4</v>
      </c>
      <c r="S103" s="7">
        <v>4</v>
      </c>
      <c r="T103" s="7">
        <v>4</v>
      </c>
      <c r="U103" s="7">
        <v>4</v>
      </c>
      <c r="V103" s="7">
        <v>4</v>
      </c>
      <c r="W103" s="7">
        <v>4</v>
      </c>
      <c r="X103" s="7">
        <v>4</v>
      </c>
      <c r="Y103" s="7">
        <v>4</v>
      </c>
      <c r="Z103" s="7">
        <v>4</v>
      </c>
      <c r="AA103" s="7">
        <v>4</v>
      </c>
      <c r="AB103" s="7">
        <v>4</v>
      </c>
      <c r="AC103" s="7">
        <v>25</v>
      </c>
      <c r="AD103" s="7">
        <v>25</v>
      </c>
      <c r="AE103" s="7">
        <v>25</v>
      </c>
      <c r="AF103" s="7">
        <v>25</v>
      </c>
      <c r="AG103" s="8">
        <f t="shared" si="11"/>
        <v>100</v>
      </c>
      <c r="AH103" s="7">
        <v>25</v>
      </c>
      <c r="AI103" s="7">
        <v>25</v>
      </c>
      <c r="AJ103" s="7">
        <v>25</v>
      </c>
      <c r="AK103" s="7">
        <v>25</v>
      </c>
      <c r="AL103" s="8">
        <f t="shared" si="0"/>
        <v>100</v>
      </c>
      <c r="AM103" s="7">
        <v>25</v>
      </c>
      <c r="AN103" s="7">
        <v>25</v>
      </c>
      <c r="AO103" s="7">
        <v>25</v>
      </c>
      <c r="AP103" s="7">
        <v>25</v>
      </c>
      <c r="AQ103" s="8">
        <f t="shared" si="1"/>
        <v>100</v>
      </c>
      <c r="AR103" s="7">
        <v>25</v>
      </c>
      <c r="AS103" s="7">
        <v>25</v>
      </c>
      <c r="AT103" s="7">
        <v>25</v>
      </c>
      <c r="AU103" s="7">
        <v>25</v>
      </c>
      <c r="AV103" s="8">
        <f t="shared" si="2"/>
        <v>100</v>
      </c>
      <c r="AW103" s="7">
        <v>25</v>
      </c>
      <c r="AX103" s="7">
        <v>25</v>
      </c>
      <c r="AY103" s="7">
        <v>25</v>
      </c>
      <c r="AZ103" s="7">
        <v>25</v>
      </c>
      <c r="BA103" s="8">
        <f t="shared" si="3"/>
        <v>100</v>
      </c>
      <c r="BB103" s="7">
        <v>25</v>
      </c>
      <c r="BC103" s="7">
        <v>25</v>
      </c>
      <c r="BD103" s="7">
        <v>25</v>
      </c>
      <c r="BE103" s="7">
        <v>25</v>
      </c>
      <c r="BF103" s="8">
        <f t="shared" si="4"/>
        <v>100</v>
      </c>
      <c r="BG103" s="7">
        <v>25</v>
      </c>
      <c r="BH103" s="7">
        <v>25</v>
      </c>
      <c r="BI103" s="7">
        <v>25</v>
      </c>
      <c r="BJ103" s="7">
        <v>25</v>
      </c>
      <c r="BK103" s="8">
        <f t="shared" si="5"/>
        <v>100</v>
      </c>
      <c r="BL103" s="7">
        <v>25</v>
      </c>
      <c r="BM103" s="7">
        <v>25</v>
      </c>
      <c r="BN103" s="7">
        <v>25</v>
      </c>
      <c r="BO103" s="7">
        <v>25</v>
      </c>
      <c r="BP103" s="8">
        <f t="shared" si="6"/>
        <v>100</v>
      </c>
      <c r="BQ103" s="7">
        <v>25</v>
      </c>
      <c r="BR103" s="7">
        <v>25</v>
      </c>
      <c r="BS103" s="7">
        <v>25</v>
      </c>
      <c r="BT103" s="7">
        <v>25</v>
      </c>
      <c r="BU103" s="8">
        <f t="shared" si="7"/>
        <v>100</v>
      </c>
      <c r="BV103" s="7">
        <v>25</v>
      </c>
      <c r="BW103" s="7">
        <v>25</v>
      </c>
      <c r="BX103" s="7">
        <v>25</v>
      </c>
      <c r="BY103" s="7">
        <v>25</v>
      </c>
      <c r="BZ103" s="8">
        <f t="shared" si="8"/>
        <v>100</v>
      </c>
      <c r="CA103" s="7">
        <v>25</v>
      </c>
      <c r="CB103" s="7">
        <v>25</v>
      </c>
      <c r="CC103" s="7">
        <v>25</v>
      </c>
      <c r="CD103" s="7">
        <v>25</v>
      </c>
      <c r="CE103" s="8">
        <f t="shared" si="9"/>
        <v>100</v>
      </c>
      <c r="CF103" s="7">
        <v>25</v>
      </c>
      <c r="CG103" s="7">
        <v>25</v>
      </c>
      <c r="CH103" s="7">
        <v>25</v>
      </c>
      <c r="CI103" s="7">
        <v>25</v>
      </c>
      <c r="CJ103" s="8">
        <f t="shared" si="10"/>
        <v>100</v>
      </c>
      <c r="CK103" s="9">
        <v>4.45</v>
      </c>
      <c r="CL103" s="10" t="s">
        <v>98</v>
      </c>
      <c r="CM103" s="25"/>
      <c r="CN103" s="25"/>
      <c r="CO103" s="26"/>
      <c r="CP103">
        <f>Form_Responses1[[#This Row],[Column89]]</f>
        <v>4.45</v>
      </c>
      <c r="CQ103">
        <f>IF(Form_Responses1[[#This Row],[Column94]]&gt;0,Form_Responses1[[#This Row],[Column94]],Form_Responses1[[#This Row],[Column91]])</f>
        <v>4.45</v>
      </c>
      <c r="CR103">
        <v>4.45</v>
      </c>
    </row>
    <row r="104" spans="1:96" ht="15">
      <c r="A104" s="12">
        <v>45620.635743368053</v>
      </c>
      <c r="B104" s="13">
        <v>0</v>
      </c>
      <c r="C104" s="13" t="s">
        <v>224</v>
      </c>
      <c r="D104" s="13" t="s">
        <v>107</v>
      </c>
      <c r="E104" s="13" t="s">
        <v>100</v>
      </c>
      <c r="F104" s="13" t="s">
        <v>130</v>
      </c>
      <c r="G104" s="13" t="s">
        <v>96</v>
      </c>
      <c r="H104" s="13" t="s">
        <v>102</v>
      </c>
      <c r="I104" s="13">
        <v>4</v>
      </c>
      <c r="J104" s="13">
        <v>4</v>
      </c>
      <c r="K104" s="13">
        <v>4</v>
      </c>
      <c r="L104" s="13">
        <v>4</v>
      </c>
      <c r="M104" s="13">
        <v>4</v>
      </c>
      <c r="N104" s="13">
        <v>4</v>
      </c>
      <c r="O104" s="13">
        <v>4</v>
      </c>
      <c r="P104" s="13">
        <v>4</v>
      </c>
      <c r="Q104" s="13">
        <v>4</v>
      </c>
      <c r="R104" s="13">
        <v>4</v>
      </c>
      <c r="S104" s="13">
        <v>3</v>
      </c>
      <c r="T104" s="13">
        <v>4</v>
      </c>
      <c r="U104" s="13">
        <v>3</v>
      </c>
      <c r="V104" s="13">
        <v>3</v>
      </c>
      <c r="W104" s="13">
        <v>3</v>
      </c>
      <c r="X104" s="13">
        <v>4</v>
      </c>
      <c r="Y104" s="13">
        <v>4</v>
      </c>
      <c r="Z104" s="13">
        <v>4</v>
      </c>
      <c r="AA104" s="13">
        <v>4</v>
      </c>
      <c r="AB104" s="13">
        <v>4</v>
      </c>
      <c r="AC104" s="13">
        <v>25</v>
      </c>
      <c r="AD104" s="13">
        <v>25</v>
      </c>
      <c r="AE104" s="13">
        <v>25</v>
      </c>
      <c r="AF104" s="13">
        <v>25</v>
      </c>
      <c r="AG104" s="8">
        <f t="shared" si="11"/>
        <v>100</v>
      </c>
      <c r="AH104" s="13">
        <v>25</v>
      </c>
      <c r="AI104" s="13">
        <v>25</v>
      </c>
      <c r="AJ104" s="13">
        <v>25</v>
      </c>
      <c r="AK104" s="13">
        <v>25</v>
      </c>
      <c r="AL104" s="8">
        <f t="shared" si="0"/>
        <v>100</v>
      </c>
      <c r="AM104" s="13">
        <v>25</v>
      </c>
      <c r="AN104" s="13">
        <v>25</v>
      </c>
      <c r="AO104" s="13">
        <v>25</v>
      </c>
      <c r="AP104" s="13">
        <v>25</v>
      </c>
      <c r="AQ104" s="8">
        <f t="shared" si="1"/>
        <v>100</v>
      </c>
      <c r="AR104" s="13">
        <v>25</v>
      </c>
      <c r="AS104" s="13">
        <v>25</v>
      </c>
      <c r="AT104" s="13">
        <v>25</v>
      </c>
      <c r="AU104" s="13">
        <v>25</v>
      </c>
      <c r="AV104" s="8">
        <f t="shared" si="2"/>
        <v>100</v>
      </c>
      <c r="AW104" s="13">
        <v>25</v>
      </c>
      <c r="AX104" s="13">
        <v>25</v>
      </c>
      <c r="AY104" s="13">
        <v>25</v>
      </c>
      <c r="AZ104" s="13">
        <v>25</v>
      </c>
      <c r="BA104" s="8">
        <f t="shared" si="3"/>
        <v>100</v>
      </c>
      <c r="BB104" s="13">
        <v>25</v>
      </c>
      <c r="BC104" s="13">
        <v>25</v>
      </c>
      <c r="BD104" s="13">
        <v>25</v>
      </c>
      <c r="BE104" s="13">
        <v>25</v>
      </c>
      <c r="BF104" s="8">
        <f t="shared" si="4"/>
        <v>100</v>
      </c>
      <c r="BG104" s="13">
        <v>25</v>
      </c>
      <c r="BH104" s="13">
        <v>25</v>
      </c>
      <c r="BI104" s="13">
        <v>25</v>
      </c>
      <c r="BJ104" s="13">
        <v>25</v>
      </c>
      <c r="BK104" s="8">
        <f t="shared" si="5"/>
        <v>100</v>
      </c>
      <c r="BL104" s="13">
        <v>25</v>
      </c>
      <c r="BM104" s="13">
        <v>25</v>
      </c>
      <c r="BN104" s="13">
        <v>25</v>
      </c>
      <c r="BO104" s="13">
        <v>25</v>
      </c>
      <c r="BP104" s="8">
        <f t="shared" si="6"/>
        <v>100</v>
      </c>
      <c r="BQ104" s="13">
        <v>25</v>
      </c>
      <c r="BR104" s="13">
        <v>25</v>
      </c>
      <c r="BS104" s="13">
        <v>25</v>
      </c>
      <c r="BT104" s="13">
        <v>25</v>
      </c>
      <c r="BU104" s="8">
        <f t="shared" si="7"/>
        <v>100</v>
      </c>
      <c r="BV104" s="13">
        <v>25</v>
      </c>
      <c r="BW104" s="13">
        <v>25</v>
      </c>
      <c r="BX104" s="13">
        <v>25</v>
      </c>
      <c r="BY104" s="13">
        <v>25</v>
      </c>
      <c r="BZ104" s="8">
        <f t="shared" si="8"/>
        <v>100</v>
      </c>
      <c r="CA104" s="13">
        <v>25</v>
      </c>
      <c r="CB104" s="13">
        <v>25</v>
      </c>
      <c r="CC104" s="13">
        <v>25</v>
      </c>
      <c r="CD104" s="13">
        <v>25</v>
      </c>
      <c r="CE104" s="8">
        <f t="shared" si="9"/>
        <v>100</v>
      </c>
      <c r="CF104" s="13">
        <v>25</v>
      </c>
      <c r="CG104" s="13">
        <v>25</v>
      </c>
      <c r="CH104" s="13">
        <v>25</v>
      </c>
      <c r="CI104" s="13">
        <v>25</v>
      </c>
      <c r="CJ104" s="8">
        <f t="shared" si="10"/>
        <v>100</v>
      </c>
      <c r="CK104" s="14">
        <v>4.3499999999999996</v>
      </c>
      <c r="CL104" s="19" t="s">
        <v>98</v>
      </c>
      <c r="CM104" s="23"/>
      <c r="CN104" s="23"/>
      <c r="CO104" s="24"/>
      <c r="CP104">
        <f>Form_Responses1[[#This Row],[Column89]]</f>
        <v>4.3499999999999996</v>
      </c>
      <c r="CQ104">
        <f>IF(Form_Responses1[[#This Row],[Column94]]&gt;0,Form_Responses1[[#This Row],[Column94]],Form_Responses1[[#This Row],[Column91]])</f>
        <v>4.3499999999999996</v>
      </c>
      <c r="CR104">
        <v>4.3499999999999996</v>
      </c>
    </row>
    <row r="105" spans="1:96" ht="15">
      <c r="A105" s="6">
        <v>45620.963300509262</v>
      </c>
      <c r="B105" s="7">
        <v>0</v>
      </c>
      <c r="C105" s="7" t="s">
        <v>225</v>
      </c>
      <c r="D105" s="7" t="s">
        <v>93</v>
      </c>
      <c r="E105" s="7" t="s">
        <v>112</v>
      </c>
      <c r="F105" s="7" t="s">
        <v>95</v>
      </c>
      <c r="G105" s="7" t="s">
        <v>113</v>
      </c>
      <c r="H105" s="7" t="s">
        <v>102</v>
      </c>
      <c r="I105" s="7">
        <v>1</v>
      </c>
      <c r="J105" s="7">
        <v>2</v>
      </c>
      <c r="K105" s="7">
        <v>1</v>
      </c>
      <c r="L105" s="7">
        <v>2</v>
      </c>
      <c r="M105" s="7">
        <v>1</v>
      </c>
      <c r="N105" s="7">
        <v>2</v>
      </c>
      <c r="O105" s="7">
        <v>1</v>
      </c>
      <c r="P105" s="7">
        <v>2</v>
      </c>
      <c r="Q105" s="7">
        <v>1</v>
      </c>
      <c r="R105" s="7">
        <v>2</v>
      </c>
      <c r="S105" s="7">
        <v>2</v>
      </c>
      <c r="T105" s="7">
        <v>1</v>
      </c>
      <c r="U105" s="7">
        <v>2</v>
      </c>
      <c r="V105" s="7">
        <v>1</v>
      </c>
      <c r="W105" s="7">
        <v>1</v>
      </c>
      <c r="X105" s="7">
        <v>1</v>
      </c>
      <c r="Y105" s="7">
        <v>2</v>
      </c>
      <c r="Z105" s="7">
        <v>1</v>
      </c>
      <c r="AA105" s="7">
        <v>1</v>
      </c>
      <c r="AB105" s="7">
        <v>1</v>
      </c>
      <c r="AC105" s="7">
        <v>30</v>
      </c>
      <c r="AD105" s="7">
        <v>30</v>
      </c>
      <c r="AE105" s="7">
        <v>20</v>
      </c>
      <c r="AF105" s="7">
        <v>20</v>
      </c>
      <c r="AG105" s="8">
        <f t="shared" si="11"/>
        <v>100</v>
      </c>
      <c r="AH105" s="7">
        <v>40</v>
      </c>
      <c r="AI105" s="7">
        <v>20</v>
      </c>
      <c r="AJ105" s="7">
        <v>20</v>
      </c>
      <c r="AK105" s="7">
        <v>20</v>
      </c>
      <c r="AL105" s="8">
        <f t="shared" si="0"/>
        <v>100</v>
      </c>
      <c r="AM105" s="7">
        <v>40</v>
      </c>
      <c r="AN105" s="7">
        <v>20</v>
      </c>
      <c r="AO105" s="7">
        <v>20</v>
      </c>
      <c r="AP105" s="7">
        <v>20</v>
      </c>
      <c r="AQ105" s="8">
        <f t="shared" si="1"/>
        <v>100</v>
      </c>
      <c r="AR105" s="7">
        <v>30</v>
      </c>
      <c r="AS105" s="7">
        <v>30</v>
      </c>
      <c r="AT105" s="7">
        <v>20</v>
      </c>
      <c r="AU105" s="7">
        <v>20</v>
      </c>
      <c r="AV105" s="8">
        <f t="shared" si="2"/>
        <v>100</v>
      </c>
      <c r="AW105" s="7">
        <v>20</v>
      </c>
      <c r="AX105" s="7">
        <v>20</v>
      </c>
      <c r="AY105" s="7">
        <v>30</v>
      </c>
      <c r="AZ105" s="7">
        <v>30</v>
      </c>
      <c r="BA105" s="8">
        <f t="shared" si="3"/>
        <v>100</v>
      </c>
      <c r="BB105" s="7">
        <v>30</v>
      </c>
      <c r="BC105" s="7">
        <v>20</v>
      </c>
      <c r="BD105" s="7">
        <v>20</v>
      </c>
      <c r="BE105" s="7">
        <v>30</v>
      </c>
      <c r="BF105" s="8">
        <f t="shared" si="4"/>
        <v>100</v>
      </c>
      <c r="BG105" s="7">
        <v>40</v>
      </c>
      <c r="BH105" s="7">
        <v>20</v>
      </c>
      <c r="BI105" s="7">
        <v>10</v>
      </c>
      <c r="BJ105" s="7">
        <v>30</v>
      </c>
      <c r="BK105" s="8">
        <f t="shared" si="5"/>
        <v>100</v>
      </c>
      <c r="BL105" s="7">
        <v>30</v>
      </c>
      <c r="BM105" s="7">
        <v>20</v>
      </c>
      <c r="BN105" s="7">
        <v>20</v>
      </c>
      <c r="BO105" s="7">
        <v>30</v>
      </c>
      <c r="BP105" s="8">
        <f t="shared" si="6"/>
        <v>100</v>
      </c>
      <c r="BQ105" s="7">
        <v>40</v>
      </c>
      <c r="BR105" s="7">
        <v>30</v>
      </c>
      <c r="BS105" s="7">
        <v>10</v>
      </c>
      <c r="BT105" s="7">
        <v>20</v>
      </c>
      <c r="BU105" s="8">
        <f t="shared" si="7"/>
        <v>100</v>
      </c>
      <c r="BV105" s="7">
        <v>20</v>
      </c>
      <c r="BW105" s="7">
        <v>20</v>
      </c>
      <c r="BX105" s="7">
        <v>30</v>
      </c>
      <c r="BY105" s="7">
        <v>30</v>
      </c>
      <c r="BZ105" s="8">
        <f t="shared" si="8"/>
        <v>100</v>
      </c>
      <c r="CA105" s="7">
        <v>30</v>
      </c>
      <c r="CB105" s="7">
        <v>20</v>
      </c>
      <c r="CC105" s="7">
        <v>20</v>
      </c>
      <c r="CD105" s="7">
        <v>30</v>
      </c>
      <c r="CE105" s="8">
        <f t="shared" si="9"/>
        <v>100</v>
      </c>
      <c r="CF105" s="7">
        <v>30</v>
      </c>
      <c r="CG105" s="7">
        <v>20</v>
      </c>
      <c r="CH105" s="7">
        <v>20</v>
      </c>
      <c r="CI105" s="7">
        <v>30</v>
      </c>
      <c r="CJ105" s="8">
        <f t="shared" si="10"/>
        <v>100</v>
      </c>
      <c r="CK105" s="32"/>
      <c r="CL105" s="32"/>
      <c r="CM105" s="9">
        <v>3.74</v>
      </c>
      <c r="CN105" s="9" t="s">
        <v>117</v>
      </c>
      <c r="CO105" s="34"/>
      <c r="CP105">
        <f>Form_Responses1[[#This Row],[Column89]]</f>
        <v>0</v>
      </c>
      <c r="CQ105">
        <f>IF(Form_Responses1[[#This Row],[Column94]]&gt;0,Form_Responses1[[#This Row],[Column94]],Form_Responses1[[#This Row],[Column91]])</f>
        <v>3.74</v>
      </c>
      <c r="CR105">
        <v>3.74</v>
      </c>
    </row>
    <row r="106" spans="1:96" ht="15">
      <c r="A106" s="12">
        <v>45621.317026354169</v>
      </c>
      <c r="B106" s="13">
        <v>0</v>
      </c>
      <c r="C106" s="13" t="s">
        <v>226</v>
      </c>
      <c r="D106" s="13" t="s">
        <v>93</v>
      </c>
      <c r="E106" s="13" t="s">
        <v>112</v>
      </c>
      <c r="F106" s="13" t="s">
        <v>95</v>
      </c>
      <c r="G106" s="13" t="s">
        <v>109</v>
      </c>
      <c r="H106" s="13" t="s">
        <v>104</v>
      </c>
      <c r="I106" s="13">
        <v>3</v>
      </c>
      <c r="J106" s="13">
        <v>3</v>
      </c>
      <c r="K106" s="13">
        <v>3</v>
      </c>
      <c r="L106" s="13">
        <v>4</v>
      </c>
      <c r="M106" s="13">
        <v>4</v>
      </c>
      <c r="N106" s="13">
        <v>4</v>
      </c>
      <c r="O106" s="13">
        <v>4</v>
      </c>
      <c r="P106" s="13">
        <v>4</v>
      </c>
      <c r="Q106" s="13">
        <v>3</v>
      </c>
      <c r="R106" s="13">
        <v>3</v>
      </c>
      <c r="S106" s="13">
        <v>4</v>
      </c>
      <c r="T106" s="13">
        <v>3</v>
      </c>
      <c r="U106" s="13">
        <v>3</v>
      </c>
      <c r="V106" s="13">
        <v>4</v>
      </c>
      <c r="W106" s="13">
        <v>4</v>
      </c>
      <c r="X106" s="13">
        <v>4</v>
      </c>
      <c r="Y106" s="13">
        <v>3</v>
      </c>
      <c r="Z106" s="13">
        <v>4</v>
      </c>
      <c r="AA106" s="13">
        <v>4</v>
      </c>
      <c r="AB106" s="13">
        <v>3</v>
      </c>
      <c r="AC106" s="13">
        <v>30</v>
      </c>
      <c r="AD106" s="13">
        <v>40</v>
      </c>
      <c r="AE106" s="13">
        <v>20</v>
      </c>
      <c r="AF106" s="13">
        <v>10</v>
      </c>
      <c r="AG106" s="8">
        <f t="shared" si="11"/>
        <v>100</v>
      </c>
      <c r="AH106" s="13">
        <v>30</v>
      </c>
      <c r="AI106" s="13">
        <v>10</v>
      </c>
      <c r="AJ106" s="13">
        <v>30</v>
      </c>
      <c r="AK106" s="13">
        <v>30</v>
      </c>
      <c r="AL106" s="8">
        <f t="shared" si="0"/>
        <v>100</v>
      </c>
      <c r="AM106" s="13">
        <v>30</v>
      </c>
      <c r="AN106" s="13">
        <v>30</v>
      </c>
      <c r="AO106" s="13">
        <v>20</v>
      </c>
      <c r="AP106" s="13">
        <v>20</v>
      </c>
      <c r="AQ106" s="8">
        <f t="shared" si="1"/>
        <v>100</v>
      </c>
      <c r="AR106" s="13">
        <v>20</v>
      </c>
      <c r="AS106" s="13">
        <v>20</v>
      </c>
      <c r="AT106" s="13">
        <v>20</v>
      </c>
      <c r="AU106" s="13">
        <v>40</v>
      </c>
      <c r="AV106" s="8">
        <f t="shared" si="2"/>
        <v>100</v>
      </c>
      <c r="AW106" s="13">
        <v>10</v>
      </c>
      <c r="AX106" s="13">
        <v>20</v>
      </c>
      <c r="AY106" s="13">
        <v>20</v>
      </c>
      <c r="AZ106" s="13">
        <v>50</v>
      </c>
      <c r="BA106" s="8">
        <f t="shared" si="3"/>
        <v>100</v>
      </c>
      <c r="BB106" s="13">
        <v>40</v>
      </c>
      <c r="BC106" s="13">
        <v>10</v>
      </c>
      <c r="BD106" s="13">
        <v>20</v>
      </c>
      <c r="BE106" s="13">
        <v>30</v>
      </c>
      <c r="BF106" s="8">
        <f t="shared" si="4"/>
        <v>100</v>
      </c>
      <c r="BG106" s="13">
        <v>40</v>
      </c>
      <c r="BH106" s="13">
        <v>40</v>
      </c>
      <c r="BI106" s="13">
        <v>10</v>
      </c>
      <c r="BJ106" s="13">
        <v>10</v>
      </c>
      <c r="BK106" s="8">
        <f t="shared" si="5"/>
        <v>100</v>
      </c>
      <c r="BL106" s="13">
        <v>10</v>
      </c>
      <c r="BM106" s="13">
        <v>10</v>
      </c>
      <c r="BN106" s="13">
        <v>20</v>
      </c>
      <c r="BO106" s="13">
        <v>60</v>
      </c>
      <c r="BP106" s="8">
        <f t="shared" si="6"/>
        <v>100</v>
      </c>
      <c r="BQ106" s="13">
        <v>20</v>
      </c>
      <c r="BR106" s="13">
        <v>30</v>
      </c>
      <c r="BS106" s="13">
        <v>30</v>
      </c>
      <c r="BT106" s="13">
        <v>20</v>
      </c>
      <c r="BU106" s="8">
        <f t="shared" si="7"/>
        <v>100</v>
      </c>
      <c r="BV106" s="13">
        <v>20</v>
      </c>
      <c r="BW106" s="13">
        <v>20</v>
      </c>
      <c r="BX106" s="13">
        <v>30</v>
      </c>
      <c r="BY106" s="13">
        <v>30</v>
      </c>
      <c r="BZ106" s="8">
        <f t="shared" si="8"/>
        <v>100</v>
      </c>
      <c r="CA106" s="13">
        <v>30</v>
      </c>
      <c r="CB106" s="13">
        <v>10</v>
      </c>
      <c r="CC106" s="13">
        <v>30</v>
      </c>
      <c r="CD106" s="13">
        <v>30</v>
      </c>
      <c r="CE106" s="8">
        <f t="shared" si="9"/>
        <v>100</v>
      </c>
      <c r="CF106" s="13">
        <v>10</v>
      </c>
      <c r="CG106" s="13">
        <v>30</v>
      </c>
      <c r="CH106" s="13">
        <v>30</v>
      </c>
      <c r="CI106" s="13">
        <v>30</v>
      </c>
      <c r="CJ106" s="8">
        <f t="shared" si="10"/>
        <v>100</v>
      </c>
      <c r="CK106" s="14">
        <v>4.07</v>
      </c>
      <c r="CL106" s="14" t="s">
        <v>98</v>
      </c>
      <c r="CM106" s="23"/>
      <c r="CN106" s="23"/>
      <c r="CO106" s="24"/>
      <c r="CP106">
        <f>Form_Responses1[[#This Row],[Column89]]</f>
        <v>4.07</v>
      </c>
      <c r="CQ106">
        <f>IF(Form_Responses1[[#This Row],[Column94]]&gt;0,Form_Responses1[[#This Row],[Column94]],Form_Responses1[[#This Row],[Column91]])</f>
        <v>4.07</v>
      </c>
      <c r="CR106">
        <v>4.07</v>
      </c>
    </row>
    <row r="107" spans="1:96" ht="15">
      <c r="A107" s="6">
        <v>45621.322522743052</v>
      </c>
      <c r="B107" s="7">
        <v>0</v>
      </c>
      <c r="C107" s="7" t="s">
        <v>227</v>
      </c>
      <c r="D107" s="7" t="s">
        <v>93</v>
      </c>
      <c r="E107" s="7" t="s">
        <v>112</v>
      </c>
      <c r="F107" s="7" t="s">
        <v>95</v>
      </c>
      <c r="G107" s="7" t="s">
        <v>123</v>
      </c>
      <c r="H107" s="7" t="s">
        <v>102</v>
      </c>
      <c r="I107" s="7">
        <v>2</v>
      </c>
      <c r="J107" s="7">
        <v>2</v>
      </c>
      <c r="K107" s="7">
        <v>1</v>
      </c>
      <c r="L107" s="7">
        <v>2</v>
      </c>
      <c r="M107" s="7">
        <v>2</v>
      </c>
      <c r="N107" s="7">
        <v>2</v>
      </c>
      <c r="O107" s="7">
        <v>2</v>
      </c>
      <c r="P107" s="7">
        <v>2</v>
      </c>
      <c r="Q107" s="7">
        <v>2</v>
      </c>
      <c r="R107" s="7">
        <v>2</v>
      </c>
      <c r="S107" s="7">
        <v>2</v>
      </c>
      <c r="T107" s="7">
        <v>2</v>
      </c>
      <c r="U107" s="7">
        <v>2</v>
      </c>
      <c r="V107" s="7">
        <v>2</v>
      </c>
      <c r="W107" s="7">
        <v>2</v>
      </c>
      <c r="X107" s="7">
        <v>2</v>
      </c>
      <c r="Y107" s="7">
        <v>2</v>
      </c>
      <c r="Z107" s="7">
        <v>2</v>
      </c>
      <c r="AA107" s="7">
        <v>2</v>
      </c>
      <c r="AB107" s="7">
        <v>1</v>
      </c>
      <c r="AC107" s="7">
        <v>40</v>
      </c>
      <c r="AD107" s="7">
        <v>10</v>
      </c>
      <c r="AE107" s="7">
        <v>30</v>
      </c>
      <c r="AF107" s="7">
        <v>20</v>
      </c>
      <c r="AG107" s="8">
        <f t="shared" si="11"/>
        <v>100</v>
      </c>
      <c r="AH107" s="7">
        <v>20</v>
      </c>
      <c r="AI107" s="7">
        <v>30</v>
      </c>
      <c r="AJ107" s="7">
        <v>30</v>
      </c>
      <c r="AK107" s="7">
        <v>20</v>
      </c>
      <c r="AL107" s="8">
        <f t="shared" si="0"/>
        <v>100</v>
      </c>
      <c r="AM107" s="7">
        <v>10</v>
      </c>
      <c r="AN107" s="7">
        <v>10</v>
      </c>
      <c r="AO107" s="7">
        <v>40</v>
      </c>
      <c r="AP107" s="7">
        <v>40</v>
      </c>
      <c r="AQ107" s="8">
        <f t="shared" si="1"/>
        <v>100</v>
      </c>
      <c r="AR107" s="7">
        <v>10</v>
      </c>
      <c r="AS107" s="7">
        <v>10</v>
      </c>
      <c r="AT107" s="7">
        <v>60</v>
      </c>
      <c r="AU107" s="7">
        <v>20</v>
      </c>
      <c r="AV107" s="8">
        <f t="shared" si="2"/>
        <v>100</v>
      </c>
      <c r="AW107" s="7">
        <v>20</v>
      </c>
      <c r="AX107" s="7">
        <v>30</v>
      </c>
      <c r="AY107" s="7">
        <v>30</v>
      </c>
      <c r="AZ107" s="7">
        <v>20</v>
      </c>
      <c r="BA107" s="8">
        <f t="shared" si="3"/>
        <v>100</v>
      </c>
      <c r="BB107" s="7">
        <v>30</v>
      </c>
      <c r="BC107" s="7">
        <v>10</v>
      </c>
      <c r="BD107" s="7">
        <v>30</v>
      </c>
      <c r="BE107" s="7">
        <v>30</v>
      </c>
      <c r="BF107" s="8">
        <f t="shared" si="4"/>
        <v>100</v>
      </c>
      <c r="BG107" s="7">
        <v>30</v>
      </c>
      <c r="BH107" s="7">
        <v>20</v>
      </c>
      <c r="BI107" s="7">
        <v>20</v>
      </c>
      <c r="BJ107" s="7">
        <v>30</v>
      </c>
      <c r="BK107" s="8">
        <f t="shared" si="5"/>
        <v>100</v>
      </c>
      <c r="BL107" s="7">
        <v>20</v>
      </c>
      <c r="BM107" s="7">
        <v>20</v>
      </c>
      <c r="BN107" s="7">
        <v>30</v>
      </c>
      <c r="BO107" s="7">
        <v>30</v>
      </c>
      <c r="BP107" s="8">
        <f t="shared" si="6"/>
        <v>100</v>
      </c>
      <c r="BQ107" s="7">
        <v>30</v>
      </c>
      <c r="BR107" s="7">
        <v>30</v>
      </c>
      <c r="BS107" s="7">
        <v>20</v>
      </c>
      <c r="BT107" s="7">
        <v>20</v>
      </c>
      <c r="BU107" s="8">
        <f t="shared" si="7"/>
        <v>100</v>
      </c>
      <c r="BV107" s="7">
        <v>30</v>
      </c>
      <c r="BW107" s="7">
        <v>20</v>
      </c>
      <c r="BX107" s="7">
        <v>20</v>
      </c>
      <c r="BY107" s="7">
        <v>30</v>
      </c>
      <c r="BZ107" s="8">
        <f t="shared" si="8"/>
        <v>100</v>
      </c>
      <c r="CA107" s="7">
        <v>40</v>
      </c>
      <c r="CB107" s="7">
        <v>10</v>
      </c>
      <c r="CC107" s="7">
        <v>40</v>
      </c>
      <c r="CD107" s="7">
        <v>10</v>
      </c>
      <c r="CE107" s="8">
        <f t="shared" si="9"/>
        <v>100</v>
      </c>
      <c r="CF107" s="7">
        <v>30</v>
      </c>
      <c r="CG107" s="7">
        <v>20</v>
      </c>
      <c r="CH107" s="7">
        <v>30</v>
      </c>
      <c r="CI107" s="7">
        <v>20</v>
      </c>
      <c r="CJ107" s="8">
        <f t="shared" si="10"/>
        <v>100</v>
      </c>
      <c r="CK107" s="9">
        <v>4.1500000000000004</v>
      </c>
      <c r="CL107" s="10" t="s">
        <v>98</v>
      </c>
      <c r="CM107" s="25"/>
      <c r="CN107" s="25"/>
      <c r="CO107" s="26"/>
      <c r="CP107">
        <f>Form_Responses1[[#This Row],[Column89]]</f>
        <v>4.1500000000000004</v>
      </c>
      <c r="CQ107">
        <f>IF(Form_Responses1[[#This Row],[Column94]]&gt;0,Form_Responses1[[#This Row],[Column94]],Form_Responses1[[#This Row],[Column91]])</f>
        <v>4.1500000000000004</v>
      </c>
      <c r="CR107">
        <v>4.1500000000000004</v>
      </c>
    </row>
    <row r="108" spans="1:96" ht="15">
      <c r="A108" s="12">
        <v>45621.330595081017</v>
      </c>
      <c r="B108" s="13">
        <v>0</v>
      </c>
      <c r="C108" s="13" t="s">
        <v>228</v>
      </c>
      <c r="D108" s="13" t="s">
        <v>93</v>
      </c>
      <c r="E108" s="13" t="s">
        <v>112</v>
      </c>
      <c r="F108" s="13" t="s">
        <v>95</v>
      </c>
      <c r="G108" s="13" t="s">
        <v>109</v>
      </c>
      <c r="H108" s="13" t="s">
        <v>102</v>
      </c>
      <c r="I108" s="13">
        <v>3</v>
      </c>
      <c r="J108" s="13">
        <v>2</v>
      </c>
      <c r="K108" s="13">
        <v>2</v>
      </c>
      <c r="L108" s="13">
        <v>3</v>
      </c>
      <c r="M108" s="13">
        <v>3</v>
      </c>
      <c r="N108" s="13">
        <v>3</v>
      </c>
      <c r="O108" s="13">
        <v>3</v>
      </c>
      <c r="P108" s="13">
        <v>3</v>
      </c>
      <c r="Q108" s="13">
        <v>3</v>
      </c>
      <c r="R108" s="13">
        <v>3</v>
      </c>
      <c r="S108" s="13">
        <v>3</v>
      </c>
      <c r="T108" s="13">
        <v>4</v>
      </c>
      <c r="U108" s="13">
        <v>3</v>
      </c>
      <c r="V108" s="13">
        <v>3</v>
      </c>
      <c r="W108" s="13">
        <v>4</v>
      </c>
      <c r="X108" s="13">
        <v>3</v>
      </c>
      <c r="Y108" s="13">
        <v>4</v>
      </c>
      <c r="Z108" s="13">
        <v>3</v>
      </c>
      <c r="AA108" s="13">
        <v>3</v>
      </c>
      <c r="AB108" s="13">
        <v>2</v>
      </c>
      <c r="AC108" s="13">
        <v>40</v>
      </c>
      <c r="AD108" s="13">
        <v>20</v>
      </c>
      <c r="AE108" s="13">
        <v>20</v>
      </c>
      <c r="AF108" s="13">
        <v>20</v>
      </c>
      <c r="AG108" s="8">
        <f t="shared" si="11"/>
        <v>100</v>
      </c>
      <c r="AH108" s="13">
        <v>70</v>
      </c>
      <c r="AI108" s="13">
        <v>10</v>
      </c>
      <c r="AJ108" s="13">
        <v>10</v>
      </c>
      <c r="AK108" s="13">
        <v>10</v>
      </c>
      <c r="AL108" s="8">
        <f t="shared" si="0"/>
        <v>100</v>
      </c>
      <c r="AM108" s="13">
        <v>30</v>
      </c>
      <c r="AN108" s="13">
        <v>30</v>
      </c>
      <c r="AO108" s="13">
        <v>20</v>
      </c>
      <c r="AP108" s="13">
        <v>20</v>
      </c>
      <c r="AQ108" s="8">
        <f t="shared" si="1"/>
        <v>100</v>
      </c>
      <c r="AR108" s="13">
        <v>30</v>
      </c>
      <c r="AS108" s="13">
        <v>20</v>
      </c>
      <c r="AT108" s="13">
        <v>30</v>
      </c>
      <c r="AU108" s="13">
        <v>20</v>
      </c>
      <c r="AV108" s="8">
        <f t="shared" si="2"/>
        <v>100</v>
      </c>
      <c r="AW108" s="13">
        <v>20</v>
      </c>
      <c r="AX108" s="13">
        <v>20</v>
      </c>
      <c r="AY108" s="13">
        <v>30</v>
      </c>
      <c r="AZ108" s="13">
        <v>30</v>
      </c>
      <c r="BA108" s="8">
        <f t="shared" si="3"/>
        <v>100</v>
      </c>
      <c r="BB108" s="13">
        <v>30</v>
      </c>
      <c r="BC108" s="13">
        <v>30</v>
      </c>
      <c r="BD108" s="13">
        <v>10</v>
      </c>
      <c r="BE108" s="13">
        <v>30</v>
      </c>
      <c r="BF108" s="8">
        <f t="shared" si="4"/>
        <v>100</v>
      </c>
      <c r="BG108" s="13">
        <v>30</v>
      </c>
      <c r="BH108" s="13">
        <v>30</v>
      </c>
      <c r="BI108" s="13">
        <v>20</v>
      </c>
      <c r="BJ108" s="13">
        <v>20</v>
      </c>
      <c r="BK108" s="8">
        <f t="shared" si="5"/>
        <v>100</v>
      </c>
      <c r="BL108" s="13">
        <v>30</v>
      </c>
      <c r="BM108" s="13">
        <v>30</v>
      </c>
      <c r="BN108" s="13">
        <v>20</v>
      </c>
      <c r="BO108" s="13">
        <v>20</v>
      </c>
      <c r="BP108" s="8">
        <f t="shared" si="6"/>
        <v>100</v>
      </c>
      <c r="BQ108" s="13">
        <v>30</v>
      </c>
      <c r="BR108" s="13">
        <v>30</v>
      </c>
      <c r="BS108" s="13">
        <v>20</v>
      </c>
      <c r="BT108" s="13">
        <v>20</v>
      </c>
      <c r="BU108" s="8">
        <f t="shared" si="7"/>
        <v>100</v>
      </c>
      <c r="BV108" s="13">
        <v>30</v>
      </c>
      <c r="BW108" s="13">
        <v>20</v>
      </c>
      <c r="BX108" s="13">
        <v>20</v>
      </c>
      <c r="BY108" s="13">
        <v>30</v>
      </c>
      <c r="BZ108" s="8">
        <f t="shared" si="8"/>
        <v>100</v>
      </c>
      <c r="CA108" s="13">
        <v>30</v>
      </c>
      <c r="CB108" s="13">
        <v>10</v>
      </c>
      <c r="CC108" s="13">
        <v>30</v>
      </c>
      <c r="CD108" s="13">
        <v>30</v>
      </c>
      <c r="CE108" s="8">
        <f t="shared" si="9"/>
        <v>100</v>
      </c>
      <c r="CF108" s="13">
        <v>30</v>
      </c>
      <c r="CG108" s="13">
        <v>30</v>
      </c>
      <c r="CH108" s="13">
        <v>20</v>
      </c>
      <c r="CI108" s="13">
        <v>20</v>
      </c>
      <c r="CJ108" s="8">
        <f t="shared" si="10"/>
        <v>100</v>
      </c>
      <c r="CK108" s="14">
        <v>4.47</v>
      </c>
      <c r="CL108" s="14" t="s">
        <v>98</v>
      </c>
      <c r="CM108" s="23"/>
      <c r="CN108" s="23"/>
      <c r="CO108" s="24"/>
      <c r="CP108">
        <f>Form_Responses1[[#This Row],[Column89]]</f>
        <v>4.47</v>
      </c>
      <c r="CQ108">
        <f>IF(Form_Responses1[[#This Row],[Column94]]&gt;0,Form_Responses1[[#This Row],[Column94]],Form_Responses1[[#This Row],[Column91]])</f>
        <v>4.47</v>
      </c>
      <c r="CR108">
        <v>4.47</v>
      </c>
    </row>
    <row r="109" spans="1:96" ht="15">
      <c r="A109" s="6">
        <v>45621.381640219908</v>
      </c>
      <c r="B109" s="7">
        <v>0</v>
      </c>
      <c r="C109" s="7" t="s">
        <v>229</v>
      </c>
      <c r="D109" s="7" t="s">
        <v>93</v>
      </c>
      <c r="E109" s="7" t="s">
        <v>112</v>
      </c>
      <c r="F109" s="7" t="s">
        <v>130</v>
      </c>
      <c r="G109" s="7" t="s">
        <v>96</v>
      </c>
      <c r="H109" s="7" t="s">
        <v>102</v>
      </c>
      <c r="I109" s="7">
        <v>3</v>
      </c>
      <c r="J109" s="7">
        <v>3</v>
      </c>
      <c r="K109" s="7">
        <v>3</v>
      </c>
      <c r="L109" s="7">
        <v>3</v>
      </c>
      <c r="M109" s="7">
        <v>3</v>
      </c>
      <c r="N109" s="7">
        <v>3</v>
      </c>
      <c r="O109" s="7">
        <v>2</v>
      </c>
      <c r="P109" s="7">
        <v>2</v>
      </c>
      <c r="Q109" s="7">
        <v>2</v>
      </c>
      <c r="R109" s="7">
        <v>2</v>
      </c>
      <c r="S109" s="7">
        <v>2</v>
      </c>
      <c r="T109" s="7">
        <v>3</v>
      </c>
      <c r="U109" s="7">
        <v>2</v>
      </c>
      <c r="V109" s="7">
        <v>3</v>
      </c>
      <c r="W109" s="7">
        <v>2</v>
      </c>
      <c r="X109" s="7">
        <v>3</v>
      </c>
      <c r="Y109" s="7">
        <v>2</v>
      </c>
      <c r="Z109" s="7">
        <v>3</v>
      </c>
      <c r="AA109" s="7">
        <v>2</v>
      </c>
      <c r="AB109" s="7">
        <v>2</v>
      </c>
      <c r="AC109" s="7">
        <v>30</v>
      </c>
      <c r="AD109" s="7">
        <v>20</v>
      </c>
      <c r="AE109" s="7">
        <v>30</v>
      </c>
      <c r="AF109" s="7">
        <v>20</v>
      </c>
      <c r="AG109" s="8">
        <f t="shared" si="11"/>
        <v>100</v>
      </c>
      <c r="AH109" s="7">
        <v>30</v>
      </c>
      <c r="AI109" s="7">
        <v>20</v>
      </c>
      <c r="AJ109" s="7">
        <v>30</v>
      </c>
      <c r="AK109" s="7">
        <v>20</v>
      </c>
      <c r="AL109" s="8">
        <f t="shared" si="0"/>
        <v>100</v>
      </c>
      <c r="AM109" s="7">
        <v>25</v>
      </c>
      <c r="AN109" s="7">
        <v>25</v>
      </c>
      <c r="AO109" s="7">
        <v>25</v>
      </c>
      <c r="AP109" s="7">
        <v>25</v>
      </c>
      <c r="AQ109" s="8">
        <f t="shared" si="1"/>
        <v>100</v>
      </c>
      <c r="AR109" s="7">
        <v>20</v>
      </c>
      <c r="AS109" s="7">
        <v>30</v>
      </c>
      <c r="AT109" s="7">
        <v>20</v>
      </c>
      <c r="AU109" s="7">
        <v>30</v>
      </c>
      <c r="AV109" s="8">
        <f t="shared" si="2"/>
        <v>100</v>
      </c>
      <c r="AW109" s="7">
        <v>30</v>
      </c>
      <c r="AX109" s="7">
        <v>10</v>
      </c>
      <c r="AY109" s="7">
        <v>30</v>
      </c>
      <c r="AZ109" s="7">
        <v>30</v>
      </c>
      <c r="BA109" s="8">
        <f t="shared" si="3"/>
        <v>100</v>
      </c>
      <c r="BB109" s="7">
        <v>30</v>
      </c>
      <c r="BC109" s="7">
        <v>20</v>
      </c>
      <c r="BD109" s="7">
        <v>30</v>
      </c>
      <c r="BE109" s="7">
        <v>20</v>
      </c>
      <c r="BF109" s="8">
        <f t="shared" si="4"/>
        <v>100</v>
      </c>
      <c r="BG109" s="7">
        <v>30</v>
      </c>
      <c r="BH109" s="7">
        <v>30</v>
      </c>
      <c r="BI109" s="7">
        <v>20</v>
      </c>
      <c r="BJ109" s="7">
        <v>20</v>
      </c>
      <c r="BK109" s="8">
        <f t="shared" si="5"/>
        <v>100</v>
      </c>
      <c r="BL109" s="7">
        <v>45</v>
      </c>
      <c r="BM109" s="7">
        <v>25</v>
      </c>
      <c r="BN109" s="7">
        <v>15</v>
      </c>
      <c r="BO109" s="7">
        <v>15</v>
      </c>
      <c r="BP109" s="8">
        <f t="shared" si="6"/>
        <v>100</v>
      </c>
      <c r="BQ109" s="7">
        <v>50</v>
      </c>
      <c r="BR109" s="7">
        <v>20</v>
      </c>
      <c r="BS109" s="7">
        <v>20</v>
      </c>
      <c r="BT109" s="7">
        <v>10</v>
      </c>
      <c r="BU109" s="8">
        <f t="shared" si="7"/>
        <v>100</v>
      </c>
      <c r="BV109" s="7">
        <v>30</v>
      </c>
      <c r="BW109" s="7">
        <v>30</v>
      </c>
      <c r="BX109" s="7">
        <v>30</v>
      </c>
      <c r="BY109" s="7">
        <v>10</v>
      </c>
      <c r="BZ109" s="8">
        <f t="shared" si="8"/>
        <v>100</v>
      </c>
      <c r="CA109" s="7">
        <v>20</v>
      </c>
      <c r="CB109" s="7">
        <v>30</v>
      </c>
      <c r="CC109" s="7">
        <v>20</v>
      </c>
      <c r="CD109" s="7">
        <v>30</v>
      </c>
      <c r="CE109" s="8">
        <f t="shared" si="9"/>
        <v>100</v>
      </c>
      <c r="CF109" s="7">
        <v>30</v>
      </c>
      <c r="CG109" s="7">
        <v>20</v>
      </c>
      <c r="CH109" s="7">
        <v>30</v>
      </c>
      <c r="CI109" s="7">
        <v>20</v>
      </c>
      <c r="CJ109" s="8">
        <f t="shared" si="10"/>
        <v>100</v>
      </c>
      <c r="CK109" s="16">
        <v>3.87</v>
      </c>
      <c r="CL109" s="16" t="s">
        <v>117</v>
      </c>
      <c r="CM109" s="25"/>
      <c r="CN109" s="25"/>
      <c r="CO109" s="26"/>
      <c r="CP109">
        <f>Form_Responses1[[#This Row],[Column89]]</f>
        <v>3.87</v>
      </c>
      <c r="CQ109">
        <f>IF(Form_Responses1[[#This Row],[Column94]]&gt;0,Form_Responses1[[#This Row],[Column94]],Form_Responses1[[#This Row],[Column91]])</f>
        <v>3.87</v>
      </c>
      <c r="CR109">
        <v>3.87</v>
      </c>
    </row>
    <row r="110" spans="1:96" ht="15">
      <c r="A110" s="12">
        <v>45621.419356585648</v>
      </c>
      <c r="B110" s="13">
        <v>0</v>
      </c>
      <c r="C110" s="13" t="s">
        <v>230</v>
      </c>
      <c r="D110" s="13" t="s">
        <v>93</v>
      </c>
      <c r="E110" s="13" t="s">
        <v>108</v>
      </c>
      <c r="F110" s="13" t="s">
        <v>95</v>
      </c>
      <c r="G110" s="13" t="s">
        <v>113</v>
      </c>
      <c r="H110" s="13" t="s">
        <v>97</v>
      </c>
      <c r="I110" s="13">
        <v>4</v>
      </c>
      <c r="J110" s="13">
        <v>5</v>
      </c>
      <c r="K110" s="13">
        <v>4</v>
      </c>
      <c r="L110" s="13">
        <v>4</v>
      </c>
      <c r="M110" s="13">
        <v>5</v>
      </c>
      <c r="N110" s="13">
        <v>5</v>
      </c>
      <c r="O110" s="13">
        <v>5</v>
      </c>
      <c r="P110" s="13">
        <v>4</v>
      </c>
      <c r="Q110" s="13">
        <v>5</v>
      </c>
      <c r="R110" s="13">
        <v>5</v>
      </c>
      <c r="S110" s="13">
        <v>5</v>
      </c>
      <c r="T110" s="13">
        <v>4</v>
      </c>
      <c r="U110" s="13">
        <v>5</v>
      </c>
      <c r="V110" s="13">
        <v>5</v>
      </c>
      <c r="W110" s="13">
        <v>5</v>
      </c>
      <c r="X110" s="13">
        <v>4</v>
      </c>
      <c r="Y110" s="13">
        <v>5</v>
      </c>
      <c r="Z110" s="13">
        <v>4</v>
      </c>
      <c r="AA110" s="13">
        <v>4</v>
      </c>
      <c r="AB110" s="13">
        <v>4</v>
      </c>
      <c r="AC110" s="13">
        <v>20</v>
      </c>
      <c r="AD110" s="13">
        <v>30</v>
      </c>
      <c r="AE110" s="13">
        <v>20</v>
      </c>
      <c r="AF110" s="13">
        <v>30</v>
      </c>
      <c r="AG110" s="8">
        <f t="shared" si="11"/>
        <v>100</v>
      </c>
      <c r="AH110" s="13">
        <v>10</v>
      </c>
      <c r="AI110" s="13">
        <v>30</v>
      </c>
      <c r="AJ110" s="13">
        <v>30</v>
      </c>
      <c r="AK110" s="13">
        <v>30</v>
      </c>
      <c r="AL110" s="8">
        <f t="shared" si="0"/>
        <v>100</v>
      </c>
      <c r="AM110" s="13">
        <v>20</v>
      </c>
      <c r="AN110" s="13">
        <v>10</v>
      </c>
      <c r="AO110" s="13">
        <v>30</v>
      </c>
      <c r="AP110" s="13">
        <v>40</v>
      </c>
      <c r="AQ110" s="8">
        <f t="shared" si="1"/>
        <v>100</v>
      </c>
      <c r="AR110" s="13">
        <v>10</v>
      </c>
      <c r="AS110" s="13">
        <v>20</v>
      </c>
      <c r="AT110" s="13">
        <v>20</v>
      </c>
      <c r="AU110" s="13">
        <v>50</v>
      </c>
      <c r="AV110" s="8">
        <f t="shared" si="2"/>
        <v>100</v>
      </c>
      <c r="AW110" s="13">
        <v>20</v>
      </c>
      <c r="AX110" s="13">
        <v>10</v>
      </c>
      <c r="AY110" s="13">
        <v>30</v>
      </c>
      <c r="AZ110" s="13">
        <v>40</v>
      </c>
      <c r="BA110" s="8">
        <f t="shared" si="3"/>
        <v>100</v>
      </c>
      <c r="BB110" s="13">
        <v>20</v>
      </c>
      <c r="BC110" s="13">
        <v>20</v>
      </c>
      <c r="BD110" s="13">
        <v>30</v>
      </c>
      <c r="BE110" s="13">
        <v>30</v>
      </c>
      <c r="BF110" s="8">
        <f t="shared" si="4"/>
        <v>100</v>
      </c>
      <c r="BG110" s="13">
        <v>30</v>
      </c>
      <c r="BH110" s="13">
        <v>30</v>
      </c>
      <c r="BI110" s="13">
        <v>20</v>
      </c>
      <c r="BJ110" s="13">
        <v>20</v>
      </c>
      <c r="BK110" s="8">
        <f t="shared" si="5"/>
        <v>100</v>
      </c>
      <c r="BL110" s="13">
        <v>20</v>
      </c>
      <c r="BM110" s="13">
        <v>20</v>
      </c>
      <c r="BN110" s="13">
        <v>20</v>
      </c>
      <c r="BO110" s="13">
        <v>40</v>
      </c>
      <c r="BP110" s="8">
        <f t="shared" si="6"/>
        <v>100</v>
      </c>
      <c r="BQ110" s="13">
        <v>20</v>
      </c>
      <c r="BR110" s="13">
        <v>20</v>
      </c>
      <c r="BS110" s="13">
        <v>10</v>
      </c>
      <c r="BT110" s="13">
        <v>50</v>
      </c>
      <c r="BU110" s="8">
        <f t="shared" si="7"/>
        <v>100</v>
      </c>
      <c r="BV110" s="13">
        <v>20</v>
      </c>
      <c r="BW110" s="13">
        <v>10</v>
      </c>
      <c r="BX110" s="13">
        <v>10</v>
      </c>
      <c r="BY110" s="13">
        <v>60</v>
      </c>
      <c r="BZ110" s="8">
        <f t="shared" si="8"/>
        <v>100</v>
      </c>
      <c r="CA110" s="13">
        <v>70</v>
      </c>
      <c r="CB110" s="13">
        <v>10</v>
      </c>
      <c r="CC110" s="13">
        <v>10</v>
      </c>
      <c r="CD110" s="13">
        <v>10</v>
      </c>
      <c r="CE110" s="8">
        <f t="shared" si="9"/>
        <v>100</v>
      </c>
      <c r="CF110" s="13">
        <v>60</v>
      </c>
      <c r="CG110" s="13">
        <v>10</v>
      </c>
      <c r="CH110" s="13">
        <v>10</v>
      </c>
      <c r="CI110" s="13">
        <v>20</v>
      </c>
      <c r="CJ110" s="8">
        <f t="shared" si="10"/>
        <v>100</v>
      </c>
      <c r="CK110" s="27"/>
      <c r="CL110" s="27"/>
      <c r="CM110" s="14">
        <v>4.71</v>
      </c>
      <c r="CN110" s="30" t="s">
        <v>98</v>
      </c>
      <c r="CO110" s="31"/>
      <c r="CP110">
        <f>Form_Responses1[[#This Row],[Column89]]</f>
        <v>0</v>
      </c>
      <c r="CQ110">
        <f>IF(Form_Responses1[[#This Row],[Column94]]&gt;0,Form_Responses1[[#This Row],[Column94]],Form_Responses1[[#This Row],[Column91]])</f>
        <v>4.71</v>
      </c>
      <c r="CR110">
        <v>4.71</v>
      </c>
    </row>
    <row r="111" spans="1:96" ht="15">
      <c r="A111" s="6">
        <v>45621.469534768519</v>
      </c>
      <c r="B111" s="7">
        <v>0</v>
      </c>
      <c r="C111" s="7" t="s">
        <v>231</v>
      </c>
      <c r="D111" s="7" t="s">
        <v>93</v>
      </c>
      <c r="E111" s="7" t="s">
        <v>112</v>
      </c>
      <c r="F111" s="7" t="s">
        <v>130</v>
      </c>
      <c r="G111" s="7" t="s">
        <v>113</v>
      </c>
      <c r="H111" s="7" t="s">
        <v>102</v>
      </c>
      <c r="I111" s="7">
        <v>3</v>
      </c>
      <c r="J111" s="7">
        <v>3</v>
      </c>
      <c r="K111" s="7">
        <v>4</v>
      </c>
      <c r="L111" s="7">
        <v>4</v>
      </c>
      <c r="M111" s="7">
        <v>3</v>
      </c>
      <c r="N111" s="7">
        <v>3</v>
      </c>
      <c r="O111" s="7">
        <v>3</v>
      </c>
      <c r="P111" s="7">
        <v>4</v>
      </c>
      <c r="Q111" s="7">
        <v>3</v>
      </c>
      <c r="R111" s="7">
        <v>4</v>
      </c>
      <c r="S111" s="7">
        <v>3</v>
      </c>
      <c r="T111" s="7">
        <v>3</v>
      </c>
      <c r="U111" s="7">
        <v>4</v>
      </c>
      <c r="V111" s="7">
        <v>3</v>
      </c>
      <c r="W111" s="7">
        <v>3</v>
      </c>
      <c r="X111" s="7">
        <v>3</v>
      </c>
      <c r="Y111" s="7">
        <v>4</v>
      </c>
      <c r="Z111" s="7">
        <v>4</v>
      </c>
      <c r="AA111" s="7">
        <v>4</v>
      </c>
      <c r="AB111" s="7">
        <v>3</v>
      </c>
      <c r="AC111" s="7">
        <v>40</v>
      </c>
      <c r="AD111" s="7">
        <v>20</v>
      </c>
      <c r="AE111" s="7">
        <v>20</v>
      </c>
      <c r="AF111" s="7">
        <v>20</v>
      </c>
      <c r="AG111" s="8">
        <f t="shared" si="11"/>
        <v>100</v>
      </c>
      <c r="AH111" s="7">
        <v>30</v>
      </c>
      <c r="AI111" s="7">
        <v>20</v>
      </c>
      <c r="AJ111" s="7">
        <v>30</v>
      </c>
      <c r="AK111" s="7">
        <v>20</v>
      </c>
      <c r="AL111" s="8">
        <f t="shared" si="0"/>
        <v>100</v>
      </c>
      <c r="AM111" s="7">
        <v>20</v>
      </c>
      <c r="AN111" s="7">
        <v>30</v>
      </c>
      <c r="AO111" s="7">
        <v>30</v>
      </c>
      <c r="AP111" s="7">
        <v>20</v>
      </c>
      <c r="AQ111" s="8">
        <f t="shared" si="1"/>
        <v>100</v>
      </c>
      <c r="AR111" s="7">
        <v>30</v>
      </c>
      <c r="AS111" s="7">
        <v>20</v>
      </c>
      <c r="AT111" s="7">
        <v>30</v>
      </c>
      <c r="AU111" s="7">
        <v>20</v>
      </c>
      <c r="AV111" s="8">
        <f t="shared" si="2"/>
        <v>100</v>
      </c>
      <c r="AW111" s="7">
        <v>30</v>
      </c>
      <c r="AX111" s="7">
        <v>20</v>
      </c>
      <c r="AY111" s="7">
        <v>20</v>
      </c>
      <c r="AZ111" s="7">
        <v>30</v>
      </c>
      <c r="BA111" s="8">
        <f t="shared" si="3"/>
        <v>100</v>
      </c>
      <c r="BB111" s="7">
        <v>30</v>
      </c>
      <c r="BC111" s="7">
        <v>20</v>
      </c>
      <c r="BD111" s="7">
        <v>30</v>
      </c>
      <c r="BE111" s="7">
        <v>20</v>
      </c>
      <c r="BF111" s="8">
        <f t="shared" si="4"/>
        <v>100</v>
      </c>
      <c r="BG111" s="7">
        <v>60</v>
      </c>
      <c r="BH111" s="7">
        <v>10</v>
      </c>
      <c r="BI111" s="7">
        <v>20</v>
      </c>
      <c r="BJ111" s="7">
        <v>10</v>
      </c>
      <c r="BK111" s="8">
        <f t="shared" si="5"/>
        <v>100</v>
      </c>
      <c r="BL111" s="7">
        <v>40</v>
      </c>
      <c r="BM111" s="7">
        <v>20</v>
      </c>
      <c r="BN111" s="7">
        <v>20</v>
      </c>
      <c r="BO111" s="7">
        <v>20</v>
      </c>
      <c r="BP111" s="8">
        <f t="shared" si="6"/>
        <v>100</v>
      </c>
      <c r="BQ111" s="7">
        <v>30</v>
      </c>
      <c r="BR111" s="7">
        <v>20</v>
      </c>
      <c r="BS111" s="7">
        <v>30</v>
      </c>
      <c r="BT111" s="7">
        <v>20</v>
      </c>
      <c r="BU111" s="8">
        <f t="shared" si="7"/>
        <v>100</v>
      </c>
      <c r="BV111" s="7">
        <v>30</v>
      </c>
      <c r="BW111" s="7">
        <v>40</v>
      </c>
      <c r="BX111" s="7">
        <v>20</v>
      </c>
      <c r="BY111" s="7">
        <v>10</v>
      </c>
      <c r="BZ111" s="8">
        <f t="shared" si="8"/>
        <v>100</v>
      </c>
      <c r="CA111" s="7">
        <v>20</v>
      </c>
      <c r="CB111" s="7">
        <v>35</v>
      </c>
      <c r="CC111" s="7">
        <v>35</v>
      </c>
      <c r="CD111" s="7">
        <v>10</v>
      </c>
      <c r="CE111" s="8">
        <f t="shared" si="9"/>
        <v>100</v>
      </c>
      <c r="CF111" s="7">
        <v>30</v>
      </c>
      <c r="CG111" s="7">
        <v>30</v>
      </c>
      <c r="CH111" s="7">
        <v>20</v>
      </c>
      <c r="CI111" s="7">
        <v>20</v>
      </c>
      <c r="CJ111" s="8">
        <f t="shared" si="10"/>
        <v>100</v>
      </c>
      <c r="CK111" s="9">
        <v>4.2300000000000004</v>
      </c>
      <c r="CL111" s="10" t="s">
        <v>98</v>
      </c>
      <c r="CM111" s="25"/>
      <c r="CN111" s="25"/>
      <c r="CO111" s="26"/>
      <c r="CP111">
        <f>Form_Responses1[[#This Row],[Column89]]</f>
        <v>4.2300000000000004</v>
      </c>
      <c r="CQ111">
        <f>IF(Form_Responses1[[#This Row],[Column94]]&gt;0,Form_Responses1[[#This Row],[Column94]],Form_Responses1[[#This Row],[Column91]])</f>
        <v>4.2300000000000004</v>
      </c>
      <c r="CR111">
        <v>4.2300000000000004</v>
      </c>
    </row>
    <row r="112" spans="1:96" ht="15">
      <c r="A112" s="12">
        <v>45621.611247546301</v>
      </c>
      <c r="B112" s="13">
        <v>0</v>
      </c>
      <c r="C112" s="13" t="s">
        <v>232</v>
      </c>
      <c r="D112" s="13" t="s">
        <v>107</v>
      </c>
      <c r="E112" s="13" t="s">
        <v>94</v>
      </c>
      <c r="F112" s="13" t="s">
        <v>181</v>
      </c>
      <c r="G112" s="13" t="s">
        <v>96</v>
      </c>
      <c r="H112" s="13" t="s">
        <v>233</v>
      </c>
      <c r="I112" s="13">
        <v>5</v>
      </c>
      <c r="J112" s="13">
        <v>5</v>
      </c>
      <c r="K112" s="13">
        <v>5</v>
      </c>
      <c r="L112" s="13">
        <v>5</v>
      </c>
      <c r="M112" s="13">
        <v>5</v>
      </c>
      <c r="N112" s="13">
        <v>5</v>
      </c>
      <c r="O112" s="13">
        <v>5</v>
      </c>
      <c r="P112" s="13">
        <v>5</v>
      </c>
      <c r="Q112" s="13">
        <v>5</v>
      </c>
      <c r="R112" s="13">
        <v>5</v>
      </c>
      <c r="S112" s="13">
        <v>5</v>
      </c>
      <c r="T112" s="13">
        <v>5</v>
      </c>
      <c r="U112" s="13">
        <v>5</v>
      </c>
      <c r="V112" s="13">
        <v>5</v>
      </c>
      <c r="W112" s="13">
        <v>5</v>
      </c>
      <c r="X112" s="13">
        <v>5</v>
      </c>
      <c r="Y112" s="13">
        <v>5</v>
      </c>
      <c r="Z112" s="13">
        <v>5</v>
      </c>
      <c r="AA112" s="13">
        <v>5</v>
      </c>
      <c r="AB112" s="13">
        <v>5</v>
      </c>
      <c r="AC112" s="13">
        <v>30</v>
      </c>
      <c r="AD112" s="13">
        <v>30</v>
      </c>
      <c r="AE112" s="13">
        <v>20</v>
      </c>
      <c r="AF112" s="13">
        <v>20</v>
      </c>
      <c r="AG112" s="8">
        <f t="shared" si="11"/>
        <v>100</v>
      </c>
      <c r="AH112" s="13">
        <v>20</v>
      </c>
      <c r="AI112" s="13">
        <v>30</v>
      </c>
      <c r="AJ112" s="13">
        <v>20</v>
      </c>
      <c r="AK112" s="13">
        <v>30</v>
      </c>
      <c r="AL112" s="8">
        <f t="shared" si="0"/>
        <v>100</v>
      </c>
      <c r="AM112" s="13">
        <v>10</v>
      </c>
      <c r="AN112" s="13">
        <v>30</v>
      </c>
      <c r="AO112" s="13">
        <v>30</v>
      </c>
      <c r="AP112" s="13">
        <v>30</v>
      </c>
      <c r="AQ112" s="8">
        <f t="shared" si="1"/>
        <v>100</v>
      </c>
      <c r="AR112" s="13">
        <v>10</v>
      </c>
      <c r="AS112" s="13">
        <v>30</v>
      </c>
      <c r="AT112" s="13">
        <v>30</v>
      </c>
      <c r="AU112" s="13">
        <v>30</v>
      </c>
      <c r="AV112" s="8">
        <f t="shared" si="2"/>
        <v>100</v>
      </c>
      <c r="AW112" s="13">
        <v>30</v>
      </c>
      <c r="AX112" s="13">
        <v>30</v>
      </c>
      <c r="AY112" s="13">
        <v>20</v>
      </c>
      <c r="AZ112" s="13">
        <v>20</v>
      </c>
      <c r="BA112" s="8">
        <f t="shared" si="3"/>
        <v>100</v>
      </c>
      <c r="BB112" s="13">
        <v>20</v>
      </c>
      <c r="BC112" s="13">
        <v>30</v>
      </c>
      <c r="BD112" s="13">
        <v>20</v>
      </c>
      <c r="BE112" s="13">
        <v>30</v>
      </c>
      <c r="BF112" s="8">
        <f t="shared" si="4"/>
        <v>100</v>
      </c>
      <c r="BG112" s="13">
        <v>10</v>
      </c>
      <c r="BH112" s="13">
        <v>30</v>
      </c>
      <c r="BI112" s="13">
        <v>30</v>
      </c>
      <c r="BJ112" s="13">
        <v>30</v>
      </c>
      <c r="BK112" s="8">
        <f t="shared" si="5"/>
        <v>100</v>
      </c>
      <c r="BL112" s="13">
        <v>20</v>
      </c>
      <c r="BM112" s="13">
        <v>30</v>
      </c>
      <c r="BN112" s="13">
        <v>30</v>
      </c>
      <c r="BO112" s="13">
        <v>20</v>
      </c>
      <c r="BP112" s="8">
        <f t="shared" si="6"/>
        <v>100</v>
      </c>
      <c r="BQ112" s="13">
        <v>40</v>
      </c>
      <c r="BR112" s="13">
        <v>20</v>
      </c>
      <c r="BS112" s="13">
        <v>20</v>
      </c>
      <c r="BT112" s="13">
        <v>20</v>
      </c>
      <c r="BU112" s="8">
        <f t="shared" si="7"/>
        <v>100</v>
      </c>
      <c r="BV112" s="13">
        <v>30</v>
      </c>
      <c r="BW112" s="13">
        <v>30</v>
      </c>
      <c r="BX112" s="13">
        <v>20</v>
      </c>
      <c r="BY112" s="13">
        <v>20</v>
      </c>
      <c r="BZ112" s="8">
        <f t="shared" si="8"/>
        <v>100</v>
      </c>
      <c r="CA112" s="13">
        <v>30</v>
      </c>
      <c r="CB112" s="13">
        <v>30</v>
      </c>
      <c r="CC112" s="13">
        <v>20</v>
      </c>
      <c r="CD112" s="13">
        <v>20</v>
      </c>
      <c r="CE112" s="8">
        <f t="shared" si="9"/>
        <v>100</v>
      </c>
      <c r="CF112" s="13">
        <v>20</v>
      </c>
      <c r="CG112" s="13">
        <v>20</v>
      </c>
      <c r="CH112" s="13">
        <v>30</v>
      </c>
      <c r="CI112" s="13">
        <v>30</v>
      </c>
      <c r="CJ112" s="8">
        <f t="shared" si="10"/>
        <v>100</v>
      </c>
      <c r="CK112" s="14">
        <v>4.95</v>
      </c>
      <c r="CL112" s="19" t="s">
        <v>98</v>
      </c>
      <c r="CM112" s="23" t="s">
        <v>234</v>
      </c>
      <c r="CN112" s="23"/>
      <c r="CO112" s="24"/>
      <c r="CP112">
        <f>Form_Responses1[[#This Row],[Column89]]</f>
        <v>4.95</v>
      </c>
      <c r="CQ112">
        <f>IF(Form_Responses1[[#This Row],[Column94]]&gt;0,Form_Responses1[[#This Row],[Column94]],Form_Responses1[[#This Row],[Column91]])</f>
        <v>4.95</v>
      </c>
      <c r="CR112">
        <v>4.95</v>
      </c>
    </row>
    <row r="113" spans="1:96" ht="15">
      <c r="A113" s="6">
        <v>45621.718816562498</v>
      </c>
      <c r="B113" s="7">
        <v>0</v>
      </c>
      <c r="C113" s="7" t="s">
        <v>235</v>
      </c>
      <c r="D113" s="7" t="s">
        <v>93</v>
      </c>
      <c r="E113" s="7" t="s">
        <v>108</v>
      </c>
      <c r="F113" s="7" t="s">
        <v>181</v>
      </c>
      <c r="G113" s="7" t="s">
        <v>96</v>
      </c>
      <c r="H113" s="7" t="s">
        <v>104</v>
      </c>
      <c r="I113" s="7">
        <v>4</v>
      </c>
      <c r="J113" s="7">
        <v>4</v>
      </c>
      <c r="K113" s="7">
        <v>4</v>
      </c>
      <c r="L113" s="7">
        <v>4</v>
      </c>
      <c r="M113" s="7">
        <v>4</v>
      </c>
      <c r="N113" s="7">
        <v>4</v>
      </c>
      <c r="O113" s="7">
        <v>4</v>
      </c>
      <c r="P113" s="7">
        <v>4</v>
      </c>
      <c r="Q113" s="7">
        <v>4</v>
      </c>
      <c r="R113" s="7">
        <v>4</v>
      </c>
      <c r="S113" s="7">
        <v>4</v>
      </c>
      <c r="T113" s="7">
        <v>3</v>
      </c>
      <c r="U113" s="7">
        <v>3</v>
      </c>
      <c r="V113" s="7">
        <v>4</v>
      </c>
      <c r="W113" s="7">
        <v>3</v>
      </c>
      <c r="X113" s="7">
        <v>3</v>
      </c>
      <c r="Y113" s="7">
        <v>3</v>
      </c>
      <c r="Z113" s="7">
        <v>3</v>
      </c>
      <c r="AA113" s="7">
        <v>3</v>
      </c>
      <c r="AB113" s="7">
        <v>3</v>
      </c>
      <c r="AC113" s="7">
        <v>30</v>
      </c>
      <c r="AD113" s="7">
        <v>20</v>
      </c>
      <c r="AE113" s="7">
        <v>20</v>
      </c>
      <c r="AF113" s="7">
        <v>30</v>
      </c>
      <c r="AG113" s="8">
        <f t="shared" si="11"/>
        <v>100</v>
      </c>
      <c r="AH113" s="7">
        <v>30</v>
      </c>
      <c r="AI113" s="7">
        <v>20</v>
      </c>
      <c r="AJ113" s="7">
        <v>20</v>
      </c>
      <c r="AK113" s="7">
        <v>30</v>
      </c>
      <c r="AL113" s="8">
        <f t="shared" si="0"/>
        <v>100</v>
      </c>
      <c r="AM113" s="7">
        <v>20</v>
      </c>
      <c r="AN113" s="7">
        <v>30</v>
      </c>
      <c r="AO113" s="7">
        <v>20</v>
      </c>
      <c r="AP113" s="7">
        <v>30</v>
      </c>
      <c r="AQ113" s="8">
        <f t="shared" si="1"/>
        <v>100</v>
      </c>
      <c r="AR113" s="7">
        <v>20</v>
      </c>
      <c r="AS113" s="7">
        <v>20</v>
      </c>
      <c r="AT113" s="7">
        <v>30</v>
      </c>
      <c r="AU113" s="7">
        <v>30</v>
      </c>
      <c r="AV113" s="8">
        <f t="shared" si="2"/>
        <v>100</v>
      </c>
      <c r="AW113" s="7">
        <v>20</v>
      </c>
      <c r="AX113" s="7">
        <v>20</v>
      </c>
      <c r="AY113" s="7">
        <v>30</v>
      </c>
      <c r="AZ113" s="7">
        <v>30</v>
      </c>
      <c r="BA113" s="8">
        <f t="shared" si="3"/>
        <v>100</v>
      </c>
      <c r="BB113" s="7">
        <v>20</v>
      </c>
      <c r="BC113" s="7">
        <v>20</v>
      </c>
      <c r="BD113" s="7">
        <v>30</v>
      </c>
      <c r="BE113" s="7">
        <v>30</v>
      </c>
      <c r="BF113" s="8">
        <f t="shared" si="4"/>
        <v>100</v>
      </c>
      <c r="BG113" s="7">
        <v>30</v>
      </c>
      <c r="BH113" s="7">
        <v>30</v>
      </c>
      <c r="BI113" s="7">
        <v>20</v>
      </c>
      <c r="BJ113" s="7">
        <v>20</v>
      </c>
      <c r="BK113" s="8">
        <f t="shared" si="5"/>
        <v>100</v>
      </c>
      <c r="BL113" s="7">
        <v>20</v>
      </c>
      <c r="BM113" s="7">
        <v>20</v>
      </c>
      <c r="BN113" s="7">
        <v>30</v>
      </c>
      <c r="BO113" s="7">
        <v>30</v>
      </c>
      <c r="BP113" s="8">
        <f t="shared" si="6"/>
        <v>100</v>
      </c>
      <c r="BQ113" s="7">
        <v>20</v>
      </c>
      <c r="BR113" s="7">
        <v>30</v>
      </c>
      <c r="BS113" s="7">
        <v>30</v>
      </c>
      <c r="BT113" s="7">
        <v>20</v>
      </c>
      <c r="BU113" s="8">
        <f t="shared" si="7"/>
        <v>100</v>
      </c>
      <c r="BV113" s="7">
        <v>20</v>
      </c>
      <c r="BW113" s="7">
        <v>30</v>
      </c>
      <c r="BX113" s="7">
        <v>30</v>
      </c>
      <c r="BY113" s="7">
        <v>20</v>
      </c>
      <c r="BZ113" s="8">
        <f t="shared" si="8"/>
        <v>100</v>
      </c>
      <c r="CA113" s="7">
        <v>20</v>
      </c>
      <c r="CB113" s="7">
        <v>20</v>
      </c>
      <c r="CC113" s="7">
        <v>30</v>
      </c>
      <c r="CD113" s="7">
        <v>30</v>
      </c>
      <c r="CE113" s="8">
        <f t="shared" si="9"/>
        <v>100</v>
      </c>
      <c r="CF113" s="7">
        <v>30</v>
      </c>
      <c r="CG113" s="7">
        <v>20</v>
      </c>
      <c r="CH113" s="7">
        <v>20</v>
      </c>
      <c r="CI113" s="7">
        <v>30</v>
      </c>
      <c r="CJ113" s="8">
        <f t="shared" si="10"/>
        <v>100</v>
      </c>
      <c r="CK113" s="9">
        <v>4.1500000000000004</v>
      </c>
      <c r="CL113" s="10" t="s">
        <v>98</v>
      </c>
      <c r="CM113" s="25"/>
      <c r="CN113" s="25"/>
      <c r="CO113" s="26"/>
      <c r="CP113">
        <f>Form_Responses1[[#This Row],[Column89]]</f>
        <v>4.1500000000000004</v>
      </c>
      <c r="CQ113">
        <f>IF(Form_Responses1[[#This Row],[Column94]]&gt;0,Form_Responses1[[#This Row],[Column94]],Form_Responses1[[#This Row],[Column91]])</f>
        <v>4.1500000000000004</v>
      </c>
      <c r="CR113">
        <v>4.1500000000000004</v>
      </c>
    </row>
    <row r="114" spans="1:96" ht="15">
      <c r="A114" s="12">
        <v>45621.726391284727</v>
      </c>
      <c r="B114" s="13">
        <v>0</v>
      </c>
      <c r="C114" s="13" t="s">
        <v>236</v>
      </c>
      <c r="D114" s="13" t="s">
        <v>107</v>
      </c>
      <c r="E114" s="13" t="s">
        <v>112</v>
      </c>
      <c r="F114" s="13" t="s">
        <v>95</v>
      </c>
      <c r="G114" s="13" t="s">
        <v>113</v>
      </c>
      <c r="H114" s="13" t="s">
        <v>102</v>
      </c>
      <c r="I114" s="13">
        <v>2</v>
      </c>
      <c r="J114" s="13">
        <v>2</v>
      </c>
      <c r="K114" s="13">
        <v>2</v>
      </c>
      <c r="L114" s="13">
        <v>2</v>
      </c>
      <c r="M114" s="13">
        <v>2</v>
      </c>
      <c r="N114" s="13">
        <v>2</v>
      </c>
      <c r="O114" s="13">
        <v>2</v>
      </c>
      <c r="P114" s="13">
        <v>2</v>
      </c>
      <c r="Q114" s="13">
        <v>2</v>
      </c>
      <c r="R114" s="13">
        <v>2</v>
      </c>
      <c r="S114" s="13">
        <v>2</v>
      </c>
      <c r="T114" s="13">
        <v>2</v>
      </c>
      <c r="U114" s="13">
        <v>2</v>
      </c>
      <c r="V114" s="13">
        <v>2</v>
      </c>
      <c r="W114" s="13">
        <v>2</v>
      </c>
      <c r="X114" s="13">
        <v>2</v>
      </c>
      <c r="Y114" s="13">
        <v>2</v>
      </c>
      <c r="Z114" s="13">
        <v>2</v>
      </c>
      <c r="AA114" s="13">
        <v>2</v>
      </c>
      <c r="AB114" s="13">
        <v>2</v>
      </c>
      <c r="AC114" s="13">
        <v>30</v>
      </c>
      <c r="AD114" s="13">
        <v>30</v>
      </c>
      <c r="AE114" s="13">
        <v>30</v>
      </c>
      <c r="AF114" s="13">
        <v>10</v>
      </c>
      <c r="AG114" s="8">
        <f t="shared" si="11"/>
        <v>100</v>
      </c>
      <c r="AH114" s="13">
        <v>25</v>
      </c>
      <c r="AI114" s="13">
        <v>25</v>
      </c>
      <c r="AJ114" s="13">
        <v>25</v>
      </c>
      <c r="AK114" s="13">
        <v>25</v>
      </c>
      <c r="AL114" s="8">
        <f t="shared" si="0"/>
        <v>100</v>
      </c>
      <c r="AM114" s="13">
        <v>25</v>
      </c>
      <c r="AN114" s="13">
        <v>25</v>
      </c>
      <c r="AO114" s="13">
        <v>25</v>
      </c>
      <c r="AP114" s="13">
        <v>25</v>
      </c>
      <c r="AQ114" s="8">
        <f t="shared" si="1"/>
        <v>100</v>
      </c>
      <c r="AR114" s="13">
        <v>30</v>
      </c>
      <c r="AS114" s="13">
        <v>30</v>
      </c>
      <c r="AT114" s="13">
        <v>10</v>
      </c>
      <c r="AU114" s="13">
        <v>30</v>
      </c>
      <c r="AV114" s="8">
        <f t="shared" si="2"/>
        <v>100</v>
      </c>
      <c r="AW114" s="13">
        <v>20</v>
      </c>
      <c r="AX114" s="13">
        <v>30</v>
      </c>
      <c r="AY114" s="13">
        <v>20</v>
      </c>
      <c r="AZ114" s="13">
        <v>30</v>
      </c>
      <c r="BA114" s="8">
        <f t="shared" si="3"/>
        <v>100</v>
      </c>
      <c r="BB114" s="13">
        <v>30</v>
      </c>
      <c r="BC114" s="13">
        <v>10</v>
      </c>
      <c r="BD114" s="13">
        <v>30</v>
      </c>
      <c r="BE114" s="13">
        <v>30</v>
      </c>
      <c r="BF114" s="8">
        <f t="shared" si="4"/>
        <v>100</v>
      </c>
      <c r="BG114" s="13">
        <v>25</v>
      </c>
      <c r="BH114" s="13">
        <v>25</v>
      </c>
      <c r="BI114" s="13">
        <v>25</v>
      </c>
      <c r="BJ114" s="13">
        <v>25</v>
      </c>
      <c r="BK114" s="8">
        <f t="shared" si="5"/>
        <v>100</v>
      </c>
      <c r="BL114" s="13">
        <v>30</v>
      </c>
      <c r="BM114" s="13">
        <v>10</v>
      </c>
      <c r="BN114" s="13">
        <v>30</v>
      </c>
      <c r="BO114" s="13">
        <v>30</v>
      </c>
      <c r="BP114" s="8">
        <f t="shared" si="6"/>
        <v>100</v>
      </c>
      <c r="BQ114" s="13">
        <v>30</v>
      </c>
      <c r="BR114" s="13">
        <v>10</v>
      </c>
      <c r="BS114" s="13">
        <v>30</v>
      </c>
      <c r="BT114" s="13">
        <v>30</v>
      </c>
      <c r="BU114" s="8">
        <f t="shared" si="7"/>
        <v>100</v>
      </c>
      <c r="BV114" s="13">
        <v>25</v>
      </c>
      <c r="BW114" s="13">
        <v>25</v>
      </c>
      <c r="BX114" s="13">
        <v>25</v>
      </c>
      <c r="BY114" s="13">
        <v>25</v>
      </c>
      <c r="BZ114" s="8">
        <f t="shared" si="8"/>
        <v>100</v>
      </c>
      <c r="CA114" s="13">
        <v>25</v>
      </c>
      <c r="CB114" s="13">
        <v>25</v>
      </c>
      <c r="CC114" s="13">
        <v>25</v>
      </c>
      <c r="CD114" s="13">
        <v>25</v>
      </c>
      <c r="CE114" s="8">
        <f t="shared" si="9"/>
        <v>100</v>
      </c>
      <c r="CF114" s="13">
        <v>25</v>
      </c>
      <c r="CG114" s="13">
        <v>25</v>
      </c>
      <c r="CH114" s="13">
        <v>25</v>
      </c>
      <c r="CI114" s="13">
        <v>25</v>
      </c>
      <c r="CJ114" s="8">
        <f t="shared" si="10"/>
        <v>100</v>
      </c>
      <c r="CK114" s="27"/>
      <c r="CL114" s="14"/>
      <c r="CM114" s="14"/>
      <c r="CN114" s="14">
        <v>3.94</v>
      </c>
      <c r="CO114" s="38" t="s">
        <v>117</v>
      </c>
      <c r="CP114">
        <f>Form_Responses1[[#This Row],[Column89]]</f>
        <v>0</v>
      </c>
      <c r="CQ114" s="14">
        <v>3.94</v>
      </c>
      <c r="CR114">
        <v>3.94</v>
      </c>
    </row>
    <row r="115" spans="1:96" ht="15">
      <c r="A115" s="6">
        <v>45621.831620034718</v>
      </c>
      <c r="B115" s="7">
        <v>0</v>
      </c>
      <c r="C115" s="7" t="s">
        <v>237</v>
      </c>
      <c r="D115" s="7" t="s">
        <v>93</v>
      </c>
      <c r="E115" s="7" t="s">
        <v>100</v>
      </c>
      <c r="F115" s="7" t="s">
        <v>95</v>
      </c>
      <c r="G115" s="7" t="s">
        <v>123</v>
      </c>
      <c r="H115" s="7" t="s">
        <v>102</v>
      </c>
      <c r="I115" s="7">
        <v>4</v>
      </c>
      <c r="J115" s="7">
        <v>4</v>
      </c>
      <c r="K115" s="7">
        <v>4</v>
      </c>
      <c r="L115" s="7">
        <v>5</v>
      </c>
      <c r="M115" s="7">
        <v>5</v>
      </c>
      <c r="N115" s="7">
        <v>4</v>
      </c>
      <c r="O115" s="7">
        <v>4</v>
      </c>
      <c r="P115" s="7">
        <v>4</v>
      </c>
      <c r="Q115" s="7">
        <v>5</v>
      </c>
      <c r="R115" s="7">
        <v>5</v>
      </c>
      <c r="S115" s="7">
        <v>5</v>
      </c>
      <c r="T115" s="7">
        <v>4</v>
      </c>
      <c r="U115" s="7">
        <v>5</v>
      </c>
      <c r="V115" s="7">
        <v>4</v>
      </c>
      <c r="W115" s="7">
        <v>4</v>
      </c>
      <c r="X115" s="7">
        <v>5</v>
      </c>
      <c r="Y115" s="7">
        <v>4</v>
      </c>
      <c r="Z115" s="7">
        <v>5</v>
      </c>
      <c r="AA115" s="7">
        <v>5</v>
      </c>
      <c r="AB115" s="7">
        <v>5</v>
      </c>
      <c r="AC115" s="7">
        <v>35</v>
      </c>
      <c r="AD115" s="7">
        <v>10</v>
      </c>
      <c r="AE115" s="7">
        <v>35</v>
      </c>
      <c r="AF115" s="7">
        <v>20</v>
      </c>
      <c r="AG115" s="8">
        <f t="shared" si="11"/>
        <v>100</v>
      </c>
      <c r="AH115" s="7">
        <v>20</v>
      </c>
      <c r="AI115" s="7">
        <v>30</v>
      </c>
      <c r="AJ115" s="7">
        <v>30</v>
      </c>
      <c r="AK115" s="7">
        <v>20</v>
      </c>
      <c r="AL115" s="8">
        <f t="shared" si="0"/>
        <v>100</v>
      </c>
      <c r="AM115" s="7">
        <v>20</v>
      </c>
      <c r="AN115" s="7">
        <v>20</v>
      </c>
      <c r="AO115" s="7">
        <v>20</v>
      </c>
      <c r="AP115" s="7">
        <v>40</v>
      </c>
      <c r="AQ115" s="8">
        <f t="shared" si="1"/>
        <v>100</v>
      </c>
      <c r="AR115" s="7">
        <v>20</v>
      </c>
      <c r="AS115" s="7">
        <v>20</v>
      </c>
      <c r="AT115" s="7">
        <v>30</v>
      </c>
      <c r="AU115" s="7">
        <v>30</v>
      </c>
      <c r="AV115" s="8">
        <f t="shared" si="2"/>
        <v>100</v>
      </c>
      <c r="AW115" s="7">
        <v>25</v>
      </c>
      <c r="AX115" s="7">
        <v>25</v>
      </c>
      <c r="AY115" s="7">
        <v>25</v>
      </c>
      <c r="AZ115" s="7">
        <v>25</v>
      </c>
      <c r="BA115" s="8">
        <f t="shared" si="3"/>
        <v>100</v>
      </c>
      <c r="BB115" s="7">
        <v>20</v>
      </c>
      <c r="BC115" s="7">
        <v>30</v>
      </c>
      <c r="BD115" s="7">
        <v>30</v>
      </c>
      <c r="BE115" s="7">
        <v>20</v>
      </c>
      <c r="BF115" s="8">
        <f t="shared" si="4"/>
        <v>100</v>
      </c>
      <c r="BG115" s="7">
        <v>20</v>
      </c>
      <c r="BH115" s="7">
        <v>30</v>
      </c>
      <c r="BI115" s="7">
        <v>30</v>
      </c>
      <c r="BJ115" s="7">
        <v>20</v>
      </c>
      <c r="BK115" s="8">
        <f t="shared" si="5"/>
        <v>100</v>
      </c>
      <c r="BL115" s="7">
        <v>20</v>
      </c>
      <c r="BM115" s="7">
        <v>20</v>
      </c>
      <c r="BN115" s="7">
        <v>20</v>
      </c>
      <c r="BO115" s="7">
        <v>40</v>
      </c>
      <c r="BP115" s="8">
        <f t="shared" si="6"/>
        <v>100</v>
      </c>
      <c r="BQ115" s="7">
        <v>30</v>
      </c>
      <c r="BR115" s="7">
        <v>20</v>
      </c>
      <c r="BS115" s="7">
        <v>20</v>
      </c>
      <c r="BT115" s="7">
        <v>30</v>
      </c>
      <c r="BU115" s="8">
        <f t="shared" si="7"/>
        <v>100</v>
      </c>
      <c r="BV115" s="7">
        <v>20</v>
      </c>
      <c r="BW115" s="7">
        <v>40</v>
      </c>
      <c r="BX115" s="7">
        <v>20</v>
      </c>
      <c r="BY115" s="7">
        <v>20</v>
      </c>
      <c r="BZ115" s="8">
        <f t="shared" si="8"/>
        <v>100</v>
      </c>
      <c r="CA115" s="7">
        <v>10</v>
      </c>
      <c r="CB115" s="7">
        <v>30</v>
      </c>
      <c r="CC115" s="7">
        <v>30</v>
      </c>
      <c r="CD115" s="7">
        <v>30</v>
      </c>
      <c r="CE115" s="8">
        <f t="shared" si="9"/>
        <v>100</v>
      </c>
      <c r="CF115" s="7">
        <v>20</v>
      </c>
      <c r="CG115" s="7">
        <v>40</v>
      </c>
      <c r="CH115" s="7">
        <v>20</v>
      </c>
      <c r="CI115" s="7">
        <v>20</v>
      </c>
      <c r="CJ115" s="8">
        <f t="shared" si="10"/>
        <v>100</v>
      </c>
      <c r="CK115" s="9">
        <v>4.75</v>
      </c>
      <c r="CL115" s="10" t="s">
        <v>98</v>
      </c>
      <c r="CM115" s="25"/>
      <c r="CN115" s="25"/>
      <c r="CO115" s="26"/>
      <c r="CP115">
        <f>Form_Responses1[[#This Row],[Column89]]</f>
        <v>4.75</v>
      </c>
      <c r="CQ115">
        <f>IF(Form_Responses1[[#This Row],[Column94]]&gt;0,Form_Responses1[[#This Row],[Column94]],Form_Responses1[[#This Row],[Column91]])</f>
        <v>4.75</v>
      </c>
      <c r="CR115">
        <v>4.75</v>
      </c>
    </row>
    <row r="116" spans="1:96" ht="15">
      <c r="A116" s="12">
        <v>45621.847799861112</v>
      </c>
      <c r="B116" s="13">
        <v>0</v>
      </c>
      <c r="C116" s="13" t="s">
        <v>238</v>
      </c>
      <c r="D116" s="13" t="s">
        <v>93</v>
      </c>
      <c r="E116" s="13" t="s">
        <v>112</v>
      </c>
      <c r="F116" s="13" t="s">
        <v>101</v>
      </c>
      <c r="G116" s="13" t="s">
        <v>113</v>
      </c>
      <c r="H116" s="13" t="s">
        <v>102</v>
      </c>
      <c r="I116" s="13">
        <v>4</v>
      </c>
      <c r="J116" s="13">
        <v>2</v>
      </c>
      <c r="K116" s="13">
        <v>3</v>
      </c>
      <c r="L116" s="13">
        <v>3</v>
      </c>
      <c r="M116" s="13">
        <v>4</v>
      </c>
      <c r="N116" s="13">
        <v>3</v>
      </c>
      <c r="O116" s="13">
        <v>3</v>
      </c>
      <c r="P116" s="13">
        <v>2</v>
      </c>
      <c r="Q116" s="13">
        <v>4</v>
      </c>
      <c r="R116" s="13">
        <v>3</v>
      </c>
      <c r="S116" s="13">
        <v>4</v>
      </c>
      <c r="T116" s="13">
        <v>2</v>
      </c>
      <c r="U116" s="13">
        <v>4</v>
      </c>
      <c r="V116" s="13">
        <v>2</v>
      </c>
      <c r="W116" s="13">
        <v>4</v>
      </c>
      <c r="X116" s="13">
        <v>3</v>
      </c>
      <c r="Y116" s="13">
        <v>3</v>
      </c>
      <c r="Z116" s="13">
        <v>4</v>
      </c>
      <c r="AA116" s="13">
        <v>2</v>
      </c>
      <c r="AB116" s="13">
        <v>4</v>
      </c>
      <c r="AC116" s="13">
        <v>25</v>
      </c>
      <c r="AD116" s="13">
        <v>25</v>
      </c>
      <c r="AE116" s="13">
        <v>25</v>
      </c>
      <c r="AF116" s="13">
        <v>25</v>
      </c>
      <c r="AG116" s="8">
        <f t="shared" si="11"/>
        <v>100</v>
      </c>
      <c r="AH116" s="13">
        <v>30</v>
      </c>
      <c r="AI116" s="13">
        <v>30</v>
      </c>
      <c r="AJ116" s="13">
        <v>30</v>
      </c>
      <c r="AK116" s="13">
        <v>10</v>
      </c>
      <c r="AL116" s="8">
        <f t="shared" si="0"/>
        <v>100</v>
      </c>
      <c r="AM116" s="13">
        <v>30</v>
      </c>
      <c r="AN116" s="13">
        <v>30</v>
      </c>
      <c r="AO116" s="13">
        <v>30</v>
      </c>
      <c r="AP116" s="13">
        <v>10</v>
      </c>
      <c r="AQ116" s="8">
        <f t="shared" si="1"/>
        <v>100</v>
      </c>
      <c r="AR116" s="13">
        <v>30</v>
      </c>
      <c r="AS116" s="13">
        <v>10</v>
      </c>
      <c r="AT116" s="13">
        <v>30</v>
      </c>
      <c r="AU116" s="13">
        <v>30</v>
      </c>
      <c r="AV116" s="8">
        <f t="shared" si="2"/>
        <v>100</v>
      </c>
      <c r="AW116" s="13">
        <v>20</v>
      </c>
      <c r="AX116" s="13">
        <v>20</v>
      </c>
      <c r="AY116" s="13">
        <v>30</v>
      </c>
      <c r="AZ116" s="13">
        <v>30</v>
      </c>
      <c r="BA116" s="8">
        <f t="shared" si="3"/>
        <v>100</v>
      </c>
      <c r="BB116" s="13">
        <v>20</v>
      </c>
      <c r="BC116" s="13">
        <v>20</v>
      </c>
      <c r="BD116" s="13">
        <v>20</v>
      </c>
      <c r="BE116" s="13">
        <v>40</v>
      </c>
      <c r="BF116" s="8">
        <f t="shared" si="4"/>
        <v>100</v>
      </c>
      <c r="BG116" s="13">
        <v>25</v>
      </c>
      <c r="BH116" s="13">
        <v>25</v>
      </c>
      <c r="BI116" s="13">
        <v>25</v>
      </c>
      <c r="BJ116" s="13">
        <v>25</v>
      </c>
      <c r="BK116" s="8">
        <f t="shared" si="5"/>
        <v>100</v>
      </c>
      <c r="BL116" s="13">
        <v>10</v>
      </c>
      <c r="BM116" s="13">
        <v>30</v>
      </c>
      <c r="BN116" s="13">
        <v>30</v>
      </c>
      <c r="BO116" s="13">
        <v>30</v>
      </c>
      <c r="BP116" s="8">
        <f t="shared" si="6"/>
        <v>100</v>
      </c>
      <c r="BQ116" s="13">
        <v>25</v>
      </c>
      <c r="BR116" s="13">
        <v>25</v>
      </c>
      <c r="BS116" s="13">
        <v>25</v>
      </c>
      <c r="BT116" s="13">
        <v>25</v>
      </c>
      <c r="BU116" s="8">
        <f t="shared" si="7"/>
        <v>100</v>
      </c>
      <c r="BV116" s="13">
        <v>25</v>
      </c>
      <c r="BW116" s="13">
        <v>25</v>
      </c>
      <c r="BX116" s="13">
        <v>25</v>
      </c>
      <c r="BY116" s="13">
        <v>25</v>
      </c>
      <c r="BZ116" s="8">
        <f t="shared" si="8"/>
        <v>100</v>
      </c>
      <c r="CA116" s="13">
        <v>25</v>
      </c>
      <c r="CB116" s="13">
        <v>25</v>
      </c>
      <c r="CC116" s="13">
        <v>25</v>
      </c>
      <c r="CD116" s="13">
        <v>25</v>
      </c>
      <c r="CE116" s="8">
        <f t="shared" si="9"/>
        <v>100</v>
      </c>
      <c r="CF116" s="13">
        <v>20</v>
      </c>
      <c r="CG116" s="13">
        <v>20</v>
      </c>
      <c r="CH116" s="13">
        <v>40</v>
      </c>
      <c r="CI116" s="13">
        <v>20</v>
      </c>
      <c r="CJ116" s="8">
        <f t="shared" si="10"/>
        <v>100</v>
      </c>
      <c r="CK116" s="27"/>
      <c r="CL116" s="18"/>
      <c r="CM116" s="18"/>
      <c r="CN116" s="18">
        <v>4.04</v>
      </c>
      <c r="CO116" s="39" t="s">
        <v>98</v>
      </c>
      <c r="CP116">
        <f>Form_Responses1[[#This Row],[Column89]]</f>
        <v>0</v>
      </c>
      <c r="CQ116" s="18">
        <v>4.04</v>
      </c>
      <c r="CR116">
        <v>4.04</v>
      </c>
    </row>
    <row r="117" spans="1:96" ht="15">
      <c r="A117" s="6">
        <v>45622.30026340278</v>
      </c>
      <c r="B117" s="7">
        <v>0</v>
      </c>
      <c r="C117" s="7" t="s">
        <v>239</v>
      </c>
      <c r="D117" s="7" t="s">
        <v>93</v>
      </c>
      <c r="E117" s="7" t="s">
        <v>112</v>
      </c>
      <c r="F117" s="7" t="s">
        <v>101</v>
      </c>
      <c r="G117" s="7" t="s">
        <v>123</v>
      </c>
      <c r="H117" s="7" t="s">
        <v>102</v>
      </c>
      <c r="I117" s="7">
        <v>4</v>
      </c>
      <c r="J117" s="7">
        <v>4</v>
      </c>
      <c r="K117" s="7">
        <v>4</v>
      </c>
      <c r="L117" s="7">
        <v>4</v>
      </c>
      <c r="M117" s="7">
        <v>4</v>
      </c>
      <c r="N117" s="7">
        <v>4</v>
      </c>
      <c r="O117" s="7">
        <v>4</v>
      </c>
      <c r="P117" s="7">
        <v>4</v>
      </c>
      <c r="Q117" s="7">
        <v>4</v>
      </c>
      <c r="R117" s="7">
        <v>4</v>
      </c>
      <c r="S117" s="7">
        <v>4</v>
      </c>
      <c r="T117" s="7">
        <v>4</v>
      </c>
      <c r="U117" s="7">
        <v>4</v>
      </c>
      <c r="V117" s="7">
        <v>4</v>
      </c>
      <c r="W117" s="7">
        <v>4</v>
      </c>
      <c r="X117" s="7">
        <v>4</v>
      </c>
      <c r="Y117" s="7">
        <v>4</v>
      </c>
      <c r="Z117" s="7">
        <v>4</v>
      </c>
      <c r="AA117" s="7">
        <v>4</v>
      </c>
      <c r="AB117" s="7">
        <v>4</v>
      </c>
      <c r="AC117" s="7">
        <v>10</v>
      </c>
      <c r="AD117" s="7">
        <v>10</v>
      </c>
      <c r="AE117" s="7">
        <v>40</v>
      </c>
      <c r="AF117" s="7">
        <v>40</v>
      </c>
      <c r="AG117" s="8">
        <f t="shared" si="11"/>
        <v>100</v>
      </c>
      <c r="AH117" s="7">
        <v>20</v>
      </c>
      <c r="AI117" s="7">
        <v>20</v>
      </c>
      <c r="AJ117" s="7">
        <v>30</v>
      </c>
      <c r="AK117" s="7">
        <v>30</v>
      </c>
      <c r="AL117" s="8">
        <f t="shared" si="0"/>
        <v>100</v>
      </c>
      <c r="AM117" s="7">
        <v>20</v>
      </c>
      <c r="AN117" s="7">
        <v>20</v>
      </c>
      <c r="AO117" s="7">
        <v>30</v>
      </c>
      <c r="AP117" s="7">
        <v>30</v>
      </c>
      <c r="AQ117" s="8">
        <f t="shared" si="1"/>
        <v>100</v>
      </c>
      <c r="AR117" s="7">
        <v>50</v>
      </c>
      <c r="AS117" s="7">
        <v>10</v>
      </c>
      <c r="AT117" s="7">
        <v>10</v>
      </c>
      <c r="AU117" s="7">
        <v>30</v>
      </c>
      <c r="AV117" s="8">
        <f t="shared" si="2"/>
        <v>100</v>
      </c>
      <c r="AW117" s="7">
        <v>30</v>
      </c>
      <c r="AX117" s="7">
        <v>10</v>
      </c>
      <c r="AY117" s="7">
        <v>50</v>
      </c>
      <c r="AZ117" s="7">
        <v>10</v>
      </c>
      <c r="BA117" s="8">
        <f t="shared" si="3"/>
        <v>100</v>
      </c>
      <c r="BB117" s="7">
        <v>50</v>
      </c>
      <c r="BC117" s="7">
        <v>10</v>
      </c>
      <c r="BD117" s="7">
        <v>20</v>
      </c>
      <c r="BE117" s="7">
        <v>20</v>
      </c>
      <c r="BF117" s="8">
        <f t="shared" si="4"/>
        <v>100</v>
      </c>
      <c r="BG117" s="7">
        <v>30</v>
      </c>
      <c r="BH117" s="7">
        <v>30</v>
      </c>
      <c r="BI117" s="7">
        <v>30</v>
      </c>
      <c r="BJ117" s="7">
        <v>10</v>
      </c>
      <c r="BK117" s="8">
        <f t="shared" si="5"/>
        <v>100</v>
      </c>
      <c r="BL117" s="7">
        <v>30</v>
      </c>
      <c r="BM117" s="7">
        <v>30</v>
      </c>
      <c r="BN117" s="7">
        <v>20</v>
      </c>
      <c r="BO117" s="7">
        <v>20</v>
      </c>
      <c r="BP117" s="8">
        <f t="shared" si="6"/>
        <v>100</v>
      </c>
      <c r="BQ117" s="7">
        <v>30</v>
      </c>
      <c r="BR117" s="7">
        <v>30</v>
      </c>
      <c r="BS117" s="7">
        <v>30</v>
      </c>
      <c r="BT117" s="7">
        <v>10</v>
      </c>
      <c r="BU117" s="8">
        <f t="shared" si="7"/>
        <v>100</v>
      </c>
      <c r="BV117" s="7">
        <v>30</v>
      </c>
      <c r="BW117" s="7">
        <v>30</v>
      </c>
      <c r="BX117" s="7">
        <v>30</v>
      </c>
      <c r="BY117" s="7">
        <v>10</v>
      </c>
      <c r="BZ117" s="8">
        <f t="shared" si="8"/>
        <v>100</v>
      </c>
      <c r="CA117" s="7">
        <v>30</v>
      </c>
      <c r="CB117" s="7">
        <v>30</v>
      </c>
      <c r="CC117" s="7">
        <v>30</v>
      </c>
      <c r="CD117" s="7">
        <v>10</v>
      </c>
      <c r="CE117" s="8">
        <f t="shared" si="9"/>
        <v>100</v>
      </c>
      <c r="CF117" s="7">
        <v>30</v>
      </c>
      <c r="CG117" s="7">
        <v>30</v>
      </c>
      <c r="CH117" s="7">
        <v>30</v>
      </c>
      <c r="CI117" s="7">
        <v>10</v>
      </c>
      <c r="CJ117" s="8">
        <f t="shared" si="10"/>
        <v>100</v>
      </c>
      <c r="CK117" s="16">
        <v>4.37</v>
      </c>
      <c r="CL117" s="10" t="s">
        <v>98</v>
      </c>
      <c r="CM117" s="16">
        <v>4.62</v>
      </c>
      <c r="CN117" s="10" t="s">
        <v>98</v>
      </c>
      <c r="CO117" s="26"/>
      <c r="CP117">
        <f>Form_Responses1[[#This Row],[Column89]]</f>
        <v>4.37</v>
      </c>
      <c r="CQ117">
        <f>IF(Form_Responses1[[#This Row],[Column94]]&gt;0,Form_Responses1[[#This Row],[Column94]],Form_Responses1[[#This Row],[Column91]])</f>
        <v>4.37</v>
      </c>
      <c r="CR117">
        <v>4.37</v>
      </c>
    </row>
    <row r="118" spans="1:96" ht="15">
      <c r="A118" s="12">
        <v>45622.345774155096</v>
      </c>
      <c r="B118" s="13">
        <v>0</v>
      </c>
      <c r="C118" s="13" t="s">
        <v>240</v>
      </c>
      <c r="D118" s="13" t="s">
        <v>93</v>
      </c>
      <c r="E118" s="13" t="s">
        <v>112</v>
      </c>
      <c r="F118" s="13" t="s">
        <v>95</v>
      </c>
      <c r="G118" s="13" t="s">
        <v>123</v>
      </c>
      <c r="H118" s="13" t="s">
        <v>102</v>
      </c>
      <c r="I118" s="13">
        <v>5</v>
      </c>
      <c r="J118" s="13">
        <v>4</v>
      </c>
      <c r="K118" s="13">
        <v>4</v>
      </c>
      <c r="L118" s="13">
        <v>4</v>
      </c>
      <c r="M118" s="13">
        <v>4</v>
      </c>
      <c r="N118" s="13">
        <v>4</v>
      </c>
      <c r="O118" s="13">
        <v>4</v>
      </c>
      <c r="P118" s="13">
        <v>5</v>
      </c>
      <c r="Q118" s="13">
        <v>4</v>
      </c>
      <c r="R118" s="13">
        <v>4</v>
      </c>
      <c r="S118" s="13">
        <v>5</v>
      </c>
      <c r="T118" s="13">
        <v>5</v>
      </c>
      <c r="U118" s="13">
        <v>5</v>
      </c>
      <c r="V118" s="13">
        <v>4</v>
      </c>
      <c r="W118" s="13">
        <v>4</v>
      </c>
      <c r="X118" s="13">
        <v>4</v>
      </c>
      <c r="Y118" s="13">
        <v>5</v>
      </c>
      <c r="Z118" s="13">
        <v>5</v>
      </c>
      <c r="AA118" s="13">
        <v>4</v>
      </c>
      <c r="AB118" s="13">
        <v>5</v>
      </c>
      <c r="AC118" s="13">
        <v>30</v>
      </c>
      <c r="AD118" s="13">
        <v>30</v>
      </c>
      <c r="AE118" s="13">
        <v>20</v>
      </c>
      <c r="AF118" s="13">
        <v>20</v>
      </c>
      <c r="AG118" s="8">
        <f t="shared" si="11"/>
        <v>100</v>
      </c>
      <c r="AH118" s="13">
        <v>30</v>
      </c>
      <c r="AI118" s="13">
        <v>20</v>
      </c>
      <c r="AJ118" s="13">
        <v>30</v>
      </c>
      <c r="AK118" s="13">
        <v>20</v>
      </c>
      <c r="AL118" s="8">
        <f t="shared" si="0"/>
        <v>100</v>
      </c>
      <c r="AM118" s="13">
        <v>30</v>
      </c>
      <c r="AN118" s="13">
        <v>20</v>
      </c>
      <c r="AO118" s="13">
        <v>30</v>
      </c>
      <c r="AP118" s="13">
        <v>20</v>
      </c>
      <c r="AQ118" s="8">
        <f t="shared" si="1"/>
        <v>100</v>
      </c>
      <c r="AR118" s="13">
        <v>20</v>
      </c>
      <c r="AS118" s="13">
        <v>20</v>
      </c>
      <c r="AT118" s="13">
        <v>30</v>
      </c>
      <c r="AU118" s="13">
        <v>30</v>
      </c>
      <c r="AV118" s="8">
        <f t="shared" si="2"/>
        <v>100</v>
      </c>
      <c r="AW118" s="13">
        <v>10</v>
      </c>
      <c r="AX118" s="13">
        <v>20</v>
      </c>
      <c r="AY118" s="13">
        <v>30</v>
      </c>
      <c r="AZ118" s="13">
        <v>40</v>
      </c>
      <c r="BA118" s="8">
        <f t="shared" si="3"/>
        <v>100</v>
      </c>
      <c r="BB118" s="13">
        <v>30</v>
      </c>
      <c r="BC118" s="13">
        <v>20</v>
      </c>
      <c r="BD118" s="13">
        <v>30</v>
      </c>
      <c r="BE118" s="13">
        <v>20</v>
      </c>
      <c r="BF118" s="8">
        <f t="shared" si="4"/>
        <v>100</v>
      </c>
      <c r="BG118" s="13">
        <v>30</v>
      </c>
      <c r="BH118" s="13">
        <v>30</v>
      </c>
      <c r="BI118" s="13">
        <v>20</v>
      </c>
      <c r="BJ118" s="13">
        <v>20</v>
      </c>
      <c r="BK118" s="8">
        <f t="shared" si="5"/>
        <v>100</v>
      </c>
      <c r="BL118" s="13">
        <v>20</v>
      </c>
      <c r="BM118" s="13">
        <v>20</v>
      </c>
      <c r="BN118" s="13">
        <v>30</v>
      </c>
      <c r="BO118" s="13">
        <v>30</v>
      </c>
      <c r="BP118" s="8">
        <f t="shared" si="6"/>
        <v>100</v>
      </c>
      <c r="BQ118" s="13">
        <v>40</v>
      </c>
      <c r="BR118" s="13">
        <v>40</v>
      </c>
      <c r="BS118" s="13">
        <v>10</v>
      </c>
      <c r="BT118" s="13">
        <v>10</v>
      </c>
      <c r="BU118" s="8">
        <f t="shared" si="7"/>
        <v>100</v>
      </c>
      <c r="BV118" s="13">
        <v>10</v>
      </c>
      <c r="BW118" s="13">
        <v>10</v>
      </c>
      <c r="BX118" s="13">
        <v>40</v>
      </c>
      <c r="BY118" s="13">
        <v>40</v>
      </c>
      <c r="BZ118" s="8">
        <f t="shared" si="8"/>
        <v>100</v>
      </c>
      <c r="CA118" s="13">
        <v>20</v>
      </c>
      <c r="CB118" s="13">
        <v>20</v>
      </c>
      <c r="CC118" s="13">
        <v>50</v>
      </c>
      <c r="CD118" s="13">
        <v>10</v>
      </c>
      <c r="CE118" s="8">
        <f t="shared" si="9"/>
        <v>100</v>
      </c>
      <c r="CF118" s="13">
        <v>10</v>
      </c>
      <c r="CG118" s="13">
        <v>10</v>
      </c>
      <c r="CH118" s="13">
        <v>40</v>
      </c>
      <c r="CI118" s="13">
        <v>40</v>
      </c>
      <c r="CJ118" s="8">
        <f t="shared" si="10"/>
        <v>100</v>
      </c>
      <c r="CK118" s="14">
        <v>4.9000000000000004</v>
      </c>
      <c r="CL118" s="19" t="s">
        <v>98</v>
      </c>
      <c r="CM118" s="23"/>
      <c r="CN118" s="23"/>
      <c r="CO118" s="24"/>
      <c r="CP118">
        <f>Form_Responses1[[#This Row],[Column89]]</f>
        <v>4.9000000000000004</v>
      </c>
      <c r="CQ118">
        <f>IF(Form_Responses1[[#This Row],[Column94]]&gt;0,Form_Responses1[[#This Row],[Column94]],Form_Responses1[[#This Row],[Column91]])</f>
        <v>4.9000000000000004</v>
      </c>
      <c r="CR118">
        <v>4.9000000000000004</v>
      </c>
    </row>
    <row r="119" spans="1:96" ht="15">
      <c r="A119" s="40" t="s">
        <v>241</v>
      </c>
      <c r="B119" s="7"/>
      <c r="C119" s="7" t="s">
        <v>242</v>
      </c>
      <c r="D119" s="7" t="s">
        <v>93</v>
      </c>
      <c r="E119" s="7" t="s">
        <v>112</v>
      </c>
      <c r="F119" s="7" t="s">
        <v>95</v>
      </c>
      <c r="G119" s="41" t="s">
        <v>123</v>
      </c>
      <c r="H119" s="7" t="s">
        <v>102</v>
      </c>
      <c r="I119" s="7">
        <v>4</v>
      </c>
      <c r="J119" s="7">
        <v>4</v>
      </c>
      <c r="K119" s="7">
        <v>4</v>
      </c>
      <c r="L119" s="7">
        <v>4</v>
      </c>
      <c r="M119" s="7">
        <v>4</v>
      </c>
      <c r="N119" s="7">
        <v>4</v>
      </c>
      <c r="O119" s="7">
        <v>4</v>
      </c>
      <c r="P119" s="7">
        <v>4</v>
      </c>
      <c r="Q119" s="7">
        <v>4</v>
      </c>
      <c r="R119" s="7">
        <v>4</v>
      </c>
      <c r="S119" s="7">
        <v>4</v>
      </c>
      <c r="T119" s="7">
        <v>4</v>
      </c>
      <c r="U119" s="7">
        <v>4</v>
      </c>
      <c r="V119" s="7">
        <v>4</v>
      </c>
      <c r="W119" s="7">
        <v>4</v>
      </c>
      <c r="X119" s="7">
        <v>4</v>
      </c>
      <c r="Y119" s="7">
        <v>4</v>
      </c>
      <c r="Z119" s="7">
        <v>4</v>
      </c>
      <c r="AA119" s="7">
        <v>4</v>
      </c>
      <c r="AB119" s="7">
        <v>4</v>
      </c>
      <c r="AC119" s="7">
        <v>60</v>
      </c>
      <c r="AD119" s="7">
        <v>10</v>
      </c>
      <c r="AE119" s="7">
        <v>20</v>
      </c>
      <c r="AF119" s="7">
        <v>10</v>
      </c>
      <c r="AG119" s="8">
        <f t="shared" si="11"/>
        <v>100</v>
      </c>
      <c r="AH119" s="7">
        <v>60</v>
      </c>
      <c r="AI119" s="7">
        <v>10</v>
      </c>
      <c r="AJ119" s="7">
        <v>20</v>
      </c>
      <c r="AK119" s="7">
        <v>10</v>
      </c>
      <c r="AL119" s="8">
        <f t="shared" si="0"/>
        <v>100</v>
      </c>
      <c r="AM119" s="7">
        <v>70</v>
      </c>
      <c r="AN119" s="7">
        <v>10</v>
      </c>
      <c r="AO119" s="7">
        <v>10</v>
      </c>
      <c r="AP119" s="7">
        <v>10</v>
      </c>
      <c r="AQ119" s="8">
        <f t="shared" si="1"/>
        <v>100</v>
      </c>
      <c r="AR119" s="7">
        <v>70</v>
      </c>
      <c r="AS119" s="7">
        <v>10</v>
      </c>
      <c r="AT119" s="7">
        <v>10</v>
      </c>
      <c r="AU119" s="7">
        <v>10</v>
      </c>
      <c r="AV119" s="8">
        <f t="shared" si="2"/>
        <v>100</v>
      </c>
      <c r="AW119" s="7">
        <v>40</v>
      </c>
      <c r="AX119" s="7">
        <v>20</v>
      </c>
      <c r="AY119" s="7">
        <v>10</v>
      </c>
      <c r="AZ119" s="7">
        <v>30</v>
      </c>
      <c r="BA119" s="8">
        <f t="shared" si="3"/>
        <v>100</v>
      </c>
      <c r="BB119" s="7">
        <v>40</v>
      </c>
      <c r="BC119" s="7">
        <v>20</v>
      </c>
      <c r="BD119" s="7">
        <v>10</v>
      </c>
      <c r="BE119" s="7">
        <v>30</v>
      </c>
      <c r="BF119" s="8">
        <f t="shared" si="4"/>
        <v>100</v>
      </c>
      <c r="BG119" s="7">
        <v>10</v>
      </c>
      <c r="BH119" s="7">
        <v>70</v>
      </c>
      <c r="BI119" s="7">
        <v>10</v>
      </c>
      <c r="BJ119" s="7">
        <v>10</v>
      </c>
      <c r="BK119" s="8">
        <f t="shared" si="5"/>
        <v>100</v>
      </c>
      <c r="BL119" s="7">
        <v>10</v>
      </c>
      <c r="BM119" s="7">
        <v>70</v>
      </c>
      <c r="BN119" s="7">
        <v>10</v>
      </c>
      <c r="BO119" s="7">
        <v>10</v>
      </c>
      <c r="BP119" s="8">
        <f t="shared" si="6"/>
        <v>100</v>
      </c>
      <c r="BQ119" s="7">
        <v>40</v>
      </c>
      <c r="BR119" s="7">
        <v>30</v>
      </c>
      <c r="BS119" s="7">
        <v>10</v>
      </c>
      <c r="BT119" s="7">
        <v>20</v>
      </c>
      <c r="BU119" s="8">
        <f t="shared" si="7"/>
        <v>100</v>
      </c>
      <c r="BV119" s="7">
        <v>40</v>
      </c>
      <c r="BW119" s="7">
        <v>30</v>
      </c>
      <c r="BX119" s="7">
        <v>10</v>
      </c>
      <c r="BY119" s="7">
        <v>20</v>
      </c>
      <c r="BZ119" s="8">
        <f t="shared" si="8"/>
        <v>100</v>
      </c>
      <c r="CA119" s="7">
        <v>60</v>
      </c>
      <c r="CB119" s="7">
        <v>20</v>
      </c>
      <c r="CC119" s="7">
        <v>10</v>
      </c>
      <c r="CD119" s="7">
        <v>10</v>
      </c>
      <c r="CE119" s="8">
        <f t="shared" si="9"/>
        <v>100</v>
      </c>
      <c r="CF119" s="7">
        <v>70</v>
      </c>
      <c r="CG119" s="7">
        <v>10</v>
      </c>
      <c r="CH119" s="7">
        <v>10</v>
      </c>
      <c r="CI119" s="7">
        <v>10</v>
      </c>
      <c r="CJ119" s="8">
        <f t="shared" si="10"/>
        <v>100</v>
      </c>
      <c r="CK119" s="16">
        <v>4.29</v>
      </c>
      <c r="CL119" s="10" t="s">
        <v>98</v>
      </c>
      <c r="CM119" s="16">
        <v>4.54</v>
      </c>
      <c r="CN119" s="10" t="s">
        <v>98</v>
      </c>
      <c r="CO119" s="26"/>
      <c r="CP119">
        <f>Form_Responses1[[#This Row],[Column89]]</f>
        <v>4.29</v>
      </c>
      <c r="CQ119">
        <f>IF(Form_Responses1[[#This Row],[Column94]]&gt;0,Form_Responses1[[#This Row],[Column94]],Form_Responses1[[#This Row],[Column91]])</f>
        <v>4.29</v>
      </c>
      <c r="CR119">
        <v>4.29</v>
      </c>
    </row>
    <row r="120" spans="1:96" ht="15">
      <c r="A120" s="42" t="s">
        <v>241</v>
      </c>
      <c r="B120" s="13"/>
      <c r="C120" s="13" t="s">
        <v>243</v>
      </c>
      <c r="D120" s="13" t="s">
        <v>93</v>
      </c>
      <c r="E120" s="13" t="s">
        <v>100</v>
      </c>
      <c r="F120" s="13" t="s">
        <v>101</v>
      </c>
      <c r="G120" s="41" t="s">
        <v>123</v>
      </c>
      <c r="H120" s="13" t="s">
        <v>102</v>
      </c>
      <c r="I120" s="13">
        <v>4</v>
      </c>
      <c r="J120" s="13">
        <v>4</v>
      </c>
      <c r="K120" s="13">
        <v>4</v>
      </c>
      <c r="L120" s="13">
        <v>4</v>
      </c>
      <c r="M120" s="13">
        <v>4</v>
      </c>
      <c r="N120" s="13">
        <v>4</v>
      </c>
      <c r="O120" s="13">
        <v>4</v>
      </c>
      <c r="P120" s="13">
        <v>4</v>
      </c>
      <c r="Q120" s="13">
        <v>4</v>
      </c>
      <c r="R120" s="13">
        <v>4</v>
      </c>
      <c r="S120" s="13">
        <v>4</v>
      </c>
      <c r="T120" s="13">
        <v>4</v>
      </c>
      <c r="U120" s="13">
        <v>4</v>
      </c>
      <c r="V120" s="13">
        <v>4</v>
      </c>
      <c r="W120" s="13">
        <v>4</v>
      </c>
      <c r="X120" s="13">
        <v>4</v>
      </c>
      <c r="Y120" s="13">
        <v>4</v>
      </c>
      <c r="Z120" s="13">
        <v>4</v>
      </c>
      <c r="AA120" s="13">
        <v>4</v>
      </c>
      <c r="AB120" s="13">
        <v>4</v>
      </c>
      <c r="AC120" s="13">
        <v>70</v>
      </c>
      <c r="AD120" s="13">
        <v>10</v>
      </c>
      <c r="AE120" s="13">
        <v>10</v>
      </c>
      <c r="AF120" s="13">
        <v>10</v>
      </c>
      <c r="AG120" s="8">
        <f t="shared" si="11"/>
        <v>100</v>
      </c>
      <c r="AH120" s="13">
        <v>70</v>
      </c>
      <c r="AI120" s="13">
        <v>10</v>
      </c>
      <c r="AJ120" s="13">
        <v>10</v>
      </c>
      <c r="AK120" s="13">
        <v>10</v>
      </c>
      <c r="AL120" s="8">
        <f t="shared" si="0"/>
        <v>100</v>
      </c>
      <c r="AM120" s="13">
        <v>70</v>
      </c>
      <c r="AN120" s="13">
        <v>10</v>
      </c>
      <c r="AO120" s="13">
        <v>10</v>
      </c>
      <c r="AP120" s="13">
        <v>10</v>
      </c>
      <c r="AQ120" s="8">
        <f t="shared" si="1"/>
        <v>100</v>
      </c>
      <c r="AR120" s="13">
        <v>70</v>
      </c>
      <c r="AS120" s="13">
        <v>10</v>
      </c>
      <c r="AT120" s="13">
        <v>10</v>
      </c>
      <c r="AU120" s="13">
        <v>10</v>
      </c>
      <c r="AV120" s="8">
        <f t="shared" si="2"/>
        <v>100</v>
      </c>
      <c r="AW120" s="13">
        <v>40</v>
      </c>
      <c r="AX120" s="13">
        <v>30</v>
      </c>
      <c r="AY120" s="13">
        <v>20</v>
      </c>
      <c r="AZ120" s="13">
        <v>10</v>
      </c>
      <c r="BA120" s="8">
        <f t="shared" si="3"/>
        <v>100</v>
      </c>
      <c r="BB120" s="13">
        <v>40</v>
      </c>
      <c r="BC120" s="13">
        <v>20</v>
      </c>
      <c r="BD120" s="13">
        <v>20</v>
      </c>
      <c r="BE120" s="13">
        <v>20</v>
      </c>
      <c r="BF120" s="8">
        <f t="shared" si="4"/>
        <v>100</v>
      </c>
      <c r="BG120" s="13">
        <v>50</v>
      </c>
      <c r="BH120" s="13">
        <v>10</v>
      </c>
      <c r="BI120" s="13">
        <v>10</v>
      </c>
      <c r="BJ120" s="13">
        <v>30</v>
      </c>
      <c r="BK120" s="8">
        <f t="shared" si="5"/>
        <v>100</v>
      </c>
      <c r="BL120" s="13">
        <v>50</v>
      </c>
      <c r="BM120" s="13">
        <v>10</v>
      </c>
      <c r="BN120" s="13">
        <v>10</v>
      </c>
      <c r="BO120" s="13">
        <v>30</v>
      </c>
      <c r="BP120" s="8">
        <f t="shared" si="6"/>
        <v>100</v>
      </c>
      <c r="BQ120" s="13">
        <v>40</v>
      </c>
      <c r="BR120" s="13">
        <v>20</v>
      </c>
      <c r="BS120" s="13">
        <v>20</v>
      </c>
      <c r="BT120" s="13">
        <v>20</v>
      </c>
      <c r="BU120" s="8">
        <f t="shared" si="7"/>
        <v>100</v>
      </c>
      <c r="BV120" s="13">
        <v>30</v>
      </c>
      <c r="BW120" s="13">
        <v>10</v>
      </c>
      <c r="BX120" s="13">
        <v>50</v>
      </c>
      <c r="BY120" s="13">
        <v>10</v>
      </c>
      <c r="BZ120" s="8">
        <f t="shared" si="8"/>
        <v>100</v>
      </c>
      <c r="CA120" s="13">
        <v>50</v>
      </c>
      <c r="CB120" s="13">
        <v>10</v>
      </c>
      <c r="CC120" s="13">
        <v>20</v>
      </c>
      <c r="CD120" s="13">
        <v>20</v>
      </c>
      <c r="CE120" s="8">
        <f t="shared" si="9"/>
        <v>100</v>
      </c>
      <c r="CF120" s="13">
        <v>50</v>
      </c>
      <c r="CG120" s="13">
        <v>10</v>
      </c>
      <c r="CH120" s="13">
        <v>20</v>
      </c>
      <c r="CI120" s="13">
        <v>20</v>
      </c>
      <c r="CJ120" s="8">
        <f t="shared" si="10"/>
        <v>100</v>
      </c>
      <c r="CK120" s="18">
        <v>4.4000000000000004</v>
      </c>
      <c r="CL120" s="19" t="s">
        <v>98</v>
      </c>
      <c r="CM120" s="23"/>
      <c r="CN120" s="23"/>
      <c r="CO120" s="24"/>
      <c r="CP120">
        <f>Form_Responses1[[#This Row],[Column89]]</f>
        <v>4.4000000000000004</v>
      </c>
      <c r="CQ120">
        <f>IF(Form_Responses1[[#This Row],[Column94]]&gt;0,Form_Responses1[[#This Row],[Column94]],Form_Responses1[[#This Row],[Column91]])</f>
        <v>4.4000000000000004</v>
      </c>
      <c r="CR120">
        <v>4.4000000000000004</v>
      </c>
    </row>
    <row r="121" spans="1:96" ht="15">
      <c r="A121" s="40" t="s">
        <v>241</v>
      </c>
      <c r="B121" s="7"/>
      <c r="C121" s="7" t="s">
        <v>244</v>
      </c>
      <c r="D121" s="7" t="s">
        <v>107</v>
      </c>
      <c r="E121" s="7" t="s">
        <v>112</v>
      </c>
      <c r="F121" s="7" t="s">
        <v>101</v>
      </c>
      <c r="G121" s="41" t="s">
        <v>96</v>
      </c>
      <c r="H121" s="7" t="s">
        <v>102</v>
      </c>
      <c r="I121" s="7">
        <v>4</v>
      </c>
      <c r="J121" s="7">
        <v>4</v>
      </c>
      <c r="K121" s="7">
        <v>4</v>
      </c>
      <c r="L121" s="7">
        <v>4</v>
      </c>
      <c r="M121" s="7">
        <v>4</v>
      </c>
      <c r="N121" s="7">
        <v>4</v>
      </c>
      <c r="O121" s="7">
        <v>4</v>
      </c>
      <c r="P121" s="7">
        <v>4</v>
      </c>
      <c r="Q121" s="7">
        <v>4</v>
      </c>
      <c r="R121" s="7">
        <v>4</v>
      </c>
      <c r="S121" s="7">
        <v>4</v>
      </c>
      <c r="T121" s="7">
        <v>4</v>
      </c>
      <c r="U121" s="7">
        <v>4</v>
      </c>
      <c r="V121" s="7">
        <v>4</v>
      </c>
      <c r="W121" s="7">
        <v>4</v>
      </c>
      <c r="X121" s="7">
        <v>4</v>
      </c>
      <c r="Y121" s="7">
        <v>3</v>
      </c>
      <c r="Z121" s="7">
        <v>4</v>
      </c>
      <c r="AA121" s="7">
        <v>4</v>
      </c>
      <c r="AB121" s="7">
        <v>4</v>
      </c>
      <c r="AC121" s="7">
        <v>50</v>
      </c>
      <c r="AD121" s="7">
        <v>10</v>
      </c>
      <c r="AE121" s="7">
        <v>10</v>
      </c>
      <c r="AF121" s="7">
        <v>30</v>
      </c>
      <c r="AG121" s="8">
        <f t="shared" si="11"/>
        <v>100</v>
      </c>
      <c r="AH121" s="7">
        <v>10</v>
      </c>
      <c r="AI121" s="7">
        <v>10</v>
      </c>
      <c r="AJ121" s="7">
        <v>40</v>
      </c>
      <c r="AK121" s="7">
        <v>40</v>
      </c>
      <c r="AL121" s="8">
        <f t="shared" si="0"/>
        <v>100</v>
      </c>
      <c r="AM121" s="7">
        <v>30</v>
      </c>
      <c r="AN121" s="7">
        <v>30</v>
      </c>
      <c r="AO121" s="7">
        <v>20</v>
      </c>
      <c r="AP121" s="7">
        <v>20</v>
      </c>
      <c r="AQ121" s="8">
        <f t="shared" si="1"/>
        <v>100</v>
      </c>
      <c r="AR121" s="7">
        <v>20</v>
      </c>
      <c r="AS121" s="7">
        <v>20</v>
      </c>
      <c r="AT121" s="7">
        <v>30</v>
      </c>
      <c r="AU121" s="7">
        <v>30</v>
      </c>
      <c r="AV121" s="8">
        <f t="shared" si="2"/>
        <v>100</v>
      </c>
      <c r="AW121" s="7">
        <v>20</v>
      </c>
      <c r="AX121" s="7">
        <v>20</v>
      </c>
      <c r="AY121" s="7">
        <v>30</v>
      </c>
      <c r="AZ121" s="7">
        <v>30</v>
      </c>
      <c r="BA121" s="8">
        <f t="shared" si="3"/>
        <v>100</v>
      </c>
      <c r="BB121" s="7">
        <v>20</v>
      </c>
      <c r="BC121" s="7">
        <v>20</v>
      </c>
      <c r="BD121" s="7">
        <v>20</v>
      </c>
      <c r="BE121" s="7">
        <v>40</v>
      </c>
      <c r="BF121" s="8">
        <f t="shared" si="4"/>
        <v>100</v>
      </c>
      <c r="BG121" s="7">
        <v>50</v>
      </c>
      <c r="BH121" s="7">
        <v>10</v>
      </c>
      <c r="BI121" s="7">
        <v>10</v>
      </c>
      <c r="BJ121" s="7">
        <v>30</v>
      </c>
      <c r="BK121" s="8">
        <f t="shared" si="5"/>
        <v>100</v>
      </c>
      <c r="BL121" s="7">
        <v>50</v>
      </c>
      <c r="BM121" s="7">
        <v>10</v>
      </c>
      <c r="BN121" s="7">
        <v>10</v>
      </c>
      <c r="BO121" s="7">
        <v>30</v>
      </c>
      <c r="BP121" s="8">
        <f t="shared" si="6"/>
        <v>100</v>
      </c>
      <c r="BQ121" s="7">
        <v>30</v>
      </c>
      <c r="BR121" s="7">
        <v>10</v>
      </c>
      <c r="BS121" s="7">
        <v>50</v>
      </c>
      <c r="BT121" s="7">
        <v>10</v>
      </c>
      <c r="BU121" s="8">
        <f t="shared" si="7"/>
        <v>100</v>
      </c>
      <c r="BV121" s="7">
        <v>40</v>
      </c>
      <c r="BW121" s="7">
        <v>20</v>
      </c>
      <c r="BX121" s="7">
        <v>20</v>
      </c>
      <c r="BY121" s="7">
        <v>20</v>
      </c>
      <c r="BZ121" s="8">
        <f t="shared" si="8"/>
        <v>100</v>
      </c>
      <c r="CA121" s="7">
        <v>50</v>
      </c>
      <c r="CB121" s="7">
        <v>10</v>
      </c>
      <c r="CC121" s="7">
        <v>20</v>
      </c>
      <c r="CD121" s="7">
        <v>20</v>
      </c>
      <c r="CE121" s="8">
        <f t="shared" si="9"/>
        <v>100</v>
      </c>
      <c r="CF121" s="7">
        <v>50</v>
      </c>
      <c r="CG121" s="7">
        <v>10</v>
      </c>
      <c r="CH121" s="7">
        <v>20</v>
      </c>
      <c r="CI121" s="7">
        <v>20</v>
      </c>
      <c r="CJ121" s="8">
        <f t="shared" si="10"/>
        <v>100</v>
      </c>
      <c r="CK121" s="16">
        <v>4.5599999999999996</v>
      </c>
      <c r="CL121" s="10" t="s">
        <v>98</v>
      </c>
      <c r="CM121" s="25"/>
      <c r="CN121" s="25"/>
      <c r="CO121" s="26"/>
      <c r="CP121">
        <f>Form_Responses1[[#This Row],[Column89]]</f>
        <v>4.5599999999999996</v>
      </c>
      <c r="CQ121">
        <f>IF(Form_Responses1[[#This Row],[Column94]]&gt;0,Form_Responses1[[#This Row],[Column94]],Form_Responses1[[#This Row],[Column91]])</f>
        <v>4.5599999999999996</v>
      </c>
      <c r="CR121">
        <v>4.5599999999999996</v>
      </c>
    </row>
    <row r="122" spans="1:96" ht="15">
      <c r="A122" s="42" t="s">
        <v>241</v>
      </c>
      <c r="B122" s="13"/>
      <c r="C122" s="13" t="s">
        <v>245</v>
      </c>
      <c r="D122" s="41" t="s">
        <v>93</v>
      </c>
      <c r="E122" s="13" t="s">
        <v>112</v>
      </c>
      <c r="F122" s="13" t="s">
        <v>95</v>
      </c>
      <c r="G122" s="41" t="s">
        <v>109</v>
      </c>
      <c r="H122" s="13" t="s">
        <v>102</v>
      </c>
      <c r="I122" s="13">
        <v>3</v>
      </c>
      <c r="J122" s="13">
        <v>4</v>
      </c>
      <c r="K122" s="13">
        <v>3</v>
      </c>
      <c r="L122" s="13">
        <v>4</v>
      </c>
      <c r="M122" s="13">
        <v>4</v>
      </c>
      <c r="N122" s="13">
        <v>3</v>
      </c>
      <c r="O122" s="13">
        <v>4</v>
      </c>
      <c r="P122" s="13">
        <v>4</v>
      </c>
      <c r="Q122" s="13">
        <v>3</v>
      </c>
      <c r="R122" s="13">
        <v>4</v>
      </c>
      <c r="S122" s="13">
        <v>3</v>
      </c>
      <c r="T122" s="13">
        <v>3</v>
      </c>
      <c r="U122" s="13">
        <v>4</v>
      </c>
      <c r="V122" s="13">
        <v>4</v>
      </c>
      <c r="W122" s="13">
        <v>4</v>
      </c>
      <c r="X122" s="13">
        <v>3</v>
      </c>
      <c r="Y122" s="13">
        <v>3</v>
      </c>
      <c r="Z122" s="13">
        <v>3</v>
      </c>
      <c r="AA122" s="13">
        <v>3</v>
      </c>
      <c r="AB122" s="13">
        <v>4</v>
      </c>
      <c r="AC122" s="13">
        <v>50</v>
      </c>
      <c r="AD122" s="13">
        <v>10</v>
      </c>
      <c r="AE122" s="13">
        <v>10</v>
      </c>
      <c r="AF122" s="13">
        <v>30</v>
      </c>
      <c r="AG122" s="8">
        <f t="shared" si="11"/>
        <v>100</v>
      </c>
      <c r="AH122" s="13">
        <v>10</v>
      </c>
      <c r="AI122" s="13">
        <v>10</v>
      </c>
      <c r="AJ122" s="13">
        <v>40</v>
      </c>
      <c r="AK122" s="13">
        <v>40</v>
      </c>
      <c r="AL122" s="8">
        <f t="shared" si="0"/>
        <v>100</v>
      </c>
      <c r="AM122" s="13">
        <v>30</v>
      </c>
      <c r="AN122" s="13">
        <v>30</v>
      </c>
      <c r="AO122" s="13">
        <v>20</v>
      </c>
      <c r="AP122" s="13">
        <v>20</v>
      </c>
      <c r="AQ122" s="8">
        <f t="shared" si="1"/>
        <v>100</v>
      </c>
      <c r="AR122" s="13">
        <v>20</v>
      </c>
      <c r="AS122" s="13">
        <v>20</v>
      </c>
      <c r="AT122" s="13">
        <v>30</v>
      </c>
      <c r="AU122" s="13">
        <v>30</v>
      </c>
      <c r="AV122" s="8">
        <f t="shared" si="2"/>
        <v>100</v>
      </c>
      <c r="AW122" s="13">
        <v>20</v>
      </c>
      <c r="AX122" s="13">
        <v>20</v>
      </c>
      <c r="AY122" s="13">
        <v>20</v>
      </c>
      <c r="AZ122" s="13">
        <v>40</v>
      </c>
      <c r="BA122" s="8">
        <f t="shared" si="3"/>
        <v>100</v>
      </c>
      <c r="BB122" s="13">
        <v>20</v>
      </c>
      <c r="BC122" s="13">
        <v>20</v>
      </c>
      <c r="BD122" s="13">
        <v>30</v>
      </c>
      <c r="BE122" s="13">
        <v>30</v>
      </c>
      <c r="BF122" s="8">
        <f t="shared" si="4"/>
        <v>100</v>
      </c>
      <c r="BG122" s="13">
        <v>50</v>
      </c>
      <c r="BH122" s="13">
        <v>10</v>
      </c>
      <c r="BI122" s="13">
        <v>10</v>
      </c>
      <c r="BJ122" s="13">
        <v>30</v>
      </c>
      <c r="BK122" s="8">
        <f t="shared" si="5"/>
        <v>100</v>
      </c>
      <c r="BL122" s="13">
        <v>50</v>
      </c>
      <c r="BM122" s="13">
        <v>10</v>
      </c>
      <c r="BN122" s="13">
        <v>10</v>
      </c>
      <c r="BO122" s="13">
        <v>30</v>
      </c>
      <c r="BP122" s="8">
        <f t="shared" si="6"/>
        <v>100</v>
      </c>
      <c r="BQ122" s="13">
        <v>40</v>
      </c>
      <c r="BR122" s="13">
        <v>20</v>
      </c>
      <c r="BS122" s="13">
        <v>20</v>
      </c>
      <c r="BT122" s="13">
        <v>20</v>
      </c>
      <c r="BU122" s="8">
        <f t="shared" si="7"/>
        <v>100</v>
      </c>
      <c r="BV122" s="13">
        <v>30</v>
      </c>
      <c r="BW122" s="13">
        <v>10</v>
      </c>
      <c r="BX122" s="13">
        <v>50</v>
      </c>
      <c r="BY122" s="13">
        <v>10</v>
      </c>
      <c r="BZ122" s="8">
        <f t="shared" si="8"/>
        <v>100</v>
      </c>
      <c r="CA122" s="13">
        <v>50</v>
      </c>
      <c r="CB122" s="13">
        <v>10</v>
      </c>
      <c r="CC122" s="13">
        <v>20</v>
      </c>
      <c r="CD122" s="13">
        <v>20</v>
      </c>
      <c r="CE122" s="8">
        <f t="shared" si="9"/>
        <v>100</v>
      </c>
      <c r="CF122" s="13">
        <v>50</v>
      </c>
      <c r="CG122" s="13">
        <v>10</v>
      </c>
      <c r="CH122" s="13">
        <v>20</v>
      </c>
      <c r="CI122" s="13">
        <v>20</v>
      </c>
      <c r="CJ122" s="8">
        <f t="shared" si="10"/>
        <v>100</v>
      </c>
      <c r="CK122" s="18">
        <v>4.43</v>
      </c>
      <c r="CL122" s="19" t="s">
        <v>98</v>
      </c>
      <c r="CM122" s="23"/>
      <c r="CN122" s="23"/>
      <c r="CO122" s="24"/>
      <c r="CP122">
        <f>Form_Responses1[[#This Row],[Column89]]</f>
        <v>4.43</v>
      </c>
      <c r="CQ122">
        <f>IF(Form_Responses1[[#This Row],[Column94]]&gt;0,Form_Responses1[[#This Row],[Column94]],Form_Responses1[[#This Row],[Column91]])</f>
        <v>4.43</v>
      </c>
      <c r="CR122">
        <v>4.43</v>
      </c>
    </row>
    <row r="123" spans="1:96" ht="15">
      <c r="A123" s="40" t="s">
        <v>241</v>
      </c>
      <c r="B123" s="7"/>
      <c r="C123" s="7" t="s">
        <v>246</v>
      </c>
      <c r="D123" s="7" t="s">
        <v>93</v>
      </c>
      <c r="E123" s="7" t="s">
        <v>112</v>
      </c>
      <c r="F123" s="7" t="s">
        <v>95</v>
      </c>
      <c r="G123" s="41" t="s">
        <v>123</v>
      </c>
      <c r="H123" s="7" t="s">
        <v>102</v>
      </c>
      <c r="I123" s="7">
        <v>4</v>
      </c>
      <c r="J123" s="7">
        <v>4</v>
      </c>
      <c r="K123" s="7">
        <v>3</v>
      </c>
      <c r="L123" s="7">
        <v>4</v>
      </c>
      <c r="M123" s="7">
        <v>4</v>
      </c>
      <c r="N123" s="7">
        <v>4</v>
      </c>
      <c r="O123" s="7">
        <v>4</v>
      </c>
      <c r="P123" s="7">
        <v>4</v>
      </c>
      <c r="Q123" s="7">
        <v>4</v>
      </c>
      <c r="R123" s="7">
        <v>4</v>
      </c>
      <c r="S123" s="7">
        <v>4</v>
      </c>
      <c r="T123" s="7">
        <v>4</v>
      </c>
      <c r="U123" s="7">
        <v>4</v>
      </c>
      <c r="V123" s="7">
        <v>4</v>
      </c>
      <c r="W123" s="7">
        <v>5</v>
      </c>
      <c r="X123" s="7">
        <v>4</v>
      </c>
      <c r="Y123" s="7">
        <v>4</v>
      </c>
      <c r="Z123" s="7">
        <v>4</v>
      </c>
      <c r="AA123" s="7">
        <v>4</v>
      </c>
      <c r="AB123" s="7">
        <v>3</v>
      </c>
      <c r="AC123" s="7">
        <v>50</v>
      </c>
      <c r="AD123" s="7">
        <v>10</v>
      </c>
      <c r="AE123" s="7">
        <v>10</v>
      </c>
      <c r="AF123" s="7">
        <v>30</v>
      </c>
      <c r="AG123" s="8">
        <f t="shared" si="11"/>
        <v>100</v>
      </c>
      <c r="AH123" s="7">
        <v>10</v>
      </c>
      <c r="AI123" s="7">
        <v>10</v>
      </c>
      <c r="AJ123" s="7">
        <v>40</v>
      </c>
      <c r="AK123" s="7">
        <v>40</v>
      </c>
      <c r="AL123" s="8">
        <f t="shared" si="0"/>
        <v>100</v>
      </c>
      <c r="AM123" s="7">
        <v>30</v>
      </c>
      <c r="AN123" s="7">
        <v>30</v>
      </c>
      <c r="AO123" s="7">
        <v>20</v>
      </c>
      <c r="AP123" s="7">
        <v>20</v>
      </c>
      <c r="AQ123" s="8">
        <f t="shared" si="1"/>
        <v>100</v>
      </c>
      <c r="AR123" s="7">
        <v>20</v>
      </c>
      <c r="AS123" s="7">
        <v>20</v>
      </c>
      <c r="AT123" s="7">
        <v>30</v>
      </c>
      <c r="AU123" s="7">
        <v>30</v>
      </c>
      <c r="AV123" s="8">
        <f t="shared" si="2"/>
        <v>100</v>
      </c>
      <c r="AW123" s="7">
        <v>20</v>
      </c>
      <c r="AX123" s="7">
        <v>20</v>
      </c>
      <c r="AY123" s="7">
        <v>20</v>
      </c>
      <c r="AZ123" s="7">
        <v>40</v>
      </c>
      <c r="BA123" s="8">
        <f t="shared" si="3"/>
        <v>100</v>
      </c>
      <c r="BB123" s="7">
        <v>20</v>
      </c>
      <c r="BC123" s="7">
        <v>20</v>
      </c>
      <c r="BD123" s="7">
        <v>30</v>
      </c>
      <c r="BE123" s="7">
        <v>30</v>
      </c>
      <c r="BF123" s="8">
        <f t="shared" si="4"/>
        <v>100</v>
      </c>
      <c r="BG123" s="7">
        <v>50</v>
      </c>
      <c r="BH123" s="7">
        <v>10</v>
      </c>
      <c r="BI123" s="7">
        <v>10</v>
      </c>
      <c r="BJ123" s="7">
        <v>30</v>
      </c>
      <c r="BK123" s="8">
        <f t="shared" si="5"/>
        <v>100</v>
      </c>
      <c r="BL123" s="7">
        <v>50</v>
      </c>
      <c r="BM123" s="7">
        <v>10</v>
      </c>
      <c r="BN123" s="7">
        <v>10</v>
      </c>
      <c r="BO123" s="7">
        <v>30</v>
      </c>
      <c r="BP123" s="8">
        <f t="shared" si="6"/>
        <v>100</v>
      </c>
      <c r="BQ123" s="7">
        <v>40</v>
      </c>
      <c r="BR123" s="7">
        <v>20</v>
      </c>
      <c r="BS123" s="7">
        <v>20</v>
      </c>
      <c r="BT123" s="7">
        <v>20</v>
      </c>
      <c r="BU123" s="8">
        <f t="shared" si="7"/>
        <v>100</v>
      </c>
      <c r="BV123" s="7">
        <v>30</v>
      </c>
      <c r="BW123" s="7">
        <v>10</v>
      </c>
      <c r="BX123" s="7">
        <v>50</v>
      </c>
      <c r="BY123" s="7">
        <v>10</v>
      </c>
      <c r="BZ123" s="8">
        <f t="shared" si="8"/>
        <v>100</v>
      </c>
      <c r="CA123" s="7">
        <v>50</v>
      </c>
      <c r="CB123" s="7">
        <v>10</v>
      </c>
      <c r="CC123" s="7">
        <v>20</v>
      </c>
      <c r="CD123" s="7">
        <v>20</v>
      </c>
      <c r="CE123" s="8">
        <f t="shared" si="9"/>
        <v>100</v>
      </c>
      <c r="CF123" s="7">
        <v>50</v>
      </c>
      <c r="CG123" s="7">
        <v>10</v>
      </c>
      <c r="CH123" s="7">
        <v>30</v>
      </c>
      <c r="CI123" s="7">
        <v>10</v>
      </c>
      <c r="CJ123" s="8">
        <f t="shared" si="10"/>
        <v>100</v>
      </c>
      <c r="CK123" s="16">
        <v>4.45</v>
      </c>
      <c r="CL123" s="10" t="s">
        <v>98</v>
      </c>
      <c r="CM123" s="25"/>
      <c r="CN123" s="25"/>
      <c r="CO123" s="26"/>
      <c r="CP123">
        <f>Form_Responses1[[#This Row],[Column89]]</f>
        <v>4.45</v>
      </c>
      <c r="CQ123">
        <f>IF(Form_Responses1[[#This Row],[Column94]]&gt;0,Form_Responses1[[#This Row],[Column94]],Form_Responses1[[#This Row],[Column91]])</f>
        <v>4.45</v>
      </c>
      <c r="CR123">
        <v>4.45</v>
      </c>
    </row>
    <row r="124" spans="1:96" ht="15">
      <c r="A124" s="42" t="s">
        <v>241</v>
      </c>
      <c r="B124" s="13"/>
      <c r="C124" s="13" t="s">
        <v>247</v>
      </c>
      <c r="D124" s="13" t="s">
        <v>93</v>
      </c>
      <c r="E124" s="13" t="s">
        <v>94</v>
      </c>
      <c r="F124" s="13" t="s">
        <v>130</v>
      </c>
      <c r="G124" s="41" t="s">
        <v>96</v>
      </c>
      <c r="H124" s="13" t="s">
        <v>102</v>
      </c>
      <c r="I124" s="13">
        <v>2</v>
      </c>
      <c r="J124" s="13">
        <v>4</v>
      </c>
      <c r="K124" s="13">
        <v>4</v>
      </c>
      <c r="L124" s="13">
        <v>4</v>
      </c>
      <c r="M124" s="13">
        <v>2</v>
      </c>
      <c r="N124" s="13">
        <v>4</v>
      </c>
      <c r="O124" s="13">
        <v>2</v>
      </c>
      <c r="P124" s="13">
        <v>2</v>
      </c>
      <c r="Q124" s="13">
        <v>3</v>
      </c>
      <c r="R124" s="13">
        <v>4</v>
      </c>
      <c r="S124" s="13">
        <v>3</v>
      </c>
      <c r="T124" s="13">
        <v>4</v>
      </c>
      <c r="U124" s="13">
        <v>3</v>
      </c>
      <c r="V124" s="13">
        <v>3</v>
      </c>
      <c r="W124" s="13">
        <v>3</v>
      </c>
      <c r="X124" s="13">
        <v>3</v>
      </c>
      <c r="Y124" s="13">
        <v>2</v>
      </c>
      <c r="Z124" s="13">
        <v>2</v>
      </c>
      <c r="AA124" s="13">
        <v>2</v>
      </c>
      <c r="AB124" s="13">
        <v>3</v>
      </c>
      <c r="AC124" s="13">
        <v>40</v>
      </c>
      <c r="AD124" s="13">
        <v>20</v>
      </c>
      <c r="AE124" s="13">
        <v>20</v>
      </c>
      <c r="AF124" s="13">
        <v>20</v>
      </c>
      <c r="AG124" s="8">
        <f t="shared" si="11"/>
        <v>100</v>
      </c>
      <c r="AH124" s="13">
        <v>30</v>
      </c>
      <c r="AI124" s="13">
        <v>20</v>
      </c>
      <c r="AJ124" s="13">
        <v>30</v>
      </c>
      <c r="AK124" s="13">
        <v>20</v>
      </c>
      <c r="AL124" s="8">
        <f t="shared" si="0"/>
        <v>100</v>
      </c>
      <c r="AM124" s="13">
        <v>10</v>
      </c>
      <c r="AN124" s="13">
        <v>50</v>
      </c>
      <c r="AO124" s="13">
        <v>20</v>
      </c>
      <c r="AP124" s="13">
        <v>20</v>
      </c>
      <c r="AQ124" s="8">
        <f t="shared" si="1"/>
        <v>100</v>
      </c>
      <c r="AR124" s="13">
        <v>30</v>
      </c>
      <c r="AS124" s="13">
        <v>40</v>
      </c>
      <c r="AT124" s="13">
        <v>10</v>
      </c>
      <c r="AU124" s="13">
        <v>20</v>
      </c>
      <c r="AV124" s="8">
        <f t="shared" si="2"/>
        <v>100</v>
      </c>
      <c r="AW124" s="13">
        <v>20</v>
      </c>
      <c r="AX124" s="13">
        <v>10</v>
      </c>
      <c r="AY124" s="13">
        <v>50</v>
      </c>
      <c r="AZ124" s="13">
        <v>20</v>
      </c>
      <c r="BA124" s="8">
        <f t="shared" si="3"/>
        <v>100</v>
      </c>
      <c r="BB124" s="13">
        <v>40</v>
      </c>
      <c r="BC124" s="13">
        <v>15</v>
      </c>
      <c r="BD124" s="13">
        <v>30</v>
      </c>
      <c r="BE124" s="13">
        <v>15</v>
      </c>
      <c r="BF124" s="8">
        <f t="shared" si="4"/>
        <v>100</v>
      </c>
      <c r="BG124" s="13">
        <v>15</v>
      </c>
      <c r="BH124" s="13">
        <v>40</v>
      </c>
      <c r="BI124" s="13">
        <v>20</v>
      </c>
      <c r="BJ124" s="13">
        <v>25</v>
      </c>
      <c r="BK124" s="8">
        <f t="shared" si="5"/>
        <v>100</v>
      </c>
      <c r="BL124" s="13">
        <v>20</v>
      </c>
      <c r="BM124" s="13">
        <v>30</v>
      </c>
      <c r="BN124" s="13">
        <v>40</v>
      </c>
      <c r="BO124" s="13">
        <v>10</v>
      </c>
      <c r="BP124" s="8">
        <f t="shared" si="6"/>
        <v>100</v>
      </c>
      <c r="BQ124" s="13">
        <v>20</v>
      </c>
      <c r="BR124" s="13">
        <v>50</v>
      </c>
      <c r="BS124" s="13">
        <v>20</v>
      </c>
      <c r="BT124" s="13">
        <v>10</v>
      </c>
      <c r="BU124" s="8">
        <f t="shared" si="7"/>
        <v>100</v>
      </c>
      <c r="BV124" s="13">
        <v>30</v>
      </c>
      <c r="BW124" s="13">
        <v>30</v>
      </c>
      <c r="BX124" s="13">
        <v>20</v>
      </c>
      <c r="BY124" s="13">
        <v>20</v>
      </c>
      <c r="BZ124" s="8">
        <f t="shared" si="8"/>
        <v>100</v>
      </c>
      <c r="CA124" s="13">
        <v>60</v>
      </c>
      <c r="CB124" s="13">
        <v>10</v>
      </c>
      <c r="CC124" s="13">
        <v>15</v>
      </c>
      <c r="CD124" s="13">
        <v>15</v>
      </c>
      <c r="CE124" s="8">
        <f t="shared" si="9"/>
        <v>100</v>
      </c>
      <c r="CF124" s="13">
        <v>40</v>
      </c>
      <c r="CG124" s="13">
        <v>15</v>
      </c>
      <c r="CH124" s="13">
        <v>25</v>
      </c>
      <c r="CI124" s="13">
        <v>20</v>
      </c>
      <c r="CJ124" s="8">
        <f t="shared" si="10"/>
        <v>100</v>
      </c>
      <c r="CK124" s="18">
        <v>4.01</v>
      </c>
      <c r="CL124" s="18" t="s">
        <v>98</v>
      </c>
      <c r="CM124" s="23"/>
      <c r="CN124" s="23"/>
      <c r="CO124" s="24"/>
      <c r="CP124">
        <f>Form_Responses1[[#This Row],[Column89]]</f>
        <v>4.01</v>
      </c>
      <c r="CQ124">
        <f>IF(Form_Responses1[[#This Row],[Column94]]&gt;0,Form_Responses1[[#This Row],[Column94]],Form_Responses1[[#This Row],[Column91]])</f>
        <v>4.01</v>
      </c>
      <c r="CR124">
        <v>4.01</v>
      </c>
    </row>
    <row r="125" spans="1:96" ht="15">
      <c r="A125" s="40" t="s">
        <v>241</v>
      </c>
      <c r="B125" s="7"/>
      <c r="C125" s="7" t="s">
        <v>248</v>
      </c>
      <c r="D125" s="7" t="s">
        <v>93</v>
      </c>
      <c r="E125" s="7" t="s">
        <v>100</v>
      </c>
      <c r="F125" s="7" t="s">
        <v>130</v>
      </c>
      <c r="G125" s="41" t="s">
        <v>96</v>
      </c>
      <c r="H125" s="7" t="s">
        <v>102</v>
      </c>
      <c r="I125" s="7">
        <v>4</v>
      </c>
      <c r="J125" s="7">
        <v>3</v>
      </c>
      <c r="K125" s="7">
        <v>2</v>
      </c>
      <c r="L125" s="7">
        <v>2</v>
      </c>
      <c r="M125" s="7">
        <v>4</v>
      </c>
      <c r="N125" s="7">
        <v>2</v>
      </c>
      <c r="O125" s="7">
        <v>2</v>
      </c>
      <c r="P125" s="7">
        <v>3</v>
      </c>
      <c r="Q125" s="7">
        <v>3</v>
      </c>
      <c r="R125" s="7">
        <v>4</v>
      </c>
      <c r="S125" s="7">
        <v>2</v>
      </c>
      <c r="T125" s="7">
        <v>4</v>
      </c>
      <c r="U125" s="7">
        <v>4</v>
      </c>
      <c r="V125" s="7">
        <v>4</v>
      </c>
      <c r="W125" s="7">
        <v>4</v>
      </c>
      <c r="X125" s="7">
        <v>2</v>
      </c>
      <c r="Y125" s="7">
        <v>4</v>
      </c>
      <c r="Z125" s="7">
        <v>4</v>
      </c>
      <c r="AA125" s="7">
        <v>2</v>
      </c>
      <c r="AB125" s="7">
        <v>3</v>
      </c>
      <c r="AC125" s="7">
        <v>40</v>
      </c>
      <c r="AD125" s="7">
        <v>30</v>
      </c>
      <c r="AE125" s="7">
        <v>10</v>
      </c>
      <c r="AF125" s="7">
        <v>20</v>
      </c>
      <c r="AG125" s="8">
        <f t="shared" si="11"/>
        <v>100</v>
      </c>
      <c r="AH125" s="7">
        <v>50</v>
      </c>
      <c r="AI125" s="7">
        <v>20</v>
      </c>
      <c r="AJ125" s="7">
        <v>10</v>
      </c>
      <c r="AK125" s="7">
        <v>20</v>
      </c>
      <c r="AL125" s="8">
        <f t="shared" si="0"/>
        <v>100</v>
      </c>
      <c r="AM125" s="7">
        <v>20</v>
      </c>
      <c r="AN125" s="7">
        <v>20</v>
      </c>
      <c r="AO125" s="7">
        <v>10</v>
      </c>
      <c r="AP125" s="7">
        <v>50</v>
      </c>
      <c r="AQ125" s="8">
        <f t="shared" si="1"/>
        <v>100</v>
      </c>
      <c r="AR125" s="7">
        <v>10</v>
      </c>
      <c r="AS125" s="7">
        <v>10</v>
      </c>
      <c r="AT125" s="7">
        <v>30</v>
      </c>
      <c r="AU125" s="7">
        <v>50</v>
      </c>
      <c r="AV125" s="8">
        <f t="shared" si="2"/>
        <v>100</v>
      </c>
      <c r="AW125" s="7">
        <v>20</v>
      </c>
      <c r="AX125" s="7">
        <v>10</v>
      </c>
      <c r="AY125" s="7">
        <v>20</v>
      </c>
      <c r="AZ125" s="7">
        <v>50</v>
      </c>
      <c r="BA125" s="8">
        <f t="shared" si="3"/>
        <v>100</v>
      </c>
      <c r="BB125" s="7">
        <v>20</v>
      </c>
      <c r="BC125" s="7">
        <v>50</v>
      </c>
      <c r="BD125" s="7">
        <v>10</v>
      </c>
      <c r="BE125" s="7">
        <v>20</v>
      </c>
      <c r="BF125" s="8">
        <f t="shared" si="4"/>
        <v>100</v>
      </c>
      <c r="BG125" s="7">
        <v>20</v>
      </c>
      <c r="BH125" s="7">
        <v>50</v>
      </c>
      <c r="BI125" s="7">
        <v>20</v>
      </c>
      <c r="BJ125" s="7">
        <v>10</v>
      </c>
      <c r="BK125" s="8">
        <f t="shared" si="5"/>
        <v>100</v>
      </c>
      <c r="BL125" s="7">
        <v>10</v>
      </c>
      <c r="BM125" s="7">
        <v>20</v>
      </c>
      <c r="BN125" s="7">
        <v>50</v>
      </c>
      <c r="BO125" s="7">
        <v>20</v>
      </c>
      <c r="BP125" s="8">
        <f t="shared" si="6"/>
        <v>100</v>
      </c>
      <c r="BQ125" s="7">
        <v>20</v>
      </c>
      <c r="BR125" s="7">
        <v>50</v>
      </c>
      <c r="BS125" s="7">
        <v>20</v>
      </c>
      <c r="BT125" s="7">
        <v>10</v>
      </c>
      <c r="BU125" s="8">
        <f t="shared" si="7"/>
        <v>100</v>
      </c>
      <c r="BV125" s="7">
        <v>10</v>
      </c>
      <c r="BW125" s="7">
        <v>20</v>
      </c>
      <c r="BX125" s="7">
        <v>20</v>
      </c>
      <c r="BY125" s="7">
        <v>50</v>
      </c>
      <c r="BZ125" s="8">
        <f t="shared" si="8"/>
        <v>100</v>
      </c>
      <c r="CA125" s="7">
        <v>50</v>
      </c>
      <c r="CB125" s="7">
        <v>10</v>
      </c>
      <c r="CC125" s="7">
        <v>20</v>
      </c>
      <c r="CD125" s="7">
        <v>20</v>
      </c>
      <c r="CE125" s="8">
        <f t="shared" si="9"/>
        <v>100</v>
      </c>
      <c r="CF125" s="7">
        <v>20</v>
      </c>
      <c r="CG125" s="7">
        <v>20</v>
      </c>
      <c r="CH125" s="7">
        <v>10</v>
      </c>
      <c r="CI125" s="7">
        <v>50</v>
      </c>
      <c r="CJ125" s="8">
        <f t="shared" si="10"/>
        <v>100</v>
      </c>
      <c r="CK125" s="16">
        <v>4.0999999999999996</v>
      </c>
      <c r="CL125" s="16" t="s">
        <v>98</v>
      </c>
      <c r="CM125" s="25"/>
      <c r="CN125" s="25"/>
      <c r="CO125" s="26"/>
      <c r="CP125">
        <f>Form_Responses1[[#This Row],[Column89]]</f>
        <v>4.0999999999999996</v>
      </c>
      <c r="CQ125">
        <f>IF(Form_Responses1[[#This Row],[Column94]]&gt;0,Form_Responses1[[#This Row],[Column94]],Form_Responses1[[#This Row],[Column91]])</f>
        <v>4.0999999999999996</v>
      </c>
      <c r="CR125">
        <v>4.0999999999999996</v>
      </c>
    </row>
    <row r="126" spans="1:96" ht="15">
      <c r="A126" s="42" t="s">
        <v>241</v>
      </c>
      <c r="B126" s="13"/>
      <c r="C126" s="13" t="s">
        <v>249</v>
      </c>
      <c r="D126" s="13" t="s">
        <v>93</v>
      </c>
      <c r="E126" s="13" t="s">
        <v>100</v>
      </c>
      <c r="F126" s="13" t="s">
        <v>130</v>
      </c>
      <c r="G126" s="41" t="s">
        <v>96</v>
      </c>
      <c r="H126" s="13" t="s">
        <v>102</v>
      </c>
      <c r="I126" s="13">
        <v>4</v>
      </c>
      <c r="J126" s="13">
        <v>4</v>
      </c>
      <c r="K126" s="13">
        <v>4</v>
      </c>
      <c r="L126" s="13">
        <v>4</v>
      </c>
      <c r="M126" s="13">
        <v>4</v>
      </c>
      <c r="N126" s="13">
        <v>4</v>
      </c>
      <c r="O126" s="13">
        <v>4</v>
      </c>
      <c r="P126" s="13">
        <v>4</v>
      </c>
      <c r="Q126" s="13">
        <v>4</v>
      </c>
      <c r="R126" s="13">
        <v>4</v>
      </c>
      <c r="S126" s="13">
        <v>4</v>
      </c>
      <c r="T126" s="13">
        <v>4</v>
      </c>
      <c r="U126" s="13">
        <v>4</v>
      </c>
      <c r="V126" s="13">
        <v>4</v>
      </c>
      <c r="W126" s="13">
        <v>4</v>
      </c>
      <c r="X126" s="13">
        <v>4</v>
      </c>
      <c r="Y126" s="13">
        <v>4</v>
      </c>
      <c r="Z126" s="13">
        <v>4</v>
      </c>
      <c r="AA126" s="13">
        <v>4</v>
      </c>
      <c r="AB126" s="13">
        <v>4</v>
      </c>
      <c r="AC126" s="13">
        <v>50</v>
      </c>
      <c r="AD126" s="13">
        <v>10</v>
      </c>
      <c r="AE126" s="13">
        <v>10</v>
      </c>
      <c r="AF126" s="13">
        <v>30</v>
      </c>
      <c r="AG126" s="8">
        <f t="shared" si="11"/>
        <v>100</v>
      </c>
      <c r="AH126" s="13">
        <v>10</v>
      </c>
      <c r="AI126" s="13">
        <v>10</v>
      </c>
      <c r="AJ126" s="13">
        <v>40</v>
      </c>
      <c r="AK126" s="13">
        <v>40</v>
      </c>
      <c r="AL126" s="8">
        <f t="shared" si="0"/>
        <v>100</v>
      </c>
      <c r="AM126" s="13">
        <v>30</v>
      </c>
      <c r="AN126" s="13">
        <v>30</v>
      </c>
      <c r="AO126" s="13">
        <v>20</v>
      </c>
      <c r="AP126" s="13">
        <v>20</v>
      </c>
      <c r="AQ126" s="8">
        <f t="shared" si="1"/>
        <v>100</v>
      </c>
      <c r="AR126" s="13">
        <v>20</v>
      </c>
      <c r="AS126" s="13">
        <v>20</v>
      </c>
      <c r="AT126" s="13">
        <v>30</v>
      </c>
      <c r="AU126" s="13">
        <v>30</v>
      </c>
      <c r="AV126" s="8">
        <f t="shared" si="2"/>
        <v>100</v>
      </c>
      <c r="AW126" s="13">
        <v>20</v>
      </c>
      <c r="AX126" s="13">
        <v>20</v>
      </c>
      <c r="AY126" s="13">
        <v>30</v>
      </c>
      <c r="AZ126" s="13">
        <v>30</v>
      </c>
      <c r="BA126" s="8">
        <f t="shared" si="3"/>
        <v>100</v>
      </c>
      <c r="BB126" s="13">
        <v>20</v>
      </c>
      <c r="BC126" s="13">
        <v>20</v>
      </c>
      <c r="BD126" s="13">
        <v>20</v>
      </c>
      <c r="BE126" s="13">
        <v>40</v>
      </c>
      <c r="BF126" s="8">
        <f t="shared" si="4"/>
        <v>100</v>
      </c>
      <c r="BG126" s="13">
        <v>50</v>
      </c>
      <c r="BH126" s="13">
        <v>10</v>
      </c>
      <c r="BI126" s="13">
        <v>10</v>
      </c>
      <c r="BJ126" s="13">
        <v>30</v>
      </c>
      <c r="BK126" s="8">
        <f t="shared" si="5"/>
        <v>100</v>
      </c>
      <c r="BL126" s="13">
        <v>50</v>
      </c>
      <c r="BM126" s="13">
        <v>10</v>
      </c>
      <c r="BN126" s="13">
        <v>10</v>
      </c>
      <c r="BO126" s="13">
        <v>30</v>
      </c>
      <c r="BP126" s="8">
        <f t="shared" si="6"/>
        <v>100</v>
      </c>
      <c r="BQ126" s="13">
        <v>40</v>
      </c>
      <c r="BR126" s="13">
        <v>20</v>
      </c>
      <c r="BS126" s="13">
        <v>20</v>
      </c>
      <c r="BT126" s="13">
        <v>20</v>
      </c>
      <c r="BU126" s="8">
        <f t="shared" si="7"/>
        <v>100</v>
      </c>
      <c r="BV126" s="13">
        <v>30</v>
      </c>
      <c r="BW126" s="13">
        <v>10</v>
      </c>
      <c r="BX126" s="13">
        <v>50</v>
      </c>
      <c r="BY126" s="13">
        <v>10</v>
      </c>
      <c r="BZ126" s="8">
        <f t="shared" si="8"/>
        <v>100</v>
      </c>
      <c r="CA126" s="13">
        <v>50</v>
      </c>
      <c r="CB126" s="13">
        <v>20</v>
      </c>
      <c r="CC126" s="13">
        <v>10</v>
      </c>
      <c r="CD126" s="13">
        <v>20</v>
      </c>
      <c r="CE126" s="8">
        <f t="shared" si="9"/>
        <v>100</v>
      </c>
      <c r="CF126" s="13">
        <v>50</v>
      </c>
      <c r="CG126" s="13">
        <v>20</v>
      </c>
      <c r="CH126" s="13">
        <v>10</v>
      </c>
      <c r="CI126" s="13">
        <v>20</v>
      </c>
      <c r="CJ126" s="8">
        <f t="shared" si="10"/>
        <v>100</v>
      </c>
      <c r="CK126" s="18">
        <v>4.4000000000000004</v>
      </c>
      <c r="CL126" s="19" t="s">
        <v>98</v>
      </c>
      <c r="CM126" s="14">
        <v>4.37</v>
      </c>
      <c r="CN126" s="14" t="s">
        <v>98</v>
      </c>
      <c r="CO126" s="24"/>
      <c r="CP126">
        <f>Form_Responses1[[#This Row],[Column89]]</f>
        <v>4.4000000000000004</v>
      </c>
      <c r="CQ126">
        <f>IF(Form_Responses1[[#This Row],[Column94]]&gt;0,Form_Responses1[[#This Row],[Column94]],Form_Responses1[[#This Row],[Column91]])</f>
        <v>4.4000000000000004</v>
      </c>
      <c r="CR126">
        <v>4.4000000000000004</v>
      </c>
    </row>
    <row r="127" spans="1:96" ht="15">
      <c r="A127" s="40" t="s">
        <v>241</v>
      </c>
      <c r="B127" s="7"/>
      <c r="C127" s="7" t="s">
        <v>250</v>
      </c>
      <c r="D127" s="7" t="s">
        <v>93</v>
      </c>
      <c r="E127" s="7" t="s">
        <v>112</v>
      </c>
      <c r="F127" s="7" t="s">
        <v>95</v>
      </c>
      <c r="G127" s="41" t="s">
        <v>123</v>
      </c>
      <c r="H127" s="7" t="s">
        <v>102</v>
      </c>
      <c r="I127" s="7">
        <v>2</v>
      </c>
      <c r="J127" s="7">
        <v>3</v>
      </c>
      <c r="K127" s="7">
        <v>4</v>
      </c>
      <c r="L127" s="7">
        <v>4</v>
      </c>
      <c r="M127" s="7">
        <v>4</v>
      </c>
      <c r="N127" s="7">
        <v>2</v>
      </c>
      <c r="O127" s="7">
        <v>4</v>
      </c>
      <c r="P127" s="7">
        <v>3</v>
      </c>
      <c r="Q127" s="7">
        <v>3</v>
      </c>
      <c r="R127" s="7">
        <v>4</v>
      </c>
      <c r="S127" s="7">
        <v>4</v>
      </c>
      <c r="T127" s="7">
        <v>3</v>
      </c>
      <c r="U127" s="7">
        <v>4</v>
      </c>
      <c r="V127" s="7">
        <v>4</v>
      </c>
      <c r="W127" s="7">
        <v>2</v>
      </c>
      <c r="X127" s="7">
        <v>2</v>
      </c>
      <c r="Y127" s="7">
        <v>3</v>
      </c>
      <c r="Z127" s="7">
        <v>4</v>
      </c>
      <c r="AA127" s="7">
        <v>4</v>
      </c>
      <c r="AB127" s="7">
        <v>4</v>
      </c>
      <c r="AC127" s="7">
        <v>60</v>
      </c>
      <c r="AD127" s="7">
        <v>20</v>
      </c>
      <c r="AE127" s="7">
        <v>10</v>
      </c>
      <c r="AF127" s="7">
        <v>10</v>
      </c>
      <c r="AG127" s="8">
        <f t="shared" si="11"/>
        <v>100</v>
      </c>
      <c r="AH127" s="7">
        <v>40</v>
      </c>
      <c r="AI127" s="7">
        <v>10</v>
      </c>
      <c r="AJ127" s="7">
        <v>40</v>
      </c>
      <c r="AK127" s="7">
        <v>10</v>
      </c>
      <c r="AL127" s="8">
        <f t="shared" si="0"/>
        <v>100</v>
      </c>
      <c r="AM127" s="7">
        <v>70</v>
      </c>
      <c r="AN127" s="7">
        <v>10</v>
      </c>
      <c r="AO127" s="7">
        <v>10</v>
      </c>
      <c r="AP127" s="7">
        <v>10</v>
      </c>
      <c r="AQ127" s="8">
        <f t="shared" si="1"/>
        <v>100</v>
      </c>
      <c r="AR127" s="7">
        <v>20</v>
      </c>
      <c r="AS127" s="7">
        <v>10</v>
      </c>
      <c r="AT127" s="7">
        <v>60</v>
      </c>
      <c r="AU127" s="7">
        <v>10</v>
      </c>
      <c r="AV127" s="8">
        <f t="shared" si="2"/>
        <v>100</v>
      </c>
      <c r="AW127" s="7">
        <v>15</v>
      </c>
      <c r="AX127" s="7">
        <v>20</v>
      </c>
      <c r="AY127" s="7">
        <v>15</v>
      </c>
      <c r="AZ127" s="7">
        <v>50</v>
      </c>
      <c r="BA127" s="8">
        <f t="shared" si="3"/>
        <v>100</v>
      </c>
      <c r="BB127" s="7">
        <v>10</v>
      </c>
      <c r="BC127" s="7">
        <v>30</v>
      </c>
      <c r="BD127" s="7">
        <v>10</v>
      </c>
      <c r="BE127" s="7">
        <v>50</v>
      </c>
      <c r="BF127" s="8">
        <f t="shared" si="4"/>
        <v>100</v>
      </c>
      <c r="BG127" s="7">
        <v>40</v>
      </c>
      <c r="BH127" s="7">
        <v>20</v>
      </c>
      <c r="BI127" s="7">
        <v>10</v>
      </c>
      <c r="BJ127" s="7">
        <v>30</v>
      </c>
      <c r="BK127" s="8">
        <f t="shared" si="5"/>
        <v>100</v>
      </c>
      <c r="BL127" s="7">
        <v>40</v>
      </c>
      <c r="BM127" s="7">
        <v>20</v>
      </c>
      <c r="BN127" s="7">
        <v>10</v>
      </c>
      <c r="BO127" s="7">
        <v>30</v>
      </c>
      <c r="BP127" s="8">
        <f t="shared" si="6"/>
        <v>100</v>
      </c>
      <c r="BQ127" s="7">
        <v>10</v>
      </c>
      <c r="BR127" s="7">
        <v>20</v>
      </c>
      <c r="BS127" s="7">
        <v>10</v>
      </c>
      <c r="BT127" s="7">
        <v>60</v>
      </c>
      <c r="BU127" s="8">
        <f t="shared" si="7"/>
        <v>100</v>
      </c>
      <c r="BV127" s="7">
        <v>10</v>
      </c>
      <c r="BW127" s="7">
        <v>70</v>
      </c>
      <c r="BX127" s="7">
        <v>10</v>
      </c>
      <c r="BY127" s="7">
        <v>10</v>
      </c>
      <c r="BZ127" s="8">
        <f t="shared" si="8"/>
        <v>100</v>
      </c>
      <c r="CA127" s="7">
        <v>70</v>
      </c>
      <c r="CB127" s="7">
        <v>10</v>
      </c>
      <c r="CC127" s="7">
        <v>10</v>
      </c>
      <c r="CD127" s="7">
        <v>10</v>
      </c>
      <c r="CE127" s="8">
        <f t="shared" si="9"/>
        <v>100</v>
      </c>
      <c r="CF127" s="7">
        <v>70</v>
      </c>
      <c r="CG127" s="7">
        <v>10</v>
      </c>
      <c r="CH127" s="7">
        <v>10</v>
      </c>
      <c r="CI127" s="7">
        <v>10</v>
      </c>
      <c r="CJ127" s="8">
        <f t="shared" si="10"/>
        <v>100</v>
      </c>
      <c r="CK127" s="9">
        <v>4.07</v>
      </c>
      <c r="CL127" s="9" t="s">
        <v>98</v>
      </c>
      <c r="CM127" s="9">
        <v>4.37</v>
      </c>
      <c r="CN127" s="9" t="s">
        <v>98</v>
      </c>
      <c r="CO127" s="26"/>
      <c r="CP127">
        <f>Form_Responses1[[#This Row],[Column89]]</f>
        <v>4.07</v>
      </c>
      <c r="CQ127">
        <f>IF(Form_Responses1[[#This Row],[Column94]]&gt;0,Form_Responses1[[#This Row],[Column94]],Form_Responses1[[#This Row],[Column91]])</f>
        <v>4.07</v>
      </c>
      <c r="CR127">
        <v>4.07</v>
      </c>
    </row>
    <row r="128" spans="1:96" ht="15">
      <c r="A128" s="42" t="s">
        <v>241</v>
      </c>
      <c r="B128" s="13"/>
      <c r="C128" s="13" t="s">
        <v>251</v>
      </c>
      <c r="D128" s="13" t="s">
        <v>93</v>
      </c>
      <c r="E128" s="13" t="s">
        <v>94</v>
      </c>
      <c r="F128" s="13" t="s">
        <v>130</v>
      </c>
      <c r="G128" s="41" t="s">
        <v>96</v>
      </c>
      <c r="H128" s="13" t="s">
        <v>102</v>
      </c>
      <c r="I128" s="13">
        <v>3</v>
      </c>
      <c r="J128" s="13">
        <v>2</v>
      </c>
      <c r="K128" s="13">
        <v>1</v>
      </c>
      <c r="L128" s="13">
        <v>2</v>
      </c>
      <c r="M128" s="13">
        <v>3</v>
      </c>
      <c r="N128" s="13">
        <v>3</v>
      </c>
      <c r="O128" s="13">
        <v>4</v>
      </c>
      <c r="P128" s="13">
        <v>3</v>
      </c>
      <c r="Q128" s="13">
        <v>4</v>
      </c>
      <c r="R128" s="13">
        <v>3</v>
      </c>
      <c r="S128" s="13">
        <v>4</v>
      </c>
      <c r="T128" s="13">
        <v>3</v>
      </c>
      <c r="U128" s="13">
        <v>3</v>
      </c>
      <c r="V128" s="13">
        <v>2</v>
      </c>
      <c r="W128" s="13">
        <v>3</v>
      </c>
      <c r="X128" s="13">
        <v>2</v>
      </c>
      <c r="Y128" s="13">
        <v>3</v>
      </c>
      <c r="Z128" s="13">
        <v>3</v>
      </c>
      <c r="AA128" s="13">
        <v>3</v>
      </c>
      <c r="AB128" s="13">
        <v>2</v>
      </c>
      <c r="AC128" s="13">
        <v>25</v>
      </c>
      <c r="AD128" s="13">
        <v>25</v>
      </c>
      <c r="AE128" s="13">
        <v>25</v>
      </c>
      <c r="AF128" s="13">
        <v>25</v>
      </c>
      <c r="AG128" s="8">
        <f t="shared" si="11"/>
        <v>100</v>
      </c>
      <c r="AH128" s="13">
        <v>30</v>
      </c>
      <c r="AI128" s="13">
        <v>25</v>
      </c>
      <c r="AJ128" s="13">
        <v>30</v>
      </c>
      <c r="AK128" s="13">
        <v>15</v>
      </c>
      <c r="AL128" s="8">
        <f t="shared" si="0"/>
        <v>100</v>
      </c>
      <c r="AM128" s="13">
        <v>25</v>
      </c>
      <c r="AN128" s="13">
        <v>25</v>
      </c>
      <c r="AO128" s="13">
        <v>25</v>
      </c>
      <c r="AP128" s="13">
        <v>25</v>
      </c>
      <c r="AQ128" s="8">
        <f t="shared" si="1"/>
        <v>100</v>
      </c>
      <c r="AR128" s="13">
        <v>30</v>
      </c>
      <c r="AS128" s="13">
        <v>20</v>
      </c>
      <c r="AT128" s="13">
        <v>30</v>
      </c>
      <c r="AU128" s="13">
        <v>20</v>
      </c>
      <c r="AV128" s="8">
        <f t="shared" si="2"/>
        <v>100</v>
      </c>
      <c r="AW128" s="13">
        <v>25</v>
      </c>
      <c r="AX128" s="13">
        <v>20</v>
      </c>
      <c r="AY128" s="13">
        <v>35</v>
      </c>
      <c r="AZ128" s="13">
        <v>20</v>
      </c>
      <c r="BA128" s="8">
        <f t="shared" si="3"/>
        <v>100</v>
      </c>
      <c r="BB128" s="13">
        <v>25</v>
      </c>
      <c r="BC128" s="13">
        <v>25</v>
      </c>
      <c r="BD128" s="13">
        <v>30</v>
      </c>
      <c r="BE128" s="13">
        <v>20</v>
      </c>
      <c r="BF128" s="8">
        <f t="shared" si="4"/>
        <v>100</v>
      </c>
      <c r="BG128" s="13">
        <v>30</v>
      </c>
      <c r="BH128" s="13">
        <v>30</v>
      </c>
      <c r="BI128" s="13">
        <v>20</v>
      </c>
      <c r="BJ128" s="13">
        <v>20</v>
      </c>
      <c r="BK128" s="8">
        <f t="shared" si="5"/>
        <v>100</v>
      </c>
      <c r="BL128" s="13">
        <v>30</v>
      </c>
      <c r="BM128" s="13">
        <v>30</v>
      </c>
      <c r="BN128" s="13">
        <v>20</v>
      </c>
      <c r="BO128" s="13">
        <v>20</v>
      </c>
      <c r="BP128" s="8">
        <f t="shared" si="6"/>
        <v>100</v>
      </c>
      <c r="BQ128" s="13">
        <v>30</v>
      </c>
      <c r="BR128" s="13">
        <v>25</v>
      </c>
      <c r="BS128" s="13">
        <v>25</v>
      </c>
      <c r="BT128" s="13">
        <v>20</v>
      </c>
      <c r="BU128" s="8">
        <f t="shared" si="7"/>
        <v>100</v>
      </c>
      <c r="BV128" s="13">
        <v>25</v>
      </c>
      <c r="BW128" s="13">
        <v>25</v>
      </c>
      <c r="BX128" s="13">
        <v>25</v>
      </c>
      <c r="BY128" s="13">
        <v>25</v>
      </c>
      <c r="BZ128" s="8">
        <f t="shared" si="8"/>
        <v>100</v>
      </c>
      <c r="CA128" s="13">
        <v>30</v>
      </c>
      <c r="CB128" s="13">
        <v>30</v>
      </c>
      <c r="CC128" s="13">
        <v>20</v>
      </c>
      <c r="CD128" s="13">
        <v>20</v>
      </c>
      <c r="CE128" s="8">
        <f t="shared" si="9"/>
        <v>100</v>
      </c>
      <c r="CF128" s="13">
        <v>30</v>
      </c>
      <c r="CG128" s="13">
        <v>30</v>
      </c>
      <c r="CH128" s="13">
        <v>20</v>
      </c>
      <c r="CI128" s="13">
        <v>20</v>
      </c>
      <c r="CJ128" s="8">
        <f t="shared" si="10"/>
        <v>100</v>
      </c>
      <c r="CK128" s="14">
        <v>4.26</v>
      </c>
      <c r="CL128" s="14" t="s">
        <v>98</v>
      </c>
      <c r="CM128" s="23"/>
      <c r="CN128" s="23"/>
      <c r="CO128" s="24"/>
      <c r="CP128">
        <f>Form_Responses1[[#This Row],[Column89]]</f>
        <v>4.26</v>
      </c>
      <c r="CQ128">
        <f>IF(Form_Responses1[[#This Row],[Column94]]&gt;0,Form_Responses1[[#This Row],[Column94]],Form_Responses1[[#This Row],[Column91]])</f>
        <v>4.26</v>
      </c>
      <c r="CR128">
        <v>4.26</v>
      </c>
    </row>
    <row r="129" spans="1:96" ht="15">
      <c r="A129" s="40" t="s">
        <v>241</v>
      </c>
      <c r="B129" s="7"/>
      <c r="C129" s="7" t="s">
        <v>252</v>
      </c>
      <c r="D129" s="7" t="s">
        <v>93</v>
      </c>
      <c r="E129" s="7" t="s">
        <v>94</v>
      </c>
      <c r="F129" s="7" t="s">
        <v>130</v>
      </c>
      <c r="G129" s="41" t="s">
        <v>96</v>
      </c>
      <c r="H129" s="7" t="s">
        <v>102</v>
      </c>
      <c r="I129" s="7">
        <v>4</v>
      </c>
      <c r="J129" s="7">
        <v>4</v>
      </c>
      <c r="K129" s="7">
        <v>3</v>
      </c>
      <c r="L129" s="7">
        <v>4</v>
      </c>
      <c r="M129" s="7">
        <v>4</v>
      </c>
      <c r="N129" s="7">
        <v>4</v>
      </c>
      <c r="O129" s="7">
        <v>4</v>
      </c>
      <c r="P129" s="7">
        <v>4</v>
      </c>
      <c r="Q129" s="7">
        <v>4</v>
      </c>
      <c r="R129" s="7">
        <v>4</v>
      </c>
      <c r="S129" s="7">
        <v>4</v>
      </c>
      <c r="T129" s="7">
        <v>3</v>
      </c>
      <c r="U129" s="7">
        <v>3</v>
      </c>
      <c r="V129" s="7">
        <v>4</v>
      </c>
      <c r="W129" s="7">
        <v>3</v>
      </c>
      <c r="X129" s="7">
        <v>3</v>
      </c>
      <c r="Y129" s="7">
        <v>4</v>
      </c>
      <c r="Z129" s="7">
        <v>4</v>
      </c>
      <c r="AA129" s="7">
        <v>3</v>
      </c>
      <c r="AB129" s="7">
        <v>3</v>
      </c>
      <c r="AC129" s="7">
        <v>40</v>
      </c>
      <c r="AD129" s="7">
        <v>20</v>
      </c>
      <c r="AE129" s="7">
        <v>10</v>
      </c>
      <c r="AF129" s="7">
        <v>30</v>
      </c>
      <c r="AG129" s="8">
        <f t="shared" si="11"/>
        <v>100</v>
      </c>
      <c r="AH129" s="7">
        <v>20</v>
      </c>
      <c r="AI129" s="7">
        <v>20</v>
      </c>
      <c r="AJ129" s="7">
        <v>20</v>
      </c>
      <c r="AK129" s="7">
        <v>40</v>
      </c>
      <c r="AL129" s="8">
        <f t="shared" si="0"/>
        <v>100</v>
      </c>
      <c r="AM129" s="7">
        <v>40</v>
      </c>
      <c r="AN129" s="7">
        <v>30</v>
      </c>
      <c r="AO129" s="7">
        <v>20</v>
      </c>
      <c r="AP129" s="7">
        <v>10</v>
      </c>
      <c r="AQ129" s="8">
        <f t="shared" si="1"/>
        <v>100</v>
      </c>
      <c r="AR129" s="7">
        <v>30</v>
      </c>
      <c r="AS129" s="7">
        <v>20</v>
      </c>
      <c r="AT129" s="7">
        <v>10</v>
      </c>
      <c r="AU129" s="7">
        <v>40</v>
      </c>
      <c r="AV129" s="8">
        <f t="shared" si="2"/>
        <v>100</v>
      </c>
      <c r="AW129" s="7">
        <v>30</v>
      </c>
      <c r="AX129" s="7">
        <v>10</v>
      </c>
      <c r="AY129" s="7">
        <v>10</v>
      </c>
      <c r="AZ129" s="7">
        <v>50</v>
      </c>
      <c r="BA129" s="8">
        <f t="shared" si="3"/>
        <v>100</v>
      </c>
      <c r="BB129" s="7">
        <v>20</v>
      </c>
      <c r="BC129" s="7">
        <v>20</v>
      </c>
      <c r="BD129" s="7">
        <v>40</v>
      </c>
      <c r="BE129" s="7">
        <v>20</v>
      </c>
      <c r="BF129" s="8">
        <f t="shared" si="4"/>
        <v>100</v>
      </c>
      <c r="BG129" s="7">
        <v>40</v>
      </c>
      <c r="BH129" s="7">
        <v>40</v>
      </c>
      <c r="BI129" s="7">
        <v>10</v>
      </c>
      <c r="BJ129" s="7">
        <v>10</v>
      </c>
      <c r="BK129" s="8">
        <f t="shared" si="5"/>
        <v>100</v>
      </c>
      <c r="BL129" s="7">
        <v>30</v>
      </c>
      <c r="BM129" s="7">
        <v>40</v>
      </c>
      <c r="BN129" s="7">
        <v>10</v>
      </c>
      <c r="BO129" s="7">
        <v>20</v>
      </c>
      <c r="BP129" s="8">
        <f t="shared" si="6"/>
        <v>100</v>
      </c>
      <c r="BQ129" s="7">
        <v>30</v>
      </c>
      <c r="BR129" s="7">
        <v>20</v>
      </c>
      <c r="BS129" s="7">
        <v>30</v>
      </c>
      <c r="BT129" s="7">
        <v>20</v>
      </c>
      <c r="BU129" s="8">
        <f t="shared" si="7"/>
        <v>100</v>
      </c>
      <c r="BV129" s="7">
        <v>20</v>
      </c>
      <c r="BW129" s="7">
        <v>20</v>
      </c>
      <c r="BX129" s="7">
        <v>30</v>
      </c>
      <c r="BY129" s="7">
        <v>30</v>
      </c>
      <c r="BZ129" s="8">
        <f t="shared" si="8"/>
        <v>100</v>
      </c>
      <c r="CA129" s="7">
        <v>20</v>
      </c>
      <c r="CB129" s="7">
        <v>30</v>
      </c>
      <c r="CC129" s="7">
        <v>30</v>
      </c>
      <c r="CD129" s="7">
        <v>20</v>
      </c>
      <c r="CE129" s="8">
        <f t="shared" si="9"/>
        <v>100</v>
      </c>
      <c r="CF129" s="7">
        <v>20</v>
      </c>
      <c r="CG129" s="7">
        <v>30</v>
      </c>
      <c r="CH129" s="7">
        <v>30</v>
      </c>
      <c r="CI129" s="7">
        <v>20</v>
      </c>
      <c r="CJ129" s="8">
        <f t="shared" si="10"/>
        <v>100</v>
      </c>
      <c r="CK129" s="9">
        <v>4.3499999999999996</v>
      </c>
      <c r="CL129" s="10" t="s">
        <v>98</v>
      </c>
      <c r="CM129" s="25"/>
      <c r="CN129" s="25"/>
      <c r="CO129" s="26"/>
      <c r="CP129">
        <f>Form_Responses1[[#This Row],[Column89]]</f>
        <v>4.3499999999999996</v>
      </c>
      <c r="CQ129">
        <f>IF(Form_Responses1[[#This Row],[Column94]]&gt;0,Form_Responses1[[#This Row],[Column94]],Form_Responses1[[#This Row],[Column91]])</f>
        <v>4.3499999999999996</v>
      </c>
      <c r="CR129">
        <v>4.3499999999999996</v>
      </c>
    </row>
    <row r="130" spans="1:96" ht="15">
      <c r="A130" s="42" t="s">
        <v>241</v>
      </c>
      <c r="B130" s="13"/>
      <c r="C130" s="13" t="s">
        <v>253</v>
      </c>
      <c r="D130" s="13" t="s">
        <v>93</v>
      </c>
      <c r="E130" s="13" t="s">
        <v>94</v>
      </c>
      <c r="F130" s="13" t="s">
        <v>130</v>
      </c>
      <c r="G130" s="41" t="s">
        <v>96</v>
      </c>
      <c r="H130" s="13" t="s">
        <v>102</v>
      </c>
      <c r="I130" s="13">
        <v>4</v>
      </c>
      <c r="J130" s="13">
        <v>4</v>
      </c>
      <c r="K130" s="13">
        <v>4</v>
      </c>
      <c r="L130" s="13">
        <v>4</v>
      </c>
      <c r="M130" s="13">
        <v>4</v>
      </c>
      <c r="N130" s="13">
        <v>4</v>
      </c>
      <c r="O130" s="13">
        <v>4</v>
      </c>
      <c r="P130" s="13">
        <v>4</v>
      </c>
      <c r="Q130" s="13">
        <v>4</v>
      </c>
      <c r="R130" s="13">
        <v>4</v>
      </c>
      <c r="S130" s="13">
        <v>3</v>
      </c>
      <c r="T130" s="13">
        <v>3</v>
      </c>
      <c r="U130" s="13">
        <v>4</v>
      </c>
      <c r="V130" s="13">
        <v>4</v>
      </c>
      <c r="W130" s="13">
        <v>3</v>
      </c>
      <c r="X130" s="13">
        <v>3</v>
      </c>
      <c r="Y130" s="13">
        <v>3</v>
      </c>
      <c r="Z130" s="13">
        <v>4</v>
      </c>
      <c r="AA130" s="13">
        <v>3</v>
      </c>
      <c r="AB130" s="13">
        <v>3</v>
      </c>
      <c r="AC130" s="13">
        <v>70</v>
      </c>
      <c r="AD130" s="13">
        <v>10</v>
      </c>
      <c r="AE130" s="13">
        <v>10</v>
      </c>
      <c r="AF130" s="13">
        <v>10</v>
      </c>
      <c r="AG130" s="8">
        <f t="shared" si="11"/>
        <v>100</v>
      </c>
      <c r="AH130" s="13">
        <v>60</v>
      </c>
      <c r="AI130" s="13">
        <v>20</v>
      </c>
      <c r="AJ130" s="13">
        <v>10</v>
      </c>
      <c r="AK130" s="13">
        <v>10</v>
      </c>
      <c r="AL130" s="8">
        <f t="shared" si="0"/>
        <v>100</v>
      </c>
      <c r="AM130" s="13">
        <v>70</v>
      </c>
      <c r="AN130" s="13">
        <v>10</v>
      </c>
      <c r="AO130" s="13">
        <v>10</v>
      </c>
      <c r="AP130" s="13">
        <v>10</v>
      </c>
      <c r="AQ130" s="8">
        <f t="shared" si="1"/>
        <v>100</v>
      </c>
      <c r="AR130" s="13">
        <v>60</v>
      </c>
      <c r="AS130" s="13">
        <v>20</v>
      </c>
      <c r="AT130" s="13">
        <v>10</v>
      </c>
      <c r="AU130" s="13">
        <v>10</v>
      </c>
      <c r="AV130" s="8">
        <f t="shared" si="2"/>
        <v>100</v>
      </c>
      <c r="AW130" s="13">
        <v>60</v>
      </c>
      <c r="AX130" s="13">
        <v>20</v>
      </c>
      <c r="AY130" s="13">
        <v>10</v>
      </c>
      <c r="AZ130" s="13">
        <v>10</v>
      </c>
      <c r="BA130" s="8">
        <f t="shared" si="3"/>
        <v>100</v>
      </c>
      <c r="BB130" s="13">
        <v>50</v>
      </c>
      <c r="BC130" s="13">
        <v>15</v>
      </c>
      <c r="BD130" s="13">
        <v>15</v>
      </c>
      <c r="BE130" s="13">
        <v>20</v>
      </c>
      <c r="BF130" s="8">
        <f t="shared" si="4"/>
        <v>100</v>
      </c>
      <c r="BG130" s="13">
        <v>50</v>
      </c>
      <c r="BH130" s="13">
        <v>20</v>
      </c>
      <c r="BI130" s="13">
        <v>15</v>
      </c>
      <c r="BJ130" s="13">
        <v>15</v>
      </c>
      <c r="BK130" s="8">
        <f t="shared" si="5"/>
        <v>100</v>
      </c>
      <c r="BL130" s="13">
        <v>40</v>
      </c>
      <c r="BM130" s="13">
        <v>30</v>
      </c>
      <c r="BN130" s="13">
        <v>15</v>
      </c>
      <c r="BO130" s="13">
        <v>15</v>
      </c>
      <c r="BP130" s="8">
        <f t="shared" si="6"/>
        <v>100</v>
      </c>
      <c r="BQ130" s="13">
        <v>50</v>
      </c>
      <c r="BR130" s="13">
        <v>30</v>
      </c>
      <c r="BS130" s="13">
        <v>10</v>
      </c>
      <c r="BT130" s="13">
        <v>10</v>
      </c>
      <c r="BU130" s="8">
        <f t="shared" si="7"/>
        <v>100</v>
      </c>
      <c r="BV130" s="13">
        <v>40</v>
      </c>
      <c r="BW130" s="13">
        <v>30</v>
      </c>
      <c r="BX130" s="13">
        <v>10</v>
      </c>
      <c r="BY130" s="13">
        <v>20</v>
      </c>
      <c r="BZ130" s="8">
        <f t="shared" si="8"/>
        <v>100</v>
      </c>
      <c r="CA130" s="13">
        <v>70</v>
      </c>
      <c r="CB130" s="13">
        <v>10</v>
      </c>
      <c r="CC130" s="13">
        <v>10</v>
      </c>
      <c r="CD130" s="13">
        <v>10</v>
      </c>
      <c r="CE130" s="8">
        <f t="shared" si="9"/>
        <v>100</v>
      </c>
      <c r="CF130" s="13">
        <v>60</v>
      </c>
      <c r="CG130" s="13">
        <v>20</v>
      </c>
      <c r="CH130" s="13">
        <v>10</v>
      </c>
      <c r="CI130" s="13">
        <v>10</v>
      </c>
      <c r="CJ130" s="8">
        <f t="shared" si="10"/>
        <v>100</v>
      </c>
      <c r="CK130" s="14">
        <v>4.55</v>
      </c>
      <c r="CL130" s="19" t="s">
        <v>98</v>
      </c>
      <c r="CM130" s="23"/>
      <c r="CN130" s="23"/>
      <c r="CO130" s="24"/>
      <c r="CP130">
        <f>Form_Responses1[[#This Row],[Column89]]</f>
        <v>4.55</v>
      </c>
      <c r="CQ130">
        <f>IF(Form_Responses1[[#This Row],[Column94]]&gt;0,Form_Responses1[[#This Row],[Column94]],Form_Responses1[[#This Row],[Column91]])</f>
        <v>4.55</v>
      </c>
      <c r="CR130">
        <v>4.55</v>
      </c>
    </row>
    <row r="131" spans="1:96" ht="15">
      <c r="A131" s="40" t="s">
        <v>241</v>
      </c>
      <c r="B131" s="7"/>
      <c r="C131" s="7" t="s">
        <v>254</v>
      </c>
      <c r="D131" s="7" t="s">
        <v>93</v>
      </c>
      <c r="E131" s="7" t="s">
        <v>100</v>
      </c>
      <c r="F131" s="7" t="s">
        <v>101</v>
      </c>
      <c r="G131" s="41" t="s">
        <v>109</v>
      </c>
      <c r="H131" s="7" t="s">
        <v>102</v>
      </c>
      <c r="I131" s="7">
        <v>4</v>
      </c>
      <c r="J131" s="7">
        <v>5</v>
      </c>
      <c r="K131" s="7">
        <v>4</v>
      </c>
      <c r="L131" s="7">
        <v>5</v>
      </c>
      <c r="M131" s="7">
        <v>5</v>
      </c>
      <c r="N131" s="7">
        <v>5</v>
      </c>
      <c r="O131" s="7">
        <v>5</v>
      </c>
      <c r="P131" s="7">
        <v>4</v>
      </c>
      <c r="Q131" s="7">
        <v>4</v>
      </c>
      <c r="R131" s="7">
        <v>4</v>
      </c>
      <c r="S131" s="7">
        <v>5</v>
      </c>
      <c r="T131" s="7">
        <v>4</v>
      </c>
      <c r="U131" s="7">
        <v>4</v>
      </c>
      <c r="V131" s="7">
        <v>4</v>
      </c>
      <c r="W131" s="7">
        <v>5</v>
      </c>
      <c r="X131" s="7">
        <v>4</v>
      </c>
      <c r="Y131" s="7">
        <v>4</v>
      </c>
      <c r="Z131" s="7">
        <v>4</v>
      </c>
      <c r="AA131" s="7">
        <v>4</v>
      </c>
      <c r="AB131" s="7">
        <v>4</v>
      </c>
      <c r="AC131" s="7">
        <v>70</v>
      </c>
      <c r="AD131" s="7">
        <v>10</v>
      </c>
      <c r="AE131" s="7">
        <v>10</v>
      </c>
      <c r="AF131" s="7">
        <v>10</v>
      </c>
      <c r="AG131" s="8">
        <f t="shared" si="11"/>
        <v>100</v>
      </c>
      <c r="AH131" s="7">
        <v>10</v>
      </c>
      <c r="AI131" s="7">
        <v>10</v>
      </c>
      <c r="AJ131" s="7">
        <v>10</v>
      </c>
      <c r="AK131" s="7">
        <v>70</v>
      </c>
      <c r="AL131" s="8">
        <f t="shared" si="0"/>
        <v>100</v>
      </c>
      <c r="AM131" s="7">
        <v>70</v>
      </c>
      <c r="AN131" s="7">
        <v>10</v>
      </c>
      <c r="AO131" s="7">
        <v>10</v>
      </c>
      <c r="AP131" s="7">
        <v>10</v>
      </c>
      <c r="AQ131" s="8">
        <f t="shared" si="1"/>
        <v>100</v>
      </c>
      <c r="AR131" s="7">
        <v>10</v>
      </c>
      <c r="AS131" s="7">
        <v>10</v>
      </c>
      <c r="AT131" s="7">
        <v>10</v>
      </c>
      <c r="AU131" s="7">
        <v>70</v>
      </c>
      <c r="AV131" s="8">
        <f t="shared" si="2"/>
        <v>100</v>
      </c>
      <c r="AW131" s="7">
        <v>10</v>
      </c>
      <c r="AX131" s="7">
        <v>70</v>
      </c>
      <c r="AY131" s="7">
        <v>10</v>
      </c>
      <c r="AZ131" s="7">
        <v>10</v>
      </c>
      <c r="BA131" s="8">
        <f t="shared" si="3"/>
        <v>100</v>
      </c>
      <c r="BB131" s="7">
        <v>70</v>
      </c>
      <c r="BC131" s="7">
        <v>10</v>
      </c>
      <c r="BD131" s="7">
        <v>10</v>
      </c>
      <c r="BE131" s="7">
        <v>10</v>
      </c>
      <c r="BF131" s="8">
        <f t="shared" si="4"/>
        <v>100</v>
      </c>
      <c r="BG131" s="7">
        <v>10</v>
      </c>
      <c r="BH131" s="7">
        <v>70</v>
      </c>
      <c r="BI131" s="7">
        <v>10</v>
      </c>
      <c r="BJ131" s="7">
        <v>10</v>
      </c>
      <c r="BK131" s="8">
        <f t="shared" si="5"/>
        <v>100</v>
      </c>
      <c r="BL131" s="7">
        <v>70</v>
      </c>
      <c r="BM131" s="7">
        <v>10</v>
      </c>
      <c r="BN131" s="7">
        <v>10</v>
      </c>
      <c r="BO131" s="7">
        <v>10</v>
      </c>
      <c r="BP131" s="8">
        <f t="shared" si="6"/>
        <v>100</v>
      </c>
      <c r="BQ131" s="7">
        <v>10</v>
      </c>
      <c r="BR131" s="7">
        <v>70</v>
      </c>
      <c r="BS131" s="7">
        <v>10</v>
      </c>
      <c r="BT131" s="7">
        <v>10</v>
      </c>
      <c r="BU131" s="8">
        <f t="shared" si="7"/>
        <v>100</v>
      </c>
      <c r="BV131" s="7">
        <v>10</v>
      </c>
      <c r="BW131" s="7">
        <v>10</v>
      </c>
      <c r="BX131" s="7">
        <v>70</v>
      </c>
      <c r="BY131" s="7">
        <v>10</v>
      </c>
      <c r="BZ131" s="8">
        <f t="shared" si="8"/>
        <v>100</v>
      </c>
      <c r="CA131" s="7">
        <v>70</v>
      </c>
      <c r="CB131" s="7">
        <v>10</v>
      </c>
      <c r="CC131" s="7">
        <v>10</v>
      </c>
      <c r="CD131" s="7">
        <v>10</v>
      </c>
      <c r="CE131" s="8">
        <f t="shared" si="9"/>
        <v>100</v>
      </c>
      <c r="CF131" s="7">
        <v>10</v>
      </c>
      <c r="CG131" s="7">
        <v>10</v>
      </c>
      <c r="CH131" s="7">
        <v>10</v>
      </c>
      <c r="CI131" s="7">
        <v>70</v>
      </c>
      <c r="CJ131" s="8">
        <f t="shared" si="10"/>
        <v>100</v>
      </c>
      <c r="CK131" s="16">
        <v>4.42</v>
      </c>
      <c r="CL131" s="10" t="s">
        <v>98</v>
      </c>
      <c r="CM131" s="25"/>
      <c r="CN131" s="25"/>
      <c r="CO131" s="26"/>
      <c r="CP131">
        <f>Form_Responses1[[#This Row],[Column89]]</f>
        <v>4.42</v>
      </c>
      <c r="CQ131">
        <f>IF(Form_Responses1[[#This Row],[Column94]]&gt;0,Form_Responses1[[#This Row],[Column94]],Form_Responses1[[#This Row],[Column91]])</f>
        <v>4.42</v>
      </c>
      <c r="CR131">
        <v>4.42</v>
      </c>
    </row>
    <row r="132" spans="1:96" ht="15">
      <c r="A132" s="42" t="s">
        <v>241</v>
      </c>
      <c r="B132" s="13"/>
      <c r="C132" s="13" t="s">
        <v>255</v>
      </c>
      <c r="D132" s="13" t="s">
        <v>107</v>
      </c>
      <c r="E132" s="13" t="s">
        <v>100</v>
      </c>
      <c r="F132" s="13" t="s">
        <v>256</v>
      </c>
      <c r="G132" s="41" t="s">
        <v>109</v>
      </c>
      <c r="H132" s="13" t="s">
        <v>102</v>
      </c>
      <c r="I132" s="13">
        <v>2</v>
      </c>
      <c r="J132" s="13">
        <v>3</v>
      </c>
      <c r="K132" s="13">
        <v>3</v>
      </c>
      <c r="L132" s="13">
        <v>2</v>
      </c>
      <c r="M132" s="13">
        <v>2</v>
      </c>
      <c r="N132" s="13">
        <v>3</v>
      </c>
      <c r="O132" s="13">
        <v>3</v>
      </c>
      <c r="P132" s="13">
        <v>3</v>
      </c>
      <c r="Q132" s="13">
        <v>3</v>
      </c>
      <c r="R132" s="13">
        <v>3</v>
      </c>
      <c r="S132" s="13">
        <v>3</v>
      </c>
      <c r="T132" s="13">
        <v>2</v>
      </c>
      <c r="U132" s="13">
        <v>2</v>
      </c>
      <c r="V132" s="13">
        <v>3</v>
      </c>
      <c r="W132" s="13">
        <v>3</v>
      </c>
      <c r="X132" s="13">
        <v>2</v>
      </c>
      <c r="Y132" s="13">
        <v>2</v>
      </c>
      <c r="Z132" s="13">
        <v>2</v>
      </c>
      <c r="AA132" s="13">
        <v>3</v>
      </c>
      <c r="AB132" s="13">
        <v>2</v>
      </c>
      <c r="AC132" s="13">
        <v>50</v>
      </c>
      <c r="AD132" s="13">
        <v>30</v>
      </c>
      <c r="AE132" s="13">
        <v>10</v>
      </c>
      <c r="AF132" s="13">
        <v>10</v>
      </c>
      <c r="AG132" s="8">
        <f t="shared" si="11"/>
        <v>100</v>
      </c>
      <c r="AH132" s="13">
        <v>50</v>
      </c>
      <c r="AI132" s="13">
        <v>30</v>
      </c>
      <c r="AJ132" s="13">
        <v>10</v>
      </c>
      <c r="AK132" s="13">
        <v>10</v>
      </c>
      <c r="AL132" s="8">
        <f t="shared" si="0"/>
        <v>100</v>
      </c>
      <c r="AM132" s="13">
        <v>70</v>
      </c>
      <c r="AN132" s="13">
        <v>10</v>
      </c>
      <c r="AO132" s="13">
        <v>10</v>
      </c>
      <c r="AP132" s="13">
        <v>10</v>
      </c>
      <c r="AQ132" s="8">
        <f t="shared" si="1"/>
        <v>100</v>
      </c>
      <c r="AR132" s="13">
        <v>50</v>
      </c>
      <c r="AS132" s="13">
        <v>30</v>
      </c>
      <c r="AT132" s="13">
        <v>10</v>
      </c>
      <c r="AU132" s="13">
        <v>10</v>
      </c>
      <c r="AV132" s="8">
        <f t="shared" si="2"/>
        <v>100</v>
      </c>
      <c r="AW132" s="13">
        <v>70</v>
      </c>
      <c r="AX132" s="13">
        <v>10</v>
      </c>
      <c r="AY132" s="13">
        <v>10</v>
      </c>
      <c r="AZ132" s="13">
        <v>10</v>
      </c>
      <c r="BA132" s="8">
        <f t="shared" si="3"/>
        <v>100</v>
      </c>
      <c r="BB132" s="13">
        <v>70</v>
      </c>
      <c r="BC132" s="13">
        <v>10</v>
      </c>
      <c r="BD132" s="13">
        <v>10</v>
      </c>
      <c r="BE132" s="13">
        <v>10</v>
      </c>
      <c r="BF132" s="8">
        <f t="shared" si="4"/>
        <v>100</v>
      </c>
      <c r="BG132" s="13">
        <v>70</v>
      </c>
      <c r="BH132" s="13">
        <v>10</v>
      </c>
      <c r="BI132" s="13">
        <v>10</v>
      </c>
      <c r="BJ132" s="13">
        <v>10</v>
      </c>
      <c r="BK132" s="8">
        <f t="shared" si="5"/>
        <v>100</v>
      </c>
      <c r="BL132" s="13">
        <v>70</v>
      </c>
      <c r="BM132" s="13">
        <v>10</v>
      </c>
      <c r="BN132" s="13">
        <v>10</v>
      </c>
      <c r="BO132" s="13">
        <v>10</v>
      </c>
      <c r="BP132" s="8">
        <f t="shared" si="6"/>
        <v>100</v>
      </c>
      <c r="BQ132" s="13">
        <v>70</v>
      </c>
      <c r="BR132" s="13">
        <v>10</v>
      </c>
      <c r="BS132" s="13">
        <v>10</v>
      </c>
      <c r="BT132" s="13">
        <v>10</v>
      </c>
      <c r="BU132" s="8">
        <f t="shared" si="7"/>
        <v>100</v>
      </c>
      <c r="BV132" s="13">
        <v>50</v>
      </c>
      <c r="BW132" s="13">
        <v>30</v>
      </c>
      <c r="BX132" s="13">
        <v>10</v>
      </c>
      <c r="BY132" s="13">
        <v>10</v>
      </c>
      <c r="BZ132" s="8">
        <f t="shared" si="8"/>
        <v>100</v>
      </c>
      <c r="CA132" s="13">
        <v>60</v>
      </c>
      <c r="CB132" s="13">
        <v>20</v>
      </c>
      <c r="CC132" s="13">
        <v>10</v>
      </c>
      <c r="CD132" s="13">
        <v>10</v>
      </c>
      <c r="CE132" s="8">
        <f t="shared" si="9"/>
        <v>100</v>
      </c>
      <c r="CF132" s="13">
        <v>40</v>
      </c>
      <c r="CG132" s="13">
        <v>20</v>
      </c>
      <c r="CH132" s="13">
        <v>20</v>
      </c>
      <c r="CI132" s="13">
        <v>20</v>
      </c>
      <c r="CJ132" s="8">
        <f t="shared" si="10"/>
        <v>100</v>
      </c>
      <c r="CK132" s="18">
        <v>3.88</v>
      </c>
      <c r="CL132" s="18" t="s">
        <v>117</v>
      </c>
      <c r="CM132" s="23"/>
      <c r="CN132" s="23"/>
      <c r="CO132" s="24"/>
      <c r="CP132">
        <f>Form_Responses1[[#This Row],[Column89]]</f>
        <v>3.88</v>
      </c>
      <c r="CQ132">
        <f>IF(Form_Responses1[[#This Row],[Column94]]&gt;0,Form_Responses1[[#This Row],[Column94]],Form_Responses1[[#This Row],[Column91]])</f>
        <v>3.88</v>
      </c>
      <c r="CR132">
        <v>3.88</v>
      </c>
    </row>
    <row r="133" spans="1:96" ht="15">
      <c r="A133" s="40" t="s">
        <v>241</v>
      </c>
      <c r="B133" s="7"/>
      <c r="C133" s="7" t="s">
        <v>257</v>
      </c>
      <c r="D133" s="7" t="s">
        <v>93</v>
      </c>
      <c r="E133" s="7" t="s">
        <v>94</v>
      </c>
      <c r="F133" s="7" t="s">
        <v>130</v>
      </c>
      <c r="G133" s="41" t="s">
        <v>96</v>
      </c>
      <c r="H133" s="7" t="s">
        <v>102</v>
      </c>
      <c r="I133" s="7">
        <v>2</v>
      </c>
      <c r="J133" s="7">
        <v>3</v>
      </c>
      <c r="K133" s="7">
        <v>4</v>
      </c>
      <c r="L133" s="7">
        <v>4</v>
      </c>
      <c r="M133" s="7">
        <v>3</v>
      </c>
      <c r="N133" s="7">
        <v>4</v>
      </c>
      <c r="O133" s="7">
        <v>3</v>
      </c>
      <c r="P133" s="7">
        <v>4</v>
      </c>
      <c r="Q133" s="7">
        <v>4</v>
      </c>
      <c r="R133" s="7">
        <v>3</v>
      </c>
      <c r="S133" s="7">
        <v>2</v>
      </c>
      <c r="T133" s="7">
        <v>2</v>
      </c>
      <c r="U133" s="7">
        <v>2</v>
      </c>
      <c r="V133" s="7">
        <v>4</v>
      </c>
      <c r="W133" s="7">
        <v>3</v>
      </c>
      <c r="X133" s="7">
        <v>2</v>
      </c>
      <c r="Y133" s="7">
        <v>3</v>
      </c>
      <c r="Z133" s="7">
        <v>2</v>
      </c>
      <c r="AA133" s="7">
        <v>2</v>
      </c>
      <c r="AB133" s="7">
        <v>3</v>
      </c>
      <c r="AC133" s="7">
        <v>10</v>
      </c>
      <c r="AD133" s="7">
        <v>10</v>
      </c>
      <c r="AE133" s="7">
        <v>40</v>
      </c>
      <c r="AF133" s="7">
        <v>40</v>
      </c>
      <c r="AG133" s="8">
        <f t="shared" si="11"/>
        <v>100</v>
      </c>
      <c r="AH133" s="7">
        <v>20</v>
      </c>
      <c r="AI133" s="7">
        <v>20</v>
      </c>
      <c r="AJ133" s="7">
        <v>40</v>
      </c>
      <c r="AK133" s="7">
        <v>20</v>
      </c>
      <c r="AL133" s="8">
        <f t="shared" si="0"/>
        <v>100</v>
      </c>
      <c r="AM133" s="7">
        <v>40</v>
      </c>
      <c r="AN133" s="7">
        <v>20</v>
      </c>
      <c r="AO133" s="7">
        <v>20</v>
      </c>
      <c r="AP133" s="7">
        <v>20</v>
      </c>
      <c r="AQ133" s="8">
        <f t="shared" si="1"/>
        <v>100</v>
      </c>
      <c r="AR133" s="7">
        <v>20</v>
      </c>
      <c r="AS133" s="7">
        <v>20</v>
      </c>
      <c r="AT133" s="7">
        <v>30</v>
      </c>
      <c r="AU133" s="7">
        <v>30</v>
      </c>
      <c r="AV133" s="8">
        <f t="shared" si="2"/>
        <v>100</v>
      </c>
      <c r="AW133" s="7">
        <v>20</v>
      </c>
      <c r="AX133" s="7">
        <v>20</v>
      </c>
      <c r="AY133" s="7">
        <v>20</v>
      </c>
      <c r="AZ133" s="7">
        <v>40</v>
      </c>
      <c r="BA133" s="8">
        <f t="shared" si="3"/>
        <v>100</v>
      </c>
      <c r="BB133" s="7">
        <v>20</v>
      </c>
      <c r="BC133" s="7">
        <v>20</v>
      </c>
      <c r="BD133" s="7">
        <v>30</v>
      </c>
      <c r="BE133" s="7">
        <v>30</v>
      </c>
      <c r="BF133" s="8">
        <f t="shared" si="4"/>
        <v>100</v>
      </c>
      <c r="BG133" s="7">
        <v>20</v>
      </c>
      <c r="BH133" s="7">
        <v>20</v>
      </c>
      <c r="BI133" s="7">
        <v>20</v>
      </c>
      <c r="BJ133" s="7">
        <v>40</v>
      </c>
      <c r="BK133" s="8">
        <f t="shared" si="5"/>
        <v>100</v>
      </c>
      <c r="BL133" s="7">
        <v>30</v>
      </c>
      <c r="BM133" s="7">
        <v>30</v>
      </c>
      <c r="BN133" s="7">
        <v>20</v>
      </c>
      <c r="BO133" s="7">
        <v>20</v>
      </c>
      <c r="BP133" s="8">
        <f t="shared" si="6"/>
        <v>100</v>
      </c>
      <c r="BQ133" s="7">
        <v>20</v>
      </c>
      <c r="BR133" s="7">
        <v>20</v>
      </c>
      <c r="BS133" s="7">
        <v>20</v>
      </c>
      <c r="BT133" s="7">
        <v>40</v>
      </c>
      <c r="BU133" s="8">
        <f t="shared" si="7"/>
        <v>100</v>
      </c>
      <c r="BV133" s="7">
        <v>40</v>
      </c>
      <c r="BW133" s="7">
        <v>20</v>
      </c>
      <c r="BX133" s="7">
        <v>20</v>
      </c>
      <c r="BY133" s="7">
        <v>20</v>
      </c>
      <c r="BZ133" s="8">
        <f t="shared" si="8"/>
        <v>100</v>
      </c>
      <c r="CA133" s="7">
        <v>40</v>
      </c>
      <c r="CB133" s="7">
        <v>20</v>
      </c>
      <c r="CC133" s="7">
        <v>20</v>
      </c>
      <c r="CD133" s="7">
        <v>20</v>
      </c>
      <c r="CE133" s="8">
        <f t="shared" si="9"/>
        <v>100</v>
      </c>
      <c r="CF133" s="7">
        <v>30</v>
      </c>
      <c r="CG133" s="7">
        <v>30</v>
      </c>
      <c r="CH133" s="7">
        <v>20</v>
      </c>
      <c r="CI133" s="7">
        <v>20</v>
      </c>
      <c r="CJ133" s="8">
        <f t="shared" si="10"/>
        <v>100</v>
      </c>
      <c r="CK133" s="9">
        <v>4.07</v>
      </c>
      <c r="CL133" s="9" t="s">
        <v>98</v>
      </c>
      <c r="CM133" s="25"/>
      <c r="CN133" s="25"/>
      <c r="CO133" s="26"/>
      <c r="CP133">
        <f>Form_Responses1[[#This Row],[Column89]]</f>
        <v>4.07</v>
      </c>
      <c r="CQ133">
        <f>IF(Form_Responses1[[#This Row],[Column94]]&gt;0,Form_Responses1[[#This Row],[Column94]],Form_Responses1[[#This Row],[Column91]])</f>
        <v>4.07</v>
      </c>
      <c r="CR133">
        <v>4.07</v>
      </c>
    </row>
    <row r="134" spans="1:96" ht="12.75">
      <c r="A134" s="12"/>
      <c r="B134" s="13"/>
      <c r="C134" s="13"/>
      <c r="D134" s="13"/>
      <c r="E134" s="13"/>
      <c r="F134" s="13"/>
      <c r="G134" s="41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8"/>
      <c r="AH134" s="13"/>
      <c r="AI134" s="13"/>
      <c r="AJ134" s="13"/>
      <c r="AK134" s="13"/>
      <c r="AL134" s="8"/>
      <c r="AM134" s="13"/>
      <c r="AN134" s="13"/>
      <c r="AO134" s="13"/>
      <c r="AP134" s="13"/>
      <c r="AQ134" s="8"/>
      <c r="AR134" s="13"/>
      <c r="AS134" s="13"/>
      <c r="AT134" s="13"/>
      <c r="AU134" s="13"/>
      <c r="AV134" s="8">
        <f t="shared" si="2"/>
        <v>0</v>
      </c>
      <c r="AW134" s="13"/>
      <c r="AX134" s="13"/>
      <c r="AY134" s="13"/>
      <c r="AZ134" s="13"/>
      <c r="BA134" s="8">
        <f t="shared" si="3"/>
        <v>0</v>
      </c>
      <c r="BB134" s="13"/>
      <c r="BC134" s="13"/>
      <c r="BD134" s="13"/>
      <c r="BE134" s="13"/>
      <c r="BF134" s="8">
        <f t="shared" si="4"/>
        <v>0</v>
      </c>
      <c r="BG134" s="13"/>
      <c r="BH134" s="13"/>
      <c r="BI134" s="13"/>
      <c r="BJ134" s="13"/>
      <c r="BK134" s="8">
        <f t="shared" si="5"/>
        <v>0</v>
      </c>
      <c r="BL134" s="13"/>
      <c r="BM134" s="13"/>
      <c r="BN134" s="13"/>
      <c r="BO134" s="13"/>
      <c r="BP134" s="8">
        <f t="shared" si="6"/>
        <v>0</v>
      </c>
      <c r="BQ134" s="13"/>
      <c r="BR134" s="13"/>
      <c r="BS134" s="13"/>
      <c r="BT134" s="13"/>
      <c r="BU134" s="8">
        <f t="shared" si="7"/>
        <v>0</v>
      </c>
      <c r="BV134" s="13"/>
      <c r="BW134" s="13"/>
      <c r="BX134" s="13"/>
      <c r="BY134" s="13"/>
      <c r="BZ134" s="8">
        <f t="shared" si="8"/>
        <v>0</v>
      </c>
      <c r="CA134" s="13"/>
      <c r="CB134" s="13"/>
      <c r="CC134" s="13"/>
      <c r="CD134" s="13"/>
      <c r="CE134" s="8">
        <f t="shared" si="9"/>
        <v>0</v>
      </c>
      <c r="CF134" s="13"/>
      <c r="CG134" s="13"/>
      <c r="CH134" s="13"/>
      <c r="CI134" s="13"/>
      <c r="CJ134" s="8">
        <f t="shared" si="10"/>
        <v>0</v>
      </c>
      <c r="CK134" s="23"/>
      <c r="CL134" s="23"/>
      <c r="CM134" s="23"/>
      <c r="CN134" s="23"/>
      <c r="CO134" s="24"/>
      <c r="CP134">
        <f>Form_Responses1[[#This Row],[Column89]]</f>
        <v>0</v>
      </c>
      <c r="CQ134">
        <f>IF(Form_Responses1[[#This Row],[Column94]]&gt;0,Form_Responses1[[#This Row],[Column94]],Form_Responses1[[#This Row],[Column91]])</f>
        <v>0</v>
      </c>
    </row>
    <row r="135" spans="1:96" ht="12.75">
      <c r="A135" s="6"/>
      <c r="B135" s="7"/>
      <c r="C135" s="7"/>
      <c r="D135" s="7"/>
      <c r="E135" s="7"/>
      <c r="F135" s="7"/>
      <c r="G135" s="4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8"/>
      <c r="AH135" s="7"/>
      <c r="AI135" s="7"/>
      <c r="AJ135" s="7"/>
      <c r="AK135" s="7"/>
      <c r="AL135" s="8"/>
      <c r="AM135" s="7"/>
      <c r="AN135" s="7"/>
      <c r="AO135" s="7"/>
      <c r="AP135" s="7"/>
      <c r="AQ135" s="8"/>
      <c r="AR135" s="7"/>
      <c r="AS135" s="7"/>
      <c r="AT135" s="7"/>
      <c r="AU135" s="7"/>
      <c r="AV135" s="8">
        <f t="shared" si="2"/>
        <v>0</v>
      </c>
      <c r="AW135" s="7"/>
      <c r="AX135" s="7"/>
      <c r="AY135" s="7"/>
      <c r="AZ135" s="7"/>
      <c r="BA135" s="8">
        <f t="shared" si="3"/>
        <v>0</v>
      </c>
      <c r="BB135" s="7"/>
      <c r="BC135" s="7"/>
      <c r="BD135" s="7"/>
      <c r="BE135" s="7"/>
      <c r="BF135" s="8">
        <f t="shared" si="4"/>
        <v>0</v>
      </c>
      <c r="BG135" s="7"/>
      <c r="BH135" s="7"/>
      <c r="BI135" s="7"/>
      <c r="BJ135" s="7"/>
      <c r="BK135" s="8">
        <f t="shared" si="5"/>
        <v>0</v>
      </c>
      <c r="BL135" s="7"/>
      <c r="BM135" s="7"/>
      <c r="BN135" s="7"/>
      <c r="BO135" s="7"/>
      <c r="BP135" s="8">
        <f t="shared" si="6"/>
        <v>0</v>
      </c>
      <c r="BQ135" s="7"/>
      <c r="BR135" s="7"/>
      <c r="BS135" s="7"/>
      <c r="BT135" s="7"/>
      <c r="BU135" s="8">
        <f t="shared" si="7"/>
        <v>0</v>
      </c>
      <c r="BV135" s="7"/>
      <c r="BW135" s="7"/>
      <c r="BX135" s="7"/>
      <c r="BY135" s="7"/>
      <c r="BZ135" s="8">
        <f t="shared" si="8"/>
        <v>0</v>
      </c>
      <c r="CA135" s="7"/>
      <c r="CB135" s="7"/>
      <c r="CC135" s="7"/>
      <c r="CD135" s="7"/>
      <c r="CE135" s="8">
        <f t="shared" si="9"/>
        <v>0</v>
      </c>
      <c r="CF135" s="7"/>
      <c r="CG135" s="7"/>
      <c r="CH135" s="7"/>
      <c r="CI135" s="7"/>
      <c r="CJ135" s="8">
        <f t="shared" si="10"/>
        <v>0</v>
      </c>
      <c r="CK135" s="25"/>
      <c r="CL135" s="25"/>
      <c r="CM135" s="25"/>
      <c r="CN135" s="25"/>
      <c r="CO135" s="26"/>
      <c r="CP135">
        <f>Form_Responses1[[#This Row],[Column89]]</f>
        <v>0</v>
      </c>
      <c r="CQ135">
        <f>IF(Form_Responses1[[#This Row],[Column94]]&gt;0,Form_Responses1[[#This Row],[Column94]],Form_Responses1[[#This Row],[Column91]])</f>
        <v>0</v>
      </c>
    </row>
    <row r="136" spans="1:96" ht="12.75">
      <c r="A136" s="12"/>
      <c r="B136" s="13"/>
      <c r="C136" s="13"/>
      <c r="D136" s="13"/>
      <c r="E136" s="13"/>
      <c r="F136" s="13"/>
      <c r="G136" s="41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8"/>
      <c r="AH136" s="13"/>
      <c r="AI136" s="13"/>
      <c r="AJ136" s="13"/>
      <c r="AK136" s="13"/>
      <c r="AL136" s="8"/>
      <c r="AM136" s="13"/>
      <c r="AN136" s="13"/>
      <c r="AO136" s="13"/>
      <c r="AP136" s="13"/>
      <c r="AQ136" s="8"/>
      <c r="AR136" s="13"/>
      <c r="AS136" s="13"/>
      <c r="AT136" s="13"/>
      <c r="AU136" s="13"/>
      <c r="AV136" s="8">
        <f t="shared" si="2"/>
        <v>0</v>
      </c>
      <c r="AW136" s="13"/>
      <c r="AX136" s="13"/>
      <c r="AY136" s="13"/>
      <c r="AZ136" s="13"/>
      <c r="BA136" s="8">
        <f t="shared" si="3"/>
        <v>0</v>
      </c>
      <c r="BB136" s="13"/>
      <c r="BC136" s="13"/>
      <c r="BD136" s="13"/>
      <c r="BE136" s="13"/>
      <c r="BF136" s="8">
        <f t="shared" si="4"/>
        <v>0</v>
      </c>
      <c r="BG136" s="13"/>
      <c r="BH136" s="13"/>
      <c r="BI136" s="13"/>
      <c r="BJ136" s="13"/>
      <c r="BK136" s="8">
        <f t="shared" si="5"/>
        <v>0</v>
      </c>
      <c r="BL136" s="13"/>
      <c r="BM136" s="13"/>
      <c r="BN136" s="13"/>
      <c r="BO136" s="13"/>
      <c r="BP136" s="8">
        <f t="shared" si="6"/>
        <v>0</v>
      </c>
      <c r="BQ136" s="13"/>
      <c r="BR136" s="13"/>
      <c r="BS136" s="13"/>
      <c r="BT136" s="13"/>
      <c r="BU136" s="8">
        <f t="shared" si="7"/>
        <v>0</v>
      </c>
      <c r="BV136" s="13"/>
      <c r="BW136" s="13"/>
      <c r="BX136" s="13"/>
      <c r="BY136" s="13"/>
      <c r="BZ136" s="8">
        <f t="shared" si="8"/>
        <v>0</v>
      </c>
      <c r="CA136" s="13"/>
      <c r="CB136" s="13"/>
      <c r="CC136" s="13"/>
      <c r="CD136" s="13"/>
      <c r="CE136" s="8">
        <f t="shared" si="9"/>
        <v>0</v>
      </c>
      <c r="CF136" s="13"/>
      <c r="CG136" s="13"/>
      <c r="CH136" s="13"/>
      <c r="CI136" s="13"/>
      <c r="CJ136" s="8">
        <f t="shared" si="10"/>
        <v>0</v>
      </c>
      <c r="CK136" s="23"/>
      <c r="CL136" s="23"/>
      <c r="CM136" s="23"/>
      <c r="CN136" s="23"/>
      <c r="CO136" s="24"/>
      <c r="CP136">
        <f>Form_Responses1[[#This Row],[Column89]]</f>
        <v>0</v>
      </c>
      <c r="CQ136">
        <f>IF(Form_Responses1[[#This Row],[Column94]]&gt;0,Form_Responses1[[#This Row],[Column94]],Form_Responses1[[#This Row],[Column91]])</f>
        <v>0</v>
      </c>
    </row>
    <row r="137" spans="1:96" ht="12.75">
      <c r="A137" s="6"/>
      <c r="B137" s="7"/>
      <c r="C137" s="7"/>
      <c r="D137" s="7"/>
      <c r="E137" s="7"/>
      <c r="F137" s="7"/>
      <c r="G137" s="4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8"/>
      <c r="AH137" s="7"/>
      <c r="AI137" s="7"/>
      <c r="AJ137" s="7"/>
      <c r="AK137" s="7"/>
      <c r="AL137" s="8"/>
      <c r="AM137" s="7"/>
      <c r="AN137" s="7"/>
      <c r="AO137" s="7"/>
      <c r="AP137" s="7"/>
      <c r="AQ137" s="8"/>
      <c r="AR137" s="7"/>
      <c r="AS137" s="7"/>
      <c r="AT137" s="7"/>
      <c r="AU137" s="7"/>
      <c r="AV137" s="8">
        <f t="shared" si="2"/>
        <v>0</v>
      </c>
      <c r="AW137" s="7"/>
      <c r="AX137" s="7"/>
      <c r="AY137" s="7"/>
      <c r="AZ137" s="7"/>
      <c r="BA137" s="8">
        <f t="shared" si="3"/>
        <v>0</v>
      </c>
      <c r="BB137" s="7"/>
      <c r="BC137" s="7"/>
      <c r="BD137" s="7"/>
      <c r="BE137" s="7"/>
      <c r="BF137" s="8">
        <f t="shared" si="4"/>
        <v>0</v>
      </c>
      <c r="BG137" s="7"/>
      <c r="BH137" s="7"/>
      <c r="BI137" s="7"/>
      <c r="BJ137" s="7"/>
      <c r="BK137" s="8">
        <f t="shared" si="5"/>
        <v>0</v>
      </c>
      <c r="BL137" s="7"/>
      <c r="BM137" s="7"/>
      <c r="BN137" s="7"/>
      <c r="BO137" s="7"/>
      <c r="BP137" s="8">
        <f t="shared" si="6"/>
        <v>0</v>
      </c>
      <c r="BQ137" s="7"/>
      <c r="BR137" s="7"/>
      <c r="BS137" s="7"/>
      <c r="BT137" s="7"/>
      <c r="BU137" s="8">
        <f t="shared" si="7"/>
        <v>0</v>
      </c>
      <c r="BV137" s="7"/>
      <c r="BW137" s="7"/>
      <c r="BX137" s="7"/>
      <c r="BY137" s="7"/>
      <c r="BZ137" s="8">
        <f t="shared" si="8"/>
        <v>0</v>
      </c>
      <c r="CA137" s="7"/>
      <c r="CB137" s="7"/>
      <c r="CC137" s="7"/>
      <c r="CD137" s="7"/>
      <c r="CE137" s="8">
        <f t="shared" si="9"/>
        <v>0</v>
      </c>
      <c r="CF137" s="7"/>
      <c r="CG137" s="7"/>
      <c r="CH137" s="7"/>
      <c r="CI137" s="7"/>
      <c r="CJ137" s="8">
        <f t="shared" si="10"/>
        <v>0</v>
      </c>
      <c r="CK137" s="25"/>
      <c r="CL137" s="25"/>
      <c r="CM137" s="25"/>
      <c r="CN137" s="25"/>
      <c r="CO137" s="26"/>
      <c r="CP137">
        <f>Form_Responses1[[#This Row],[Column89]]</f>
        <v>0</v>
      </c>
      <c r="CQ137">
        <f>IF(Form_Responses1[[#This Row],[Column94]]&gt;0,Form_Responses1[[#This Row],[Column94]],Form_Responses1[[#This Row],[Column91]])</f>
        <v>0</v>
      </c>
    </row>
    <row r="138" spans="1:96" ht="12.75">
      <c r="A138" s="12"/>
      <c r="B138" s="13"/>
      <c r="C138" s="13"/>
      <c r="D138" s="13"/>
      <c r="E138" s="13"/>
      <c r="F138" s="13"/>
      <c r="G138" s="4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8"/>
      <c r="AH138" s="13"/>
      <c r="AI138" s="13"/>
      <c r="AJ138" s="13"/>
      <c r="AK138" s="13"/>
      <c r="AL138" s="8"/>
      <c r="AM138" s="13"/>
      <c r="AN138" s="13"/>
      <c r="AO138" s="13"/>
      <c r="AP138" s="13"/>
      <c r="AQ138" s="8"/>
      <c r="AR138" s="13"/>
      <c r="AS138" s="13"/>
      <c r="AT138" s="13"/>
      <c r="AU138" s="13"/>
      <c r="AV138" s="8">
        <f t="shared" si="2"/>
        <v>0</v>
      </c>
      <c r="AW138" s="13"/>
      <c r="AX138" s="13"/>
      <c r="AY138" s="13"/>
      <c r="AZ138" s="13"/>
      <c r="BA138" s="8">
        <f t="shared" si="3"/>
        <v>0</v>
      </c>
      <c r="BB138" s="13"/>
      <c r="BC138" s="13"/>
      <c r="BD138" s="13"/>
      <c r="BE138" s="13"/>
      <c r="BF138" s="8">
        <f t="shared" si="4"/>
        <v>0</v>
      </c>
      <c r="BG138" s="13"/>
      <c r="BH138" s="13"/>
      <c r="BI138" s="13"/>
      <c r="BJ138" s="13"/>
      <c r="BK138" s="8">
        <f t="shared" si="5"/>
        <v>0</v>
      </c>
      <c r="BL138" s="13"/>
      <c r="BM138" s="13"/>
      <c r="BN138" s="13"/>
      <c r="BO138" s="13"/>
      <c r="BP138" s="8">
        <f t="shared" si="6"/>
        <v>0</v>
      </c>
      <c r="BQ138" s="13"/>
      <c r="BR138" s="13"/>
      <c r="BS138" s="13"/>
      <c r="BT138" s="13"/>
      <c r="BU138" s="8">
        <f t="shared" si="7"/>
        <v>0</v>
      </c>
      <c r="BV138" s="13"/>
      <c r="BW138" s="13"/>
      <c r="BX138" s="13"/>
      <c r="BY138" s="13"/>
      <c r="BZ138" s="8">
        <f t="shared" si="8"/>
        <v>0</v>
      </c>
      <c r="CA138" s="13"/>
      <c r="CB138" s="13"/>
      <c r="CC138" s="13"/>
      <c r="CD138" s="13"/>
      <c r="CE138" s="8">
        <f t="shared" si="9"/>
        <v>0</v>
      </c>
      <c r="CF138" s="13"/>
      <c r="CG138" s="13"/>
      <c r="CH138" s="13"/>
      <c r="CI138" s="13"/>
      <c r="CJ138" s="8">
        <f t="shared" si="10"/>
        <v>0</v>
      </c>
      <c r="CK138" s="23"/>
      <c r="CL138" s="23"/>
      <c r="CM138" s="23"/>
      <c r="CN138" s="23"/>
      <c r="CO138" s="24"/>
      <c r="CP138">
        <f>Form_Responses1[[#This Row],[Column89]]</f>
        <v>0</v>
      </c>
      <c r="CQ138">
        <f>IF(Form_Responses1[[#This Row],[Column94]]&gt;0,Form_Responses1[[#This Row],[Column94]],Form_Responses1[[#This Row],[Column91]])</f>
        <v>0</v>
      </c>
    </row>
    <row r="139" spans="1:96" ht="12.75">
      <c r="A139" s="6"/>
      <c r="B139" s="7"/>
      <c r="C139" s="7"/>
      <c r="D139" s="7"/>
      <c r="E139" s="7"/>
      <c r="F139" s="7"/>
      <c r="G139" s="4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8"/>
      <c r="AH139" s="7"/>
      <c r="AI139" s="7"/>
      <c r="AJ139" s="7"/>
      <c r="AK139" s="7"/>
      <c r="AL139" s="8"/>
      <c r="AM139" s="7"/>
      <c r="AN139" s="7"/>
      <c r="AO139" s="7"/>
      <c r="AP139" s="7"/>
      <c r="AQ139" s="8"/>
      <c r="AR139" s="7"/>
      <c r="AS139" s="7"/>
      <c r="AT139" s="7"/>
      <c r="AU139" s="7"/>
      <c r="AV139" s="8">
        <f t="shared" si="2"/>
        <v>0</v>
      </c>
      <c r="AW139" s="7"/>
      <c r="AX139" s="7"/>
      <c r="AY139" s="7"/>
      <c r="AZ139" s="7"/>
      <c r="BA139" s="8">
        <f t="shared" si="3"/>
        <v>0</v>
      </c>
      <c r="BB139" s="7"/>
      <c r="BC139" s="7"/>
      <c r="BD139" s="7"/>
      <c r="BE139" s="7"/>
      <c r="BF139" s="8">
        <f t="shared" si="4"/>
        <v>0</v>
      </c>
      <c r="BG139" s="7"/>
      <c r="BH139" s="7"/>
      <c r="BI139" s="7"/>
      <c r="BJ139" s="7"/>
      <c r="BK139" s="8">
        <f t="shared" si="5"/>
        <v>0</v>
      </c>
      <c r="BL139" s="7"/>
      <c r="BM139" s="7"/>
      <c r="BN139" s="7"/>
      <c r="BO139" s="7"/>
      <c r="BP139" s="8">
        <f t="shared" si="6"/>
        <v>0</v>
      </c>
      <c r="BQ139" s="7"/>
      <c r="BR139" s="7"/>
      <c r="BS139" s="7"/>
      <c r="BT139" s="7"/>
      <c r="BU139" s="8">
        <f t="shared" si="7"/>
        <v>0</v>
      </c>
      <c r="BV139" s="7"/>
      <c r="BW139" s="7"/>
      <c r="BX139" s="7"/>
      <c r="BY139" s="7"/>
      <c r="BZ139" s="8">
        <f t="shared" si="8"/>
        <v>0</v>
      </c>
      <c r="CA139" s="7"/>
      <c r="CB139" s="7"/>
      <c r="CC139" s="7"/>
      <c r="CD139" s="7"/>
      <c r="CE139" s="8">
        <f t="shared" si="9"/>
        <v>0</v>
      </c>
      <c r="CF139" s="7"/>
      <c r="CG139" s="7"/>
      <c r="CH139" s="7"/>
      <c r="CI139" s="7"/>
      <c r="CJ139" s="8">
        <f t="shared" si="10"/>
        <v>0</v>
      </c>
      <c r="CK139" s="25"/>
      <c r="CL139" s="25"/>
      <c r="CM139" s="25"/>
      <c r="CN139" s="25"/>
      <c r="CO139" s="26"/>
      <c r="CP139">
        <f>Form_Responses1[[#This Row],[Column89]]</f>
        <v>0</v>
      </c>
      <c r="CQ139">
        <f>IF(Form_Responses1[[#This Row],[Column94]]&gt;0,Form_Responses1[[#This Row],[Column94]],Form_Responses1[[#This Row],[Column91]])</f>
        <v>0</v>
      </c>
    </row>
    <row r="140" spans="1:96" ht="12.75">
      <c r="A140" s="12"/>
      <c r="B140" s="13"/>
      <c r="C140" s="13"/>
      <c r="D140" s="13"/>
      <c r="E140" s="13"/>
      <c r="F140" s="13"/>
      <c r="G140" s="4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8"/>
      <c r="AH140" s="13"/>
      <c r="AI140" s="13"/>
      <c r="AJ140" s="13"/>
      <c r="AK140" s="13"/>
      <c r="AL140" s="8"/>
      <c r="AM140" s="13"/>
      <c r="AN140" s="13"/>
      <c r="AO140" s="13"/>
      <c r="AP140" s="13"/>
      <c r="AQ140" s="8"/>
      <c r="AR140" s="13"/>
      <c r="AS140" s="13"/>
      <c r="AT140" s="13"/>
      <c r="AU140" s="13"/>
      <c r="AV140" s="8">
        <f t="shared" si="2"/>
        <v>0</v>
      </c>
      <c r="AW140" s="13"/>
      <c r="AX140" s="13"/>
      <c r="AY140" s="13"/>
      <c r="AZ140" s="13"/>
      <c r="BA140" s="8">
        <f t="shared" si="3"/>
        <v>0</v>
      </c>
      <c r="BB140" s="13"/>
      <c r="BC140" s="13"/>
      <c r="BD140" s="13"/>
      <c r="BE140" s="13"/>
      <c r="BF140" s="8">
        <f t="shared" si="4"/>
        <v>0</v>
      </c>
      <c r="BG140" s="13"/>
      <c r="BH140" s="13"/>
      <c r="BI140" s="13"/>
      <c r="BJ140" s="13"/>
      <c r="BK140" s="8">
        <f t="shared" si="5"/>
        <v>0</v>
      </c>
      <c r="BL140" s="13"/>
      <c r="BM140" s="13"/>
      <c r="BN140" s="13"/>
      <c r="BO140" s="13"/>
      <c r="BP140" s="8">
        <f t="shared" si="6"/>
        <v>0</v>
      </c>
      <c r="BQ140" s="13"/>
      <c r="BR140" s="13"/>
      <c r="BS140" s="13"/>
      <c r="BT140" s="13"/>
      <c r="BU140" s="8">
        <f t="shared" si="7"/>
        <v>0</v>
      </c>
      <c r="BV140" s="13"/>
      <c r="BW140" s="13"/>
      <c r="BX140" s="13"/>
      <c r="BY140" s="13"/>
      <c r="BZ140" s="8">
        <f t="shared" si="8"/>
        <v>0</v>
      </c>
      <c r="CA140" s="13"/>
      <c r="CB140" s="13"/>
      <c r="CC140" s="13"/>
      <c r="CD140" s="13"/>
      <c r="CE140" s="8">
        <f t="shared" si="9"/>
        <v>0</v>
      </c>
      <c r="CF140" s="13"/>
      <c r="CG140" s="13"/>
      <c r="CH140" s="13"/>
      <c r="CI140" s="13"/>
      <c r="CJ140" s="8">
        <f t="shared" si="10"/>
        <v>0</v>
      </c>
      <c r="CK140" s="23"/>
      <c r="CL140" s="23"/>
      <c r="CM140" s="23"/>
      <c r="CN140" s="23"/>
      <c r="CO140" s="24"/>
      <c r="CP140">
        <f>Form_Responses1[[#This Row],[Column89]]</f>
        <v>0</v>
      </c>
      <c r="CQ140">
        <f>IF(Form_Responses1[[#This Row],[Column94]]&gt;0,Form_Responses1[[#This Row],[Column94]],Form_Responses1[[#This Row],[Column91]])</f>
        <v>0</v>
      </c>
    </row>
    <row r="141" spans="1:96" ht="12.75">
      <c r="A141" s="6"/>
      <c r="B141" s="7"/>
      <c r="C141" s="7"/>
      <c r="D141" s="7"/>
      <c r="E141" s="7"/>
      <c r="F141" s="7"/>
      <c r="G141" s="4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8"/>
      <c r="AH141" s="7"/>
      <c r="AI141" s="7"/>
      <c r="AJ141" s="7"/>
      <c r="AK141" s="7"/>
      <c r="AL141" s="8"/>
      <c r="AM141" s="7"/>
      <c r="AN141" s="7"/>
      <c r="AO141" s="7"/>
      <c r="AP141" s="7"/>
      <c r="AQ141" s="8"/>
      <c r="AR141" s="7"/>
      <c r="AS141" s="7"/>
      <c r="AT141" s="7"/>
      <c r="AU141" s="7"/>
      <c r="AV141" s="8">
        <f t="shared" si="2"/>
        <v>0</v>
      </c>
      <c r="AW141" s="7"/>
      <c r="AX141" s="7"/>
      <c r="AY141" s="7"/>
      <c r="AZ141" s="7"/>
      <c r="BA141" s="8">
        <f t="shared" si="3"/>
        <v>0</v>
      </c>
      <c r="BB141" s="7"/>
      <c r="BC141" s="7"/>
      <c r="BD141" s="7"/>
      <c r="BE141" s="7"/>
      <c r="BF141" s="8">
        <f t="shared" si="4"/>
        <v>0</v>
      </c>
      <c r="BG141" s="7"/>
      <c r="BH141" s="7"/>
      <c r="BI141" s="7"/>
      <c r="BJ141" s="7"/>
      <c r="BK141" s="8">
        <f t="shared" si="5"/>
        <v>0</v>
      </c>
      <c r="BL141" s="7"/>
      <c r="BM141" s="7"/>
      <c r="BN141" s="7"/>
      <c r="BO141" s="7"/>
      <c r="BP141" s="8">
        <f t="shared" si="6"/>
        <v>0</v>
      </c>
      <c r="BQ141" s="7"/>
      <c r="BR141" s="7"/>
      <c r="BS141" s="7"/>
      <c r="BT141" s="7"/>
      <c r="BU141" s="8">
        <f t="shared" si="7"/>
        <v>0</v>
      </c>
      <c r="BV141" s="7"/>
      <c r="BW141" s="7"/>
      <c r="BX141" s="7"/>
      <c r="BY141" s="7"/>
      <c r="BZ141" s="8">
        <f t="shared" si="8"/>
        <v>0</v>
      </c>
      <c r="CA141" s="7"/>
      <c r="CB141" s="7"/>
      <c r="CC141" s="7"/>
      <c r="CD141" s="7"/>
      <c r="CE141" s="8">
        <f t="shared" si="9"/>
        <v>0</v>
      </c>
      <c r="CF141" s="7"/>
      <c r="CG141" s="7"/>
      <c r="CH141" s="7"/>
      <c r="CI141" s="7"/>
      <c r="CJ141" s="8">
        <f t="shared" si="10"/>
        <v>0</v>
      </c>
      <c r="CK141" s="25"/>
      <c r="CL141" s="25"/>
      <c r="CM141" s="25"/>
      <c r="CN141" s="25"/>
      <c r="CO141" s="26"/>
      <c r="CP141">
        <f>Form_Responses1[[#This Row],[Column89]]</f>
        <v>0</v>
      </c>
      <c r="CQ141">
        <f>IF(Form_Responses1[[#This Row],[Column94]]&gt;0,Form_Responses1[[#This Row],[Column94]],Form_Responses1[[#This Row],[Column91]])</f>
        <v>0</v>
      </c>
    </row>
    <row r="142" spans="1:96" ht="12.75">
      <c r="A142" s="12"/>
      <c r="B142" s="13"/>
      <c r="C142" s="13"/>
      <c r="D142" s="13"/>
      <c r="E142" s="13"/>
      <c r="F142" s="13"/>
      <c r="G142" s="4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8"/>
      <c r="AH142" s="13"/>
      <c r="AI142" s="13"/>
      <c r="AJ142" s="13"/>
      <c r="AK142" s="13"/>
      <c r="AL142" s="8"/>
      <c r="AM142" s="13"/>
      <c r="AN142" s="13"/>
      <c r="AO142" s="13"/>
      <c r="AP142" s="13"/>
      <c r="AQ142" s="8"/>
      <c r="AR142" s="13"/>
      <c r="AS142" s="13"/>
      <c r="AT142" s="13"/>
      <c r="AU142" s="13"/>
      <c r="AV142" s="8">
        <f t="shared" si="2"/>
        <v>0</v>
      </c>
      <c r="AW142" s="13"/>
      <c r="AX142" s="13"/>
      <c r="AY142" s="13"/>
      <c r="AZ142" s="13"/>
      <c r="BA142" s="8">
        <f t="shared" si="3"/>
        <v>0</v>
      </c>
      <c r="BB142" s="13"/>
      <c r="BC142" s="13"/>
      <c r="BD142" s="13"/>
      <c r="BE142" s="13"/>
      <c r="BF142" s="8">
        <f t="shared" si="4"/>
        <v>0</v>
      </c>
      <c r="BG142" s="13"/>
      <c r="BH142" s="13"/>
      <c r="BI142" s="13"/>
      <c r="BJ142" s="13"/>
      <c r="BK142" s="8">
        <f t="shared" si="5"/>
        <v>0</v>
      </c>
      <c r="BL142" s="13"/>
      <c r="BM142" s="13"/>
      <c r="BN142" s="13"/>
      <c r="BO142" s="13"/>
      <c r="BP142" s="8">
        <f t="shared" si="6"/>
        <v>0</v>
      </c>
      <c r="BQ142" s="13"/>
      <c r="BR142" s="13"/>
      <c r="BS142" s="13"/>
      <c r="BT142" s="13"/>
      <c r="BU142" s="8">
        <f t="shared" si="7"/>
        <v>0</v>
      </c>
      <c r="BV142" s="13"/>
      <c r="BW142" s="13"/>
      <c r="BX142" s="13"/>
      <c r="BY142" s="13"/>
      <c r="BZ142" s="8">
        <f t="shared" si="8"/>
        <v>0</v>
      </c>
      <c r="CA142" s="13"/>
      <c r="CB142" s="13"/>
      <c r="CC142" s="13"/>
      <c r="CD142" s="13"/>
      <c r="CE142" s="8">
        <f t="shared" si="9"/>
        <v>0</v>
      </c>
      <c r="CF142" s="13"/>
      <c r="CG142" s="13"/>
      <c r="CH142" s="13"/>
      <c r="CI142" s="13"/>
      <c r="CJ142" s="8">
        <f t="shared" si="10"/>
        <v>0</v>
      </c>
      <c r="CK142" s="23"/>
      <c r="CL142" s="23"/>
      <c r="CM142" s="23"/>
      <c r="CN142" s="23"/>
      <c r="CO142" s="24"/>
      <c r="CP142">
        <f>Form_Responses1[[#This Row],[Column89]]</f>
        <v>0</v>
      </c>
      <c r="CQ142">
        <f>IF(Form_Responses1[[#This Row],[Column94]]&gt;0,Form_Responses1[[#This Row],[Column94]],Form_Responses1[[#This Row],[Column91]])</f>
        <v>0</v>
      </c>
    </row>
    <row r="143" spans="1:96" ht="12.75">
      <c r="A143" s="6"/>
      <c r="B143" s="7"/>
      <c r="C143" s="7"/>
      <c r="D143" s="7"/>
      <c r="E143" s="7"/>
      <c r="F143" s="7"/>
      <c r="G143" s="4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8"/>
      <c r="AH143" s="7"/>
      <c r="AI143" s="7"/>
      <c r="AJ143" s="7"/>
      <c r="AK143" s="7"/>
      <c r="AL143" s="8"/>
      <c r="AM143" s="7"/>
      <c r="AN143" s="7"/>
      <c r="AO143" s="7"/>
      <c r="AP143" s="7"/>
      <c r="AQ143" s="8"/>
      <c r="AR143" s="7"/>
      <c r="AS143" s="7"/>
      <c r="AT143" s="7"/>
      <c r="AU143" s="7"/>
      <c r="AV143" s="8">
        <f t="shared" si="2"/>
        <v>0</v>
      </c>
      <c r="AW143" s="7"/>
      <c r="AX143" s="7"/>
      <c r="AY143" s="7"/>
      <c r="AZ143" s="7"/>
      <c r="BA143" s="8">
        <f t="shared" si="3"/>
        <v>0</v>
      </c>
      <c r="BB143" s="7"/>
      <c r="BC143" s="7"/>
      <c r="BD143" s="7"/>
      <c r="BE143" s="7"/>
      <c r="BF143" s="8">
        <f t="shared" si="4"/>
        <v>0</v>
      </c>
      <c r="BG143" s="7"/>
      <c r="BH143" s="7"/>
      <c r="BI143" s="7"/>
      <c r="BJ143" s="7"/>
      <c r="BK143" s="8">
        <f t="shared" si="5"/>
        <v>0</v>
      </c>
      <c r="BL143" s="7"/>
      <c r="BM143" s="7"/>
      <c r="BN143" s="7"/>
      <c r="BO143" s="7"/>
      <c r="BP143" s="8">
        <f t="shared" si="6"/>
        <v>0</v>
      </c>
      <c r="BQ143" s="7"/>
      <c r="BR143" s="7"/>
      <c r="BS143" s="7"/>
      <c r="BT143" s="7"/>
      <c r="BU143" s="8">
        <f t="shared" si="7"/>
        <v>0</v>
      </c>
      <c r="BV143" s="7"/>
      <c r="BW143" s="7"/>
      <c r="BX143" s="7"/>
      <c r="BY143" s="7"/>
      <c r="BZ143" s="8">
        <f t="shared" si="8"/>
        <v>0</v>
      </c>
      <c r="CA143" s="7"/>
      <c r="CB143" s="7"/>
      <c r="CC143" s="7"/>
      <c r="CD143" s="7"/>
      <c r="CE143" s="8">
        <f t="shared" si="9"/>
        <v>0</v>
      </c>
      <c r="CF143" s="7"/>
      <c r="CG143" s="7"/>
      <c r="CH143" s="7"/>
      <c r="CI143" s="7"/>
      <c r="CJ143" s="8">
        <f t="shared" si="10"/>
        <v>0</v>
      </c>
      <c r="CK143" s="25"/>
      <c r="CL143" s="25"/>
      <c r="CM143" s="25"/>
      <c r="CN143" s="25"/>
      <c r="CO143" s="26"/>
      <c r="CP143">
        <f>Form_Responses1[[#This Row],[Column89]]</f>
        <v>0</v>
      </c>
      <c r="CQ143">
        <f>IF(Form_Responses1[[#This Row],[Column94]]&gt;0,Form_Responses1[[#This Row],[Column94]],Form_Responses1[[#This Row],[Column91]])</f>
        <v>0</v>
      </c>
    </row>
    <row r="144" spans="1:96" ht="12.75">
      <c r="A144" s="12"/>
      <c r="B144" s="13"/>
      <c r="C144" s="13"/>
      <c r="D144" s="13"/>
      <c r="E144" s="13"/>
      <c r="F144" s="13"/>
      <c r="G144" s="4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8"/>
      <c r="AH144" s="13"/>
      <c r="AI144" s="13"/>
      <c r="AJ144" s="13"/>
      <c r="AK144" s="13"/>
      <c r="AL144" s="8"/>
      <c r="AM144" s="13"/>
      <c r="AN144" s="13"/>
      <c r="AO144" s="13"/>
      <c r="AP144" s="13"/>
      <c r="AQ144" s="8"/>
      <c r="AR144" s="13"/>
      <c r="AS144" s="13"/>
      <c r="AT144" s="13"/>
      <c r="AU144" s="13"/>
      <c r="AV144" s="8">
        <f t="shared" si="2"/>
        <v>0</v>
      </c>
      <c r="AW144" s="13"/>
      <c r="AX144" s="13"/>
      <c r="AY144" s="13"/>
      <c r="AZ144" s="13"/>
      <c r="BA144" s="8">
        <f t="shared" si="3"/>
        <v>0</v>
      </c>
      <c r="BB144" s="13"/>
      <c r="BC144" s="13"/>
      <c r="BD144" s="13"/>
      <c r="BE144" s="13"/>
      <c r="BF144" s="8">
        <f t="shared" si="4"/>
        <v>0</v>
      </c>
      <c r="BG144" s="13"/>
      <c r="BH144" s="13"/>
      <c r="BI144" s="13"/>
      <c r="BJ144" s="13"/>
      <c r="BK144" s="8">
        <f t="shared" si="5"/>
        <v>0</v>
      </c>
      <c r="BL144" s="13"/>
      <c r="BM144" s="13"/>
      <c r="BN144" s="13"/>
      <c r="BO144" s="13"/>
      <c r="BP144" s="8">
        <f t="shared" si="6"/>
        <v>0</v>
      </c>
      <c r="BQ144" s="13"/>
      <c r="BR144" s="13"/>
      <c r="BS144" s="13"/>
      <c r="BT144" s="13"/>
      <c r="BU144" s="8">
        <f t="shared" si="7"/>
        <v>0</v>
      </c>
      <c r="BV144" s="13"/>
      <c r="BW144" s="13"/>
      <c r="BX144" s="13"/>
      <c r="BY144" s="13"/>
      <c r="BZ144" s="8">
        <f t="shared" si="8"/>
        <v>0</v>
      </c>
      <c r="CA144" s="13"/>
      <c r="CB144" s="13"/>
      <c r="CC144" s="13"/>
      <c r="CD144" s="13"/>
      <c r="CE144" s="8">
        <f t="shared" si="9"/>
        <v>0</v>
      </c>
      <c r="CF144" s="13"/>
      <c r="CG144" s="13"/>
      <c r="CH144" s="13"/>
      <c r="CI144" s="13"/>
      <c r="CJ144" s="8">
        <f t="shared" si="10"/>
        <v>0</v>
      </c>
      <c r="CK144" s="23"/>
      <c r="CL144" s="23"/>
      <c r="CM144" s="23"/>
      <c r="CN144" s="23"/>
      <c r="CO144" s="24"/>
      <c r="CP144">
        <f>Form_Responses1[[#This Row],[Column89]]</f>
        <v>0</v>
      </c>
      <c r="CQ144">
        <f>IF(Form_Responses1[[#This Row],[Column94]]&gt;0,Form_Responses1[[#This Row],[Column94]],Form_Responses1[[#This Row],[Column91]])</f>
        <v>0</v>
      </c>
    </row>
    <row r="145" spans="1:95" ht="12.75">
      <c r="A145" s="6"/>
      <c r="B145" s="7"/>
      <c r="C145" s="7"/>
      <c r="D145" s="7"/>
      <c r="E145" s="7"/>
      <c r="F145" s="7"/>
      <c r="G145" s="4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8"/>
      <c r="AH145" s="7"/>
      <c r="AI145" s="7"/>
      <c r="AJ145" s="7"/>
      <c r="AK145" s="7"/>
      <c r="AL145" s="8"/>
      <c r="AM145" s="7"/>
      <c r="AN145" s="7"/>
      <c r="AO145" s="7"/>
      <c r="AP145" s="7"/>
      <c r="AQ145" s="8"/>
      <c r="AR145" s="7"/>
      <c r="AS145" s="7"/>
      <c r="AT145" s="7"/>
      <c r="AU145" s="7"/>
      <c r="AV145" s="8">
        <f t="shared" si="2"/>
        <v>0</v>
      </c>
      <c r="AW145" s="7"/>
      <c r="AX145" s="7"/>
      <c r="AY145" s="7"/>
      <c r="AZ145" s="7"/>
      <c r="BA145" s="8">
        <f t="shared" si="3"/>
        <v>0</v>
      </c>
      <c r="BB145" s="7"/>
      <c r="BC145" s="7"/>
      <c r="BD145" s="7"/>
      <c r="BE145" s="7"/>
      <c r="BF145" s="8">
        <f t="shared" si="4"/>
        <v>0</v>
      </c>
      <c r="BG145" s="7"/>
      <c r="BH145" s="7"/>
      <c r="BI145" s="7"/>
      <c r="BJ145" s="7"/>
      <c r="BK145" s="8">
        <f t="shared" si="5"/>
        <v>0</v>
      </c>
      <c r="BL145" s="7"/>
      <c r="BM145" s="7"/>
      <c r="BN145" s="7"/>
      <c r="BO145" s="7"/>
      <c r="BP145" s="8">
        <f t="shared" si="6"/>
        <v>0</v>
      </c>
      <c r="BQ145" s="7"/>
      <c r="BR145" s="7"/>
      <c r="BS145" s="7"/>
      <c r="BT145" s="7"/>
      <c r="BU145" s="8">
        <f t="shared" si="7"/>
        <v>0</v>
      </c>
      <c r="BV145" s="7"/>
      <c r="BW145" s="7"/>
      <c r="BX145" s="7"/>
      <c r="BY145" s="7"/>
      <c r="BZ145" s="8">
        <f t="shared" si="8"/>
        <v>0</v>
      </c>
      <c r="CA145" s="7"/>
      <c r="CB145" s="7"/>
      <c r="CC145" s="7"/>
      <c r="CD145" s="7"/>
      <c r="CE145" s="8">
        <f t="shared" si="9"/>
        <v>0</v>
      </c>
      <c r="CF145" s="7"/>
      <c r="CG145" s="7"/>
      <c r="CH145" s="7"/>
      <c r="CI145" s="7"/>
      <c r="CJ145" s="8">
        <f t="shared" si="10"/>
        <v>0</v>
      </c>
      <c r="CK145" s="25"/>
      <c r="CL145" s="25"/>
      <c r="CM145" s="25"/>
      <c r="CN145" s="25"/>
      <c r="CO145" s="26"/>
      <c r="CP145">
        <f>Form_Responses1[[#This Row],[Column89]]</f>
        <v>0</v>
      </c>
      <c r="CQ145">
        <f>IF(Form_Responses1[[#This Row],[Column94]]&gt;0,Form_Responses1[[#This Row],[Column94]],Form_Responses1[[#This Row],[Column91]])</f>
        <v>0</v>
      </c>
    </row>
    <row r="146" spans="1:95" ht="12.75">
      <c r="A146" s="12"/>
      <c r="B146" s="13"/>
      <c r="C146" s="13"/>
      <c r="D146" s="13"/>
      <c r="E146" s="13"/>
      <c r="F146" s="13"/>
      <c r="G146" s="4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8"/>
      <c r="AH146" s="13"/>
      <c r="AI146" s="13"/>
      <c r="AJ146" s="13"/>
      <c r="AK146" s="13"/>
      <c r="AL146" s="8"/>
      <c r="AM146" s="13"/>
      <c r="AN146" s="13"/>
      <c r="AO146" s="13"/>
      <c r="AP146" s="13"/>
      <c r="AQ146" s="8"/>
      <c r="AR146" s="13"/>
      <c r="AS146" s="13"/>
      <c r="AT146" s="13"/>
      <c r="AU146" s="13"/>
      <c r="AV146" s="8">
        <f t="shared" si="2"/>
        <v>0</v>
      </c>
      <c r="AW146" s="13"/>
      <c r="AX146" s="13"/>
      <c r="AY146" s="13"/>
      <c r="AZ146" s="13"/>
      <c r="BA146" s="8">
        <f t="shared" si="3"/>
        <v>0</v>
      </c>
      <c r="BB146" s="13"/>
      <c r="BC146" s="13"/>
      <c r="BD146" s="13"/>
      <c r="BE146" s="13"/>
      <c r="BF146" s="8">
        <f t="shared" si="4"/>
        <v>0</v>
      </c>
      <c r="BG146" s="13"/>
      <c r="BH146" s="13"/>
      <c r="BI146" s="13"/>
      <c r="BJ146" s="13"/>
      <c r="BK146" s="8">
        <f t="shared" si="5"/>
        <v>0</v>
      </c>
      <c r="BL146" s="13"/>
      <c r="BM146" s="13"/>
      <c r="BN146" s="13"/>
      <c r="BO146" s="13"/>
      <c r="BP146" s="8">
        <f t="shared" si="6"/>
        <v>0</v>
      </c>
      <c r="BQ146" s="13"/>
      <c r="BR146" s="13"/>
      <c r="BS146" s="13"/>
      <c r="BT146" s="13"/>
      <c r="BU146" s="8">
        <f t="shared" si="7"/>
        <v>0</v>
      </c>
      <c r="BV146" s="13"/>
      <c r="BW146" s="13"/>
      <c r="BX146" s="13"/>
      <c r="BY146" s="13"/>
      <c r="BZ146" s="8">
        <f t="shared" si="8"/>
        <v>0</v>
      </c>
      <c r="CA146" s="13"/>
      <c r="CB146" s="13"/>
      <c r="CC146" s="13"/>
      <c r="CD146" s="13"/>
      <c r="CE146" s="8">
        <f t="shared" si="9"/>
        <v>0</v>
      </c>
      <c r="CF146" s="13"/>
      <c r="CG146" s="13"/>
      <c r="CH146" s="13"/>
      <c r="CI146" s="13"/>
      <c r="CJ146" s="8">
        <f t="shared" si="10"/>
        <v>0</v>
      </c>
      <c r="CK146" s="23"/>
      <c r="CL146" s="23"/>
      <c r="CM146" s="23"/>
      <c r="CN146" s="23"/>
      <c r="CO146" s="24"/>
      <c r="CP146">
        <f>Form_Responses1[[#This Row],[Column89]]</f>
        <v>0</v>
      </c>
      <c r="CQ146">
        <f>IF(Form_Responses1[[#This Row],[Column94]]&gt;0,Form_Responses1[[#This Row],[Column94]],Form_Responses1[[#This Row],[Column91]])</f>
        <v>0</v>
      </c>
    </row>
    <row r="147" spans="1:95" ht="12.75">
      <c r="A147" s="6"/>
      <c r="B147" s="7"/>
      <c r="C147" s="7"/>
      <c r="D147" s="7"/>
      <c r="E147" s="7"/>
      <c r="F147" s="7"/>
      <c r="G147" s="4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8"/>
      <c r="AH147" s="7"/>
      <c r="AI147" s="7"/>
      <c r="AJ147" s="7"/>
      <c r="AK147" s="7"/>
      <c r="AL147" s="8"/>
      <c r="AM147" s="7"/>
      <c r="AN147" s="7"/>
      <c r="AO147" s="7"/>
      <c r="AP147" s="7"/>
      <c r="AQ147" s="8"/>
      <c r="AR147" s="7"/>
      <c r="AS147" s="7"/>
      <c r="AT147" s="7"/>
      <c r="AU147" s="7"/>
      <c r="AV147" s="8">
        <f t="shared" si="2"/>
        <v>0</v>
      </c>
      <c r="AW147" s="7"/>
      <c r="AX147" s="7"/>
      <c r="AY147" s="7"/>
      <c r="AZ147" s="7"/>
      <c r="BA147" s="8">
        <f t="shared" si="3"/>
        <v>0</v>
      </c>
      <c r="BB147" s="7"/>
      <c r="BC147" s="7"/>
      <c r="BD147" s="7"/>
      <c r="BE147" s="7"/>
      <c r="BF147" s="8">
        <f t="shared" si="4"/>
        <v>0</v>
      </c>
      <c r="BG147" s="7"/>
      <c r="BH147" s="7"/>
      <c r="BI147" s="7"/>
      <c r="BJ147" s="7"/>
      <c r="BK147" s="8">
        <f t="shared" si="5"/>
        <v>0</v>
      </c>
      <c r="BL147" s="7"/>
      <c r="BM147" s="7"/>
      <c r="BN147" s="7"/>
      <c r="BO147" s="7"/>
      <c r="BP147" s="8">
        <f t="shared" si="6"/>
        <v>0</v>
      </c>
      <c r="BQ147" s="7"/>
      <c r="BR147" s="7"/>
      <c r="BS147" s="7"/>
      <c r="BT147" s="7"/>
      <c r="BU147" s="8">
        <f t="shared" si="7"/>
        <v>0</v>
      </c>
      <c r="BV147" s="7"/>
      <c r="BW147" s="7"/>
      <c r="BX147" s="7"/>
      <c r="BY147" s="7"/>
      <c r="BZ147" s="8">
        <f t="shared" si="8"/>
        <v>0</v>
      </c>
      <c r="CA147" s="7"/>
      <c r="CB147" s="7"/>
      <c r="CC147" s="7"/>
      <c r="CD147" s="7"/>
      <c r="CE147" s="8">
        <f t="shared" si="9"/>
        <v>0</v>
      </c>
      <c r="CF147" s="7"/>
      <c r="CG147" s="7"/>
      <c r="CH147" s="7"/>
      <c r="CI147" s="7"/>
      <c r="CJ147" s="8">
        <f t="shared" si="10"/>
        <v>0</v>
      </c>
      <c r="CK147" s="25"/>
      <c r="CL147" s="25"/>
      <c r="CM147" s="25"/>
      <c r="CN147" s="25"/>
      <c r="CO147" s="26"/>
      <c r="CP147">
        <f>Form_Responses1[[#This Row],[Column89]]</f>
        <v>0</v>
      </c>
      <c r="CQ147">
        <f>IF(Form_Responses1[[#This Row],[Column94]]&gt;0,Form_Responses1[[#This Row],[Column94]],Form_Responses1[[#This Row],[Column91]])</f>
        <v>0</v>
      </c>
    </row>
    <row r="148" spans="1:95" ht="12.75">
      <c r="A148" s="12"/>
      <c r="B148" s="13"/>
      <c r="C148" s="13"/>
      <c r="D148" s="13"/>
      <c r="E148" s="13"/>
      <c r="F148" s="13"/>
      <c r="G148" s="4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8"/>
      <c r="AH148" s="13"/>
      <c r="AI148" s="13"/>
      <c r="AJ148" s="13"/>
      <c r="AK148" s="13"/>
      <c r="AL148" s="8"/>
      <c r="AM148" s="13"/>
      <c r="AN148" s="13"/>
      <c r="AO148" s="13"/>
      <c r="AP148" s="13"/>
      <c r="AQ148" s="8"/>
      <c r="AR148" s="13"/>
      <c r="AS148" s="13"/>
      <c r="AT148" s="13"/>
      <c r="AU148" s="13"/>
      <c r="AV148" s="8">
        <f t="shared" si="2"/>
        <v>0</v>
      </c>
      <c r="AW148" s="13"/>
      <c r="AX148" s="13"/>
      <c r="AY148" s="13"/>
      <c r="AZ148" s="13"/>
      <c r="BA148" s="8">
        <f t="shared" si="3"/>
        <v>0</v>
      </c>
      <c r="BB148" s="13"/>
      <c r="BC148" s="13"/>
      <c r="BD148" s="13"/>
      <c r="BE148" s="13"/>
      <c r="BF148" s="8">
        <f t="shared" si="4"/>
        <v>0</v>
      </c>
      <c r="BG148" s="13"/>
      <c r="BH148" s="13"/>
      <c r="BI148" s="13"/>
      <c r="BJ148" s="13"/>
      <c r="BK148" s="8">
        <f t="shared" si="5"/>
        <v>0</v>
      </c>
      <c r="BL148" s="13"/>
      <c r="BM148" s="13"/>
      <c r="BN148" s="13"/>
      <c r="BO148" s="13"/>
      <c r="BP148" s="8">
        <f t="shared" si="6"/>
        <v>0</v>
      </c>
      <c r="BQ148" s="13"/>
      <c r="BR148" s="13"/>
      <c r="BS148" s="13"/>
      <c r="BT148" s="13"/>
      <c r="BU148" s="8">
        <f t="shared" si="7"/>
        <v>0</v>
      </c>
      <c r="BV148" s="13"/>
      <c r="BW148" s="13"/>
      <c r="BX148" s="13"/>
      <c r="BY148" s="13"/>
      <c r="BZ148" s="8">
        <f t="shared" si="8"/>
        <v>0</v>
      </c>
      <c r="CA148" s="13"/>
      <c r="CB148" s="13"/>
      <c r="CC148" s="13"/>
      <c r="CD148" s="13"/>
      <c r="CE148" s="8">
        <f t="shared" si="9"/>
        <v>0</v>
      </c>
      <c r="CF148" s="13"/>
      <c r="CG148" s="13"/>
      <c r="CH148" s="13"/>
      <c r="CI148" s="13"/>
      <c r="CJ148" s="8">
        <f t="shared" si="10"/>
        <v>0</v>
      </c>
      <c r="CK148" s="23"/>
      <c r="CL148" s="23"/>
      <c r="CM148" s="23"/>
      <c r="CN148" s="23"/>
      <c r="CO148" s="24"/>
      <c r="CP148">
        <f>Form_Responses1[[#This Row],[Column89]]</f>
        <v>0</v>
      </c>
      <c r="CQ148">
        <f>IF(Form_Responses1[[#This Row],[Column94]]&gt;0,Form_Responses1[[#This Row],[Column94]],Form_Responses1[[#This Row],[Column91]])</f>
        <v>0</v>
      </c>
    </row>
    <row r="149" spans="1:95" ht="12.75">
      <c r="A149" s="6"/>
      <c r="B149" s="7"/>
      <c r="C149" s="7"/>
      <c r="D149" s="7"/>
      <c r="E149" s="7"/>
      <c r="F149" s="7"/>
      <c r="G149" s="4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8"/>
      <c r="AH149" s="7"/>
      <c r="AI149" s="7"/>
      <c r="AJ149" s="7"/>
      <c r="AK149" s="7"/>
      <c r="AL149" s="8"/>
      <c r="AM149" s="7"/>
      <c r="AN149" s="7"/>
      <c r="AO149" s="7"/>
      <c r="AP149" s="7"/>
      <c r="AQ149" s="8"/>
      <c r="AR149" s="7"/>
      <c r="AS149" s="7"/>
      <c r="AT149" s="7"/>
      <c r="AU149" s="7"/>
      <c r="AV149" s="8">
        <f t="shared" si="2"/>
        <v>0</v>
      </c>
      <c r="AW149" s="7"/>
      <c r="AX149" s="7"/>
      <c r="AY149" s="7"/>
      <c r="AZ149" s="7"/>
      <c r="BA149" s="8">
        <f t="shared" si="3"/>
        <v>0</v>
      </c>
      <c r="BB149" s="7"/>
      <c r="BC149" s="7"/>
      <c r="BD149" s="7"/>
      <c r="BE149" s="7"/>
      <c r="BF149" s="8">
        <f t="shared" si="4"/>
        <v>0</v>
      </c>
      <c r="BG149" s="7"/>
      <c r="BH149" s="7"/>
      <c r="BI149" s="7"/>
      <c r="BJ149" s="7"/>
      <c r="BK149" s="8">
        <f t="shared" si="5"/>
        <v>0</v>
      </c>
      <c r="BL149" s="7"/>
      <c r="BM149" s="7"/>
      <c r="BN149" s="7"/>
      <c r="BO149" s="7"/>
      <c r="BP149" s="8">
        <f t="shared" si="6"/>
        <v>0</v>
      </c>
      <c r="BQ149" s="7"/>
      <c r="BR149" s="7"/>
      <c r="BS149" s="7"/>
      <c r="BT149" s="7"/>
      <c r="BU149" s="8">
        <f t="shared" si="7"/>
        <v>0</v>
      </c>
      <c r="BV149" s="7"/>
      <c r="BW149" s="7"/>
      <c r="BX149" s="7"/>
      <c r="BY149" s="7"/>
      <c r="BZ149" s="8">
        <f t="shared" si="8"/>
        <v>0</v>
      </c>
      <c r="CA149" s="7"/>
      <c r="CB149" s="7"/>
      <c r="CC149" s="7"/>
      <c r="CD149" s="7"/>
      <c r="CE149" s="8">
        <f t="shared" si="9"/>
        <v>0</v>
      </c>
      <c r="CF149" s="7"/>
      <c r="CG149" s="7"/>
      <c r="CH149" s="7"/>
      <c r="CI149" s="7"/>
      <c r="CJ149" s="8">
        <f t="shared" si="10"/>
        <v>0</v>
      </c>
      <c r="CK149" s="25"/>
      <c r="CL149" s="25"/>
      <c r="CM149" s="25"/>
      <c r="CN149" s="25"/>
      <c r="CO149" s="26"/>
      <c r="CP149">
        <f>Form_Responses1[[#This Row],[Column89]]</f>
        <v>0</v>
      </c>
      <c r="CQ149">
        <f>IF(Form_Responses1[[#This Row],[Column94]]&gt;0,Form_Responses1[[#This Row],[Column94]],Form_Responses1[[#This Row],[Column91]])</f>
        <v>0</v>
      </c>
    </row>
    <row r="150" spans="1:95" ht="12.75">
      <c r="A150" s="12"/>
      <c r="B150" s="13"/>
      <c r="C150" s="13"/>
      <c r="D150" s="13"/>
      <c r="E150" s="13"/>
      <c r="F150" s="13"/>
      <c r="G150" s="4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8"/>
      <c r="AH150" s="13"/>
      <c r="AI150" s="13"/>
      <c r="AJ150" s="13"/>
      <c r="AK150" s="13"/>
      <c r="AL150" s="8"/>
      <c r="AM150" s="13"/>
      <c r="AN150" s="13"/>
      <c r="AO150" s="13"/>
      <c r="AP150" s="13"/>
      <c r="AQ150" s="8"/>
      <c r="AR150" s="13"/>
      <c r="AS150" s="13"/>
      <c r="AT150" s="13"/>
      <c r="AU150" s="13"/>
      <c r="AV150" s="8">
        <f t="shared" si="2"/>
        <v>0</v>
      </c>
      <c r="AW150" s="13"/>
      <c r="AX150" s="13"/>
      <c r="AY150" s="13"/>
      <c r="AZ150" s="13"/>
      <c r="BA150" s="8">
        <f t="shared" si="3"/>
        <v>0</v>
      </c>
      <c r="BB150" s="13"/>
      <c r="BC150" s="13"/>
      <c r="BD150" s="13"/>
      <c r="BE150" s="13"/>
      <c r="BF150" s="8">
        <f t="shared" si="4"/>
        <v>0</v>
      </c>
      <c r="BG150" s="13"/>
      <c r="BH150" s="13"/>
      <c r="BI150" s="13"/>
      <c r="BJ150" s="13"/>
      <c r="BK150" s="8">
        <f t="shared" si="5"/>
        <v>0</v>
      </c>
      <c r="BL150" s="13"/>
      <c r="BM150" s="13"/>
      <c r="BN150" s="13"/>
      <c r="BO150" s="13"/>
      <c r="BP150" s="8">
        <f t="shared" si="6"/>
        <v>0</v>
      </c>
      <c r="BQ150" s="13"/>
      <c r="BR150" s="13"/>
      <c r="BS150" s="13"/>
      <c r="BT150" s="13"/>
      <c r="BU150" s="8">
        <f t="shared" si="7"/>
        <v>0</v>
      </c>
      <c r="BV150" s="13"/>
      <c r="BW150" s="13"/>
      <c r="BX150" s="13"/>
      <c r="BY150" s="13"/>
      <c r="BZ150" s="8">
        <f t="shared" si="8"/>
        <v>0</v>
      </c>
      <c r="CA150" s="13"/>
      <c r="CB150" s="13"/>
      <c r="CC150" s="13"/>
      <c r="CD150" s="13"/>
      <c r="CE150" s="8">
        <f t="shared" si="9"/>
        <v>0</v>
      </c>
      <c r="CF150" s="13"/>
      <c r="CG150" s="13"/>
      <c r="CH150" s="13"/>
      <c r="CI150" s="13"/>
      <c r="CJ150" s="8">
        <f t="shared" si="10"/>
        <v>0</v>
      </c>
      <c r="CK150" s="23"/>
      <c r="CL150" s="23"/>
      <c r="CM150" s="23"/>
      <c r="CN150" s="23"/>
      <c r="CO150" s="24"/>
      <c r="CP150">
        <f>Form_Responses1[[#This Row],[Column89]]</f>
        <v>0</v>
      </c>
      <c r="CQ150">
        <f>IF(Form_Responses1[[#This Row],[Column94]]&gt;0,Form_Responses1[[#This Row],[Column94]],Form_Responses1[[#This Row],[Column91]])</f>
        <v>0</v>
      </c>
    </row>
    <row r="151" spans="1:95" ht="12.75">
      <c r="A151" s="6"/>
      <c r="B151" s="7"/>
      <c r="C151" s="7"/>
      <c r="D151" s="7"/>
      <c r="E151" s="7"/>
      <c r="F151" s="7"/>
      <c r="G151" s="4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8"/>
      <c r="AH151" s="7"/>
      <c r="AI151" s="7"/>
      <c r="AJ151" s="7"/>
      <c r="AK151" s="7"/>
      <c r="AL151" s="8"/>
      <c r="AM151" s="7"/>
      <c r="AN151" s="7"/>
      <c r="AO151" s="7"/>
      <c r="AP151" s="7"/>
      <c r="AQ151" s="8"/>
      <c r="AR151" s="7"/>
      <c r="AS151" s="7"/>
      <c r="AT151" s="7"/>
      <c r="AU151" s="7"/>
      <c r="AV151" s="8">
        <f t="shared" si="2"/>
        <v>0</v>
      </c>
      <c r="AW151" s="7"/>
      <c r="AX151" s="7"/>
      <c r="AY151" s="7"/>
      <c r="AZ151" s="7"/>
      <c r="BA151" s="8">
        <f t="shared" si="3"/>
        <v>0</v>
      </c>
      <c r="BB151" s="7"/>
      <c r="BC151" s="7"/>
      <c r="BD151" s="7"/>
      <c r="BE151" s="7"/>
      <c r="BF151" s="8">
        <f t="shared" si="4"/>
        <v>0</v>
      </c>
      <c r="BG151" s="7"/>
      <c r="BH151" s="7"/>
      <c r="BI151" s="7"/>
      <c r="BJ151" s="7"/>
      <c r="BK151" s="8">
        <f t="shared" si="5"/>
        <v>0</v>
      </c>
      <c r="BL151" s="7"/>
      <c r="BM151" s="7"/>
      <c r="BN151" s="7"/>
      <c r="BO151" s="7"/>
      <c r="BP151" s="8">
        <f t="shared" si="6"/>
        <v>0</v>
      </c>
      <c r="BQ151" s="7"/>
      <c r="BR151" s="7"/>
      <c r="BS151" s="7"/>
      <c r="BT151" s="7"/>
      <c r="BU151" s="8">
        <f t="shared" si="7"/>
        <v>0</v>
      </c>
      <c r="BV151" s="7"/>
      <c r="BW151" s="7"/>
      <c r="BX151" s="7"/>
      <c r="BY151" s="7"/>
      <c r="BZ151" s="8">
        <f t="shared" si="8"/>
        <v>0</v>
      </c>
      <c r="CA151" s="7"/>
      <c r="CB151" s="7"/>
      <c r="CC151" s="7"/>
      <c r="CD151" s="7"/>
      <c r="CE151" s="8">
        <f t="shared" si="9"/>
        <v>0</v>
      </c>
      <c r="CF151" s="7"/>
      <c r="CG151" s="7"/>
      <c r="CH151" s="7"/>
      <c r="CI151" s="7"/>
      <c r="CJ151" s="8">
        <f t="shared" si="10"/>
        <v>0</v>
      </c>
      <c r="CK151" s="25"/>
      <c r="CL151" s="25"/>
      <c r="CM151" s="25"/>
      <c r="CN151" s="25"/>
      <c r="CO151" s="26"/>
      <c r="CP151">
        <f>Form_Responses1[[#This Row],[Column89]]</f>
        <v>0</v>
      </c>
      <c r="CQ151">
        <f>IF(Form_Responses1[[#This Row],[Column94]]&gt;0,Form_Responses1[[#This Row],[Column94]],Form_Responses1[[#This Row],[Column91]])</f>
        <v>0</v>
      </c>
    </row>
    <row r="152" spans="1:95" ht="12.75">
      <c r="A152" s="12"/>
      <c r="B152" s="13"/>
      <c r="C152" s="13"/>
      <c r="D152" s="13"/>
      <c r="E152" s="13"/>
      <c r="F152" s="13"/>
      <c r="G152" s="4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8"/>
      <c r="AH152" s="13"/>
      <c r="AI152" s="13"/>
      <c r="AJ152" s="13"/>
      <c r="AK152" s="13"/>
      <c r="AL152" s="8"/>
      <c r="AM152" s="13"/>
      <c r="AN152" s="13"/>
      <c r="AO152" s="13"/>
      <c r="AP152" s="13"/>
      <c r="AQ152" s="8"/>
      <c r="AR152" s="13"/>
      <c r="AS152" s="13"/>
      <c r="AT152" s="13"/>
      <c r="AU152" s="13"/>
      <c r="AV152" s="8">
        <f t="shared" si="2"/>
        <v>0</v>
      </c>
      <c r="AW152" s="13"/>
      <c r="AX152" s="13"/>
      <c r="AY152" s="13"/>
      <c r="AZ152" s="13"/>
      <c r="BA152" s="8">
        <f t="shared" si="3"/>
        <v>0</v>
      </c>
      <c r="BB152" s="13"/>
      <c r="BC152" s="13"/>
      <c r="BD152" s="13"/>
      <c r="BE152" s="13"/>
      <c r="BF152" s="8">
        <f t="shared" si="4"/>
        <v>0</v>
      </c>
      <c r="BG152" s="13"/>
      <c r="BH152" s="13"/>
      <c r="BI152" s="13"/>
      <c r="BJ152" s="13"/>
      <c r="BK152" s="8">
        <f t="shared" si="5"/>
        <v>0</v>
      </c>
      <c r="BL152" s="13"/>
      <c r="BM152" s="13"/>
      <c r="BN152" s="13"/>
      <c r="BO152" s="13"/>
      <c r="BP152" s="8">
        <f t="shared" si="6"/>
        <v>0</v>
      </c>
      <c r="BQ152" s="13"/>
      <c r="BR152" s="13"/>
      <c r="BS152" s="13"/>
      <c r="BT152" s="13"/>
      <c r="BU152" s="8">
        <f t="shared" si="7"/>
        <v>0</v>
      </c>
      <c r="BV152" s="13"/>
      <c r="BW152" s="13"/>
      <c r="BX152" s="13"/>
      <c r="BY152" s="13"/>
      <c r="BZ152" s="8">
        <f t="shared" si="8"/>
        <v>0</v>
      </c>
      <c r="CA152" s="13"/>
      <c r="CB152" s="13"/>
      <c r="CC152" s="13"/>
      <c r="CD152" s="13"/>
      <c r="CE152" s="8">
        <f t="shared" si="9"/>
        <v>0</v>
      </c>
      <c r="CF152" s="13"/>
      <c r="CG152" s="13"/>
      <c r="CH152" s="13"/>
      <c r="CI152" s="13"/>
      <c r="CJ152" s="8">
        <f t="shared" si="10"/>
        <v>0</v>
      </c>
      <c r="CK152" s="23"/>
      <c r="CL152" s="23"/>
      <c r="CM152" s="23"/>
      <c r="CN152" s="23"/>
      <c r="CO152" s="24"/>
      <c r="CP152">
        <f>Form_Responses1[[#This Row],[Column89]]</f>
        <v>0</v>
      </c>
      <c r="CQ152">
        <f>IF(Form_Responses1[[#This Row],[Column94]]&gt;0,Form_Responses1[[#This Row],[Column94]],Form_Responses1[[#This Row],[Column91]])</f>
        <v>0</v>
      </c>
    </row>
    <row r="153" spans="1:95" ht="12.75">
      <c r="A153" s="6"/>
      <c r="B153" s="7"/>
      <c r="C153" s="7"/>
      <c r="D153" s="7"/>
      <c r="E153" s="7"/>
      <c r="F153" s="7"/>
      <c r="G153" s="4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8"/>
      <c r="AH153" s="7"/>
      <c r="AI153" s="7"/>
      <c r="AJ153" s="7"/>
      <c r="AK153" s="7"/>
      <c r="AL153" s="8"/>
      <c r="AM153" s="7"/>
      <c r="AN153" s="7"/>
      <c r="AO153" s="7"/>
      <c r="AP153" s="7"/>
      <c r="AQ153" s="8"/>
      <c r="AR153" s="7"/>
      <c r="AS153" s="7"/>
      <c r="AT153" s="7"/>
      <c r="AU153" s="7"/>
      <c r="AV153" s="8">
        <f t="shared" si="2"/>
        <v>0</v>
      </c>
      <c r="AW153" s="7"/>
      <c r="AX153" s="7"/>
      <c r="AY153" s="7"/>
      <c r="AZ153" s="7"/>
      <c r="BA153" s="8">
        <f t="shared" si="3"/>
        <v>0</v>
      </c>
      <c r="BB153" s="7"/>
      <c r="BC153" s="7"/>
      <c r="BD153" s="7"/>
      <c r="BE153" s="7"/>
      <c r="BF153" s="8">
        <f t="shared" si="4"/>
        <v>0</v>
      </c>
      <c r="BG153" s="7"/>
      <c r="BH153" s="7"/>
      <c r="BI153" s="7"/>
      <c r="BJ153" s="7"/>
      <c r="BK153" s="8">
        <f t="shared" si="5"/>
        <v>0</v>
      </c>
      <c r="BL153" s="7"/>
      <c r="BM153" s="7"/>
      <c r="BN153" s="7"/>
      <c r="BO153" s="7"/>
      <c r="BP153" s="8">
        <f t="shared" si="6"/>
        <v>0</v>
      </c>
      <c r="BQ153" s="7"/>
      <c r="BR153" s="7"/>
      <c r="BS153" s="7"/>
      <c r="BT153" s="7"/>
      <c r="BU153" s="8">
        <f t="shared" si="7"/>
        <v>0</v>
      </c>
      <c r="BV153" s="7"/>
      <c r="BW153" s="7"/>
      <c r="BX153" s="7"/>
      <c r="BY153" s="7"/>
      <c r="BZ153" s="8">
        <f t="shared" si="8"/>
        <v>0</v>
      </c>
      <c r="CA153" s="7"/>
      <c r="CB153" s="7"/>
      <c r="CC153" s="7"/>
      <c r="CD153" s="7"/>
      <c r="CE153" s="8">
        <f t="shared" si="9"/>
        <v>0</v>
      </c>
      <c r="CF153" s="7"/>
      <c r="CG153" s="7"/>
      <c r="CH153" s="7"/>
      <c r="CI153" s="7"/>
      <c r="CJ153" s="8">
        <f t="shared" si="10"/>
        <v>0</v>
      </c>
      <c r="CK153" s="25"/>
      <c r="CL153" s="25"/>
      <c r="CM153" s="25"/>
      <c r="CN153" s="25"/>
      <c r="CO153" s="26"/>
      <c r="CP153">
        <f>Form_Responses1[[#This Row],[Column89]]</f>
        <v>0</v>
      </c>
      <c r="CQ153">
        <f>IF(Form_Responses1[[#This Row],[Column94]]&gt;0,Form_Responses1[[#This Row],[Column94]],Form_Responses1[[#This Row],[Column91]])</f>
        <v>0</v>
      </c>
    </row>
    <row r="154" spans="1:95" ht="12.75">
      <c r="A154" s="12"/>
      <c r="B154" s="13"/>
      <c r="C154" s="13"/>
      <c r="D154" s="13"/>
      <c r="E154" s="13"/>
      <c r="F154" s="13"/>
      <c r="G154" s="4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8"/>
      <c r="AH154" s="13"/>
      <c r="AI154" s="13"/>
      <c r="AJ154" s="13"/>
      <c r="AK154" s="13"/>
      <c r="AL154" s="8"/>
      <c r="AM154" s="13"/>
      <c r="AN154" s="13"/>
      <c r="AO154" s="13"/>
      <c r="AP154" s="13"/>
      <c r="AQ154" s="8"/>
      <c r="AR154" s="13"/>
      <c r="AS154" s="13"/>
      <c r="AT154" s="13"/>
      <c r="AU154" s="13"/>
      <c r="AV154" s="8">
        <f t="shared" si="2"/>
        <v>0</v>
      </c>
      <c r="AW154" s="13"/>
      <c r="AX154" s="13"/>
      <c r="AY154" s="13"/>
      <c r="AZ154" s="13"/>
      <c r="BA154" s="8">
        <f t="shared" si="3"/>
        <v>0</v>
      </c>
      <c r="BB154" s="13"/>
      <c r="BC154" s="13"/>
      <c r="BD154" s="13"/>
      <c r="BE154" s="13"/>
      <c r="BF154" s="8">
        <f t="shared" si="4"/>
        <v>0</v>
      </c>
      <c r="BG154" s="13"/>
      <c r="BH154" s="13"/>
      <c r="BI154" s="13"/>
      <c r="BJ154" s="13"/>
      <c r="BK154" s="8">
        <f t="shared" si="5"/>
        <v>0</v>
      </c>
      <c r="BL154" s="13"/>
      <c r="BM154" s="13"/>
      <c r="BN154" s="13"/>
      <c r="BO154" s="13"/>
      <c r="BP154" s="8">
        <f t="shared" si="6"/>
        <v>0</v>
      </c>
      <c r="BQ154" s="13"/>
      <c r="BR154" s="13"/>
      <c r="BS154" s="13"/>
      <c r="BT154" s="13"/>
      <c r="BU154" s="8">
        <f t="shared" si="7"/>
        <v>0</v>
      </c>
      <c r="BV154" s="13"/>
      <c r="BW154" s="13"/>
      <c r="BX154" s="13"/>
      <c r="BY154" s="13"/>
      <c r="BZ154" s="8">
        <f t="shared" si="8"/>
        <v>0</v>
      </c>
      <c r="CA154" s="13"/>
      <c r="CB154" s="13"/>
      <c r="CC154" s="13"/>
      <c r="CD154" s="13"/>
      <c r="CE154" s="8">
        <f t="shared" si="9"/>
        <v>0</v>
      </c>
      <c r="CF154" s="13"/>
      <c r="CG154" s="13"/>
      <c r="CH154" s="13"/>
      <c r="CI154" s="13"/>
      <c r="CJ154" s="8">
        <f t="shared" si="10"/>
        <v>0</v>
      </c>
      <c r="CK154" s="23"/>
      <c r="CL154" s="23"/>
      <c r="CM154" s="23"/>
      <c r="CN154" s="23"/>
      <c r="CO154" s="24"/>
      <c r="CP154">
        <f>Form_Responses1[[#This Row],[Column89]]</f>
        <v>0</v>
      </c>
      <c r="CQ154">
        <f>IF(Form_Responses1[[#This Row],[Column94]]&gt;0,Form_Responses1[[#This Row],[Column94]],Form_Responses1[[#This Row],[Column91]])</f>
        <v>0</v>
      </c>
    </row>
    <row r="155" spans="1:95" ht="12.75">
      <c r="A155" s="6"/>
      <c r="B155" s="7"/>
      <c r="C155" s="7"/>
      <c r="D155" s="7"/>
      <c r="E155" s="7"/>
      <c r="F155" s="7"/>
      <c r="G155" s="4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8"/>
      <c r="AH155" s="7"/>
      <c r="AI155" s="7"/>
      <c r="AJ155" s="7"/>
      <c r="AK155" s="7"/>
      <c r="AL155" s="8"/>
      <c r="AM155" s="7"/>
      <c r="AN155" s="7"/>
      <c r="AO155" s="7"/>
      <c r="AP155" s="7"/>
      <c r="AQ155" s="8"/>
      <c r="AR155" s="7"/>
      <c r="AS155" s="7"/>
      <c r="AT155" s="7"/>
      <c r="AU155" s="7"/>
      <c r="AV155" s="8">
        <f t="shared" si="2"/>
        <v>0</v>
      </c>
      <c r="AW155" s="7"/>
      <c r="AX155" s="7"/>
      <c r="AY155" s="7"/>
      <c r="AZ155" s="7"/>
      <c r="BA155" s="8">
        <f t="shared" si="3"/>
        <v>0</v>
      </c>
      <c r="BB155" s="7"/>
      <c r="BC155" s="7"/>
      <c r="BD155" s="7"/>
      <c r="BE155" s="7"/>
      <c r="BF155" s="8">
        <f t="shared" si="4"/>
        <v>0</v>
      </c>
      <c r="BG155" s="7"/>
      <c r="BH155" s="7"/>
      <c r="BI155" s="7"/>
      <c r="BJ155" s="7"/>
      <c r="BK155" s="8">
        <f t="shared" si="5"/>
        <v>0</v>
      </c>
      <c r="BL155" s="7"/>
      <c r="BM155" s="7"/>
      <c r="BN155" s="7"/>
      <c r="BO155" s="7"/>
      <c r="BP155" s="8">
        <f t="shared" si="6"/>
        <v>0</v>
      </c>
      <c r="BQ155" s="7"/>
      <c r="BR155" s="7"/>
      <c r="BS155" s="7"/>
      <c r="BT155" s="7"/>
      <c r="BU155" s="8">
        <f t="shared" si="7"/>
        <v>0</v>
      </c>
      <c r="BV155" s="7"/>
      <c r="BW155" s="7"/>
      <c r="BX155" s="7"/>
      <c r="BY155" s="7"/>
      <c r="BZ155" s="8">
        <f t="shared" si="8"/>
        <v>0</v>
      </c>
      <c r="CA155" s="7"/>
      <c r="CB155" s="7"/>
      <c r="CC155" s="7"/>
      <c r="CD155" s="7"/>
      <c r="CE155" s="8">
        <f t="shared" si="9"/>
        <v>0</v>
      </c>
      <c r="CF155" s="7"/>
      <c r="CG155" s="7"/>
      <c r="CH155" s="7"/>
      <c r="CI155" s="7"/>
      <c r="CJ155" s="8">
        <f t="shared" si="10"/>
        <v>0</v>
      </c>
      <c r="CK155" s="25"/>
      <c r="CL155" s="25"/>
      <c r="CM155" s="25"/>
      <c r="CN155" s="25"/>
      <c r="CO155" s="26"/>
      <c r="CP155">
        <f>Form_Responses1[[#This Row],[Column89]]</f>
        <v>0</v>
      </c>
      <c r="CQ155">
        <f>IF(Form_Responses1[[#This Row],[Column94]]&gt;0,Form_Responses1[[#This Row],[Column94]],Form_Responses1[[#This Row],[Column91]])</f>
        <v>0</v>
      </c>
    </row>
    <row r="156" spans="1:95" ht="12.75">
      <c r="A156" s="12"/>
      <c r="B156" s="13"/>
      <c r="C156" s="13"/>
      <c r="D156" s="13"/>
      <c r="E156" s="13"/>
      <c r="F156" s="13"/>
      <c r="G156" s="4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8"/>
      <c r="AH156" s="13"/>
      <c r="AI156" s="13"/>
      <c r="AJ156" s="13"/>
      <c r="AK156" s="13"/>
      <c r="AL156" s="8"/>
      <c r="AM156" s="13"/>
      <c r="AN156" s="13"/>
      <c r="AO156" s="13"/>
      <c r="AP156" s="13"/>
      <c r="AQ156" s="8"/>
      <c r="AR156" s="13"/>
      <c r="AS156" s="13"/>
      <c r="AT156" s="13"/>
      <c r="AU156" s="13"/>
      <c r="AV156" s="8">
        <f t="shared" si="2"/>
        <v>0</v>
      </c>
      <c r="AW156" s="13"/>
      <c r="AX156" s="13"/>
      <c r="AY156" s="13"/>
      <c r="AZ156" s="13"/>
      <c r="BA156" s="8">
        <f t="shared" si="3"/>
        <v>0</v>
      </c>
      <c r="BB156" s="13"/>
      <c r="BC156" s="13"/>
      <c r="BD156" s="13"/>
      <c r="BE156" s="13"/>
      <c r="BF156" s="8">
        <f t="shared" si="4"/>
        <v>0</v>
      </c>
      <c r="BG156" s="13"/>
      <c r="BH156" s="13"/>
      <c r="BI156" s="13"/>
      <c r="BJ156" s="13"/>
      <c r="BK156" s="8">
        <f t="shared" si="5"/>
        <v>0</v>
      </c>
      <c r="BL156" s="13"/>
      <c r="BM156" s="13"/>
      <c r="BN156" s="13"/>
      <c r="BO156" s="13"/>
      <c r="BP156" s="8">
        <f t="shared" si="6"/>
        <v>0</v>
      </c>
      <c r="BQ156" s="13"/>
      <c r="BR156" s="13"/>
      <c r="BS156" s="13"/>
      <c r="BT156" s="13"/>
      <c r="BU156" s="8">
        <f t="shared" si="7"/>
        <v>0</v>
      </c>
      <c r="BV156" s="13"/>
      <c r="BW156" s="13"/>
      <c r="BX156" s="13"/>
      <c r="BY156" s="13"/>
      <c r="BZ156" s="8">
        <f t="shared" si="8"/>
        <v>0</v>
      </c>
      <c r="CA156" s="13"/>
      <c r="CB156" s="13"/>
      <c r="CC156" s="13"/>
      <c r="CD156" s="13"/>
      <c r="CE156" s="8">
        <f t="shared" si="9"/>
        <v>0</v>
      </c>
      <c r="CF156" s="13"/>
      <c r="CG156" s="13"/>
      <c r="CH156" s="13"/>
      <c r="CI156" s="13"/>
      <c r="CJ156" s="8">
        <f t="shared" si="10"/>
        <v>0</v>
      </c>
      <c r="CK156" s="23"/>
      <c r="CL156" s="23"/>
      <c r="CM156" s="23"/>
      <c r="CN156" s="23"/>
      <c r="CO156" s="24"/>
      <c r="CP156">
        <f>Form_Responses1[[#This Row],[Column89]]</f>
        <v>0</v>
      </c>
      <c r="CQ156">
        <f>IF(Form_Responses1[[#This Row],[Column94]]&gt;0,Form_Responses1[[#This Row],[Column94]],Form_Responses1[[#This Row],[Column91]])</f>
        <v>0</v>
      </c>
    </row>
    <row r="157" spans="1:95" ht="12.75">
      <c r="A157" s="6"/>
      <c r="B157" s="7"/>
      <c r="C157" s="7"/>
      <c r="D157" s="7"/>
      <c r="E157" s="7"/>
      <c r="F157" s="7"/>
      <c r="G157" s="4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8"/>
      <c r="AH157" s="7"/>
      <c r="AI157" s="7"/>
      <c r="AJ157" s="7"/>
      <c r="AK157" s="7"/>
      <c r="AL157" s="8"/>
      <c r="AM157" s="7"/>
      <c r="AN157" s="7"/>
      <c r="AO157" s="7"/>
      <c r="AP157" s="7"/>
      <c r="AQ157" s="8"/>
      <c r="AR157" s="7"/>
      <c r="AS157" s="7"/>
      <c r="AT157" s="7"/>
      <c r="AU157" s="7"/>
      <c r="AV157" s="8">
        <f t="shared" si="2"/>
        <v>0</v>
      </c>
      <c r="AW157" s="7"/>
      <c r="AX157" s="7"/>
      <c r="AY157" s="7"/>
      <c r="AZ157" s="7"/>
      <c r="BA157" s="8">
        <f t="shared" si="3"/>
        <v>0</v>
      </c>
      <c r="BB157" s="7"/>
      <c r="BC157" s="7"/>
      <c r="BD157" s="7"/>
      <c r="BE157" s="7"/>
      <c r="BF157" s="8">
        <f t="shared" si="4"/>
        <v>0</v>
      </c>
      <c r="BG157" s="7"/>
      <c r="BH157" s="7"/>
      <c r="BI157" s="7"/>
      <c r="BJ157" s="7"/>
      <c r="BK157" s="8">
        <f t="shared" si="5"/>
        <v>0</v>
      </c>
      <c r="BL157" s="7"/>
      <c r="BM157" s="7"/>
      <c r="BN157" s="7"/>
      <c r="BO157" s="7"/>
      <c r="BP157" s="8">
        <f t="shared" si="6"/>
        <v>0</v>
      </c>
      <c r="BQ157" s="7"/>
      <c r="BR157" s="7"/>
      <c r="BS157" s="7"/>
      <c r="BT157" s="7"/>
      <c r="BU157" s="8">
        <f t="shared" si="7"/>
        <v>0</v>
      </c>
      <c r="BV157" s="7"/>
      <c r="BW157" s="7"/>
      <c r="BX157" s="7"/>
      <c r="BY157" s="7"/>
      <c r="BZ157" s="8">
        <f t="shared" si="8"/>
        <v>0</v>
      </c>
      <c r="CA157" s="7"/>
      <c r="CB157" s="7"/>
      <c r="CC157" s="7"/>
      <c r="CD157" s="7"/>
      <c r="CE157" s="8">
        <f t="shared" si="9"/>
        <v>0</v>
      </c>
      <c r="CF157" s="7"/>
      <c r="CG157" s="7"/>
      <c r="CH157" s="7"/>
      <c r="CI157" s="7"/>
      <c r="CJ157" s="8">
        <f t="shared" si="10"/>
        <v>0</v>
      </c>
      <c r="CK157" s="25"/>
      <c r="CL157" s="25"/>
      <c r="CM157" s="25"/>
      <c r="CN157" s="25"/>
      <c r="CO157" s="26"/>
      <c r="CP157">
        <f>Form_Responses1[[#This Row],[Column89]]</f>
        <v>0</v>
      </c>
      <c r="CQ157">
        <f>IF(Form_Responses1[[#This Row],[Column94]]&gt;0,Form_Responses1[[#This Row],[Column94]],Form_Responses1[[#This Row],[Column91]])</f>
        <v>0</v>
      </c>
    </row>
    <row r="158" spans="1:95" ht="12.75">
      <c r="A158" s="12"/>
      <c r="B158" s="13"/>
      <c r="C158" s="13"/>
      <c r="D158" s="13"/>
      <c r="E158" s="13"/>
      <c r="F158" s="13"/>
      <c r="G158" s="4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8"/>
      <c r="AH158" s="13"/>
      <c r="AI158" s="13"/>
      <c r="AJ158" s="13"/>
      <c r="AK158" s="13"/>
      <c r="AL158" s="8"/>
      <c r="AM158" s="13"/>
      <c r="AN158" s="13"/>
      <c r="AO158" s="13"/>
      <c r="AP158" s="13"/>
      <c r="AQ158" s="8"/>
      <c r="AR158" s="13"/>
      <c r="AS158" s="13"/>
      <c r="AT158" s="13"/>
      <c r="AU158" s="13"/>
      <c r="AV158" s="8">
        <f t="shared" si="2"/>
        <v>0</v>
      </c>
      <c r="AW158" s="13"/>
      <c r="AX158" s="13"/>
      <c r="AY158" s="13"/>
      <c r="AZ158" s="13"/>
      <c r="BA158" s="8">
        <f t="shared" si="3"/>
        <v>0</v>
      </c>
      <c r="BB158" s="13"/>
      <c r="BC158" s="13"/>
      <c r="BD158" s="13"/>
      <c r="BE158" s="13"/>
      <c r="BF158" s="8">
        <f t="shared" si="4"/>
        <v>0</v>
      </c>
      <c r="BG158" s="13"/>
      <c r="BH158" s="13"/>
      <c r="BI158" s="13"/>
      <c r="BJ158" s="13"/>
      <c r="BK158" s="8">
        <f t="shared" si="5"/>
        <v>0</v>
      </c>
      <c r="BL158" s="13"/>
      <c r="BM158" s="13"/>
      <c r="BN158" s="13"/>
      <c r="BO158" s="13"/>
      <c r="BP158" s="8">
        <f t="shared" si="6"/>
        <v>0</v>
      </c>
      <c r="BQ158" s="13"/>
      <c r="BR158" s="13"/>
      <c r="BS158" s="13"/>
      <c r="BT158" s="13"/>
      <c r="BU158" s="8">
        <f t="shared" si="7"/>
        <v>0</v>
      </c>
      <c r="BV158" s="13"/>
      <c r="BW158" s="13"/>
      <c r="BX158" s="13"/>
      <c r="BY158" s="13"/>
      <c r="BZ158" s="8">
        <f t="shared" si="8"/>
        <v>0</v>
      </c>
      <c r="CA158" s="13"/>
      <c r="CB158" s="13"/>
      <c r="CC158" s="13"/>
      <c r="CD158" s="13"/>
      <c r="CE158" s="8">
        <f t="shared" si="9"/>
        <v>0</v>
      </c>
      <c r="CF158" s="13"/>
      <c r="CG158" s="13"/>
      <c r="CH158" s="13"/>
      <c r="CI158" s="13"/>
      <c r="CJ158" s="8">
        <f t="shared" si="10"/>
        <v>0</v>
      </c>
      <c r="CK158" s="23"/>
      <c r="CL158" s="23"/>
      <c r="CM158" s="23"/>
      <c r="CN158" s="23"/>
      <c r="CO158" s="24"/>
      <c r="CP158">
        <f>Form_Responses1[[#This Row],[Column89]]</f>
        <v>0</v>
      </c>
      <c r="CQ158">
        <f>IF(Form_Responses1[[#This Row],[Column94]]&gt;0,Form_Responses1[[#This Row],[Column94]],Form_Responses1[[#This Row],[Column91]])</f>
        <v>0</v>
      </c>
    </row>
    <row r="159" spans="1:95" ht="12.75">
      <c r="A159" s="6"/>
      <c r="B159" s="7"/>
      <c r="C159" s="7"/>
      <c r="D159" s="7"/>
      <c r="E159" s="7"/>
      <c r="F159" s="7"/>
      <c r="G159" s="4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8"/>
      <c r="AH159" s="7"/>
      <c r="AI159" s="7"/>
      <c r="AJ159" s="7"/>
      <c r="AK159" s="7"/>
      <c r="AL159" s="8"/>
      <c r="AM159" s="7"/>
      <c r="AN159" s="7"/>
      <c r="AO159" s="7"/>
      <c r="AP159" s="7"/>
      <c r="AQ159" s="8"/>
      <c r="AR159" s="7"/>
      <c r="AS159" s="7"/>
      <c r="AT159" s="7"/>
      <c r="AU159" s="7"/>
      <c r="AV159" s="8">
        <f t="shared" si="2"/>
        <v>0</v>
      </c>
      <c r="AW159" s="7"/>
      <c r="AX159" s="7"/>
      <c r="AY159" s="7"/>
      <c r="AZ159" s="7"/>
      <c r="BA159" s="8">
        <f t="shared" si="3"/>
        <v>0</v>
      </c>
      <c r="BB159" s="7"/>
      <c r="BC159" s="7"/>
      <c r="BD159" s="7"/>
      <c r="BE159" s="7"/>
      <c r="BF159" s="8">
        <f t="shared" si="4"/>
        <v>0</v>
      </c>
      <c r="BG159" s="7"/>
      <c r="BH159" s="7"/>
      <c r="BI159" s="7"/>
      <c r="BJ159" s="7"/>
      <c r="BK159" s="8">
        <f t="shared" si="5"/>
        <v>0</v>
      </c>
      <c r="BL159" s="7"/>
      <c r="BM159" s="7"/>
      <c r="BN159" s="7"/>
      <c r="BO159" s="7"/>
      <c r="BP159" s="8">
        <f t="shared" si="6"/>
        <v>0</v>
      </c>
      <c r="BQ159" s="7"/>
      <c r="BR159" s="7"/>
      <c r="BS159" s="7"/>
      <c r="BT159" s="7"/>
      <c r="BU159" s="8">
        <f t="shared" si="7"/>
        <v>0</v>
      </c>
      <c r="BV159" s="7"/>
      <c r="BW159" s="7"/>
      <c r="BX159" s="7"/>
      <c r="BY159" s="7"/>
      <c r="BZ159" s="8">
        <f t="shared" si="8"/>
        <v>0</v>
      </c>
      <c r="CA159" s="7"/>
      <c r="CB159" s="7"/>
      <c r="CC159" s="7"/>
      <c r="CD159" s="7"/>
      <c r="CE159" s="8">
        <f t="shared" si="9"/>
        <v>0</v>
      </c>
      <c r="CF159" s="7"/>
      <c r="CG159" s="7"/>
      <c r="CH159" s="7"/>
      <c r="CI159" s="7"/>
      <c r="CJ159" s="8">
        <f t="shared" si="10"/>
        <v>0</v>
      </c>
      <c r="CK159" s="25"/>
      <c r="CL159" s="25"/>
      <c r="CM159" s="25"/>
      <c r="CN159" s="25"/>
      <c r="CO159" s="26"/>
      <c r="CP159">
        <f>Form_Responses1[[#This Row],[Column89]]</f>
        <v>0</v>
      </c>
      <c r="CQ159">
        <f>IF(Form_Responses1[[#This Row],[Column94]]&gt;0,Form_Responses1[[#This Row],[Column94]],Form_Responses1[[#This Row],[Column91]])</f>
        <v>0</v>
      </c>
    </row>
    <row r="160" spans="1:95" ht="12.75">
      <c r="A160" s="12"/>
      <c r="B160" s="13"/>
      <c r="C160" s="13"/>
      <c r="D160" s="13"/>
      <c r="E160" s="13"/>
      <c r="F160" s="13"/>
      <c r="G160" s="4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8"/>
      <c r="AH160" s="13"/>
      <c r="AI160" s="13"/>
      <c r="AJ160" s="13"/>
      <c r="AK160" s="13"/>
      <c r="AL160" s="8"/>
      <c r="AM160" s="13"/>
      <c r="AN160" s="13"/>
      <c r="AO160" s="13"/>
      <c r="AP160" s="13"/>
      <c r="AQ160" s="8"/>
      <c r="AR160" s="13"/>
      <c r="AS160" s="13"/>
      <c r="AT160" s="13"/>
      <c r="AU160" s="13"/>
      <c r="AV160" s="8">
        <f t="shared" si="2"/>
        <v>0</v>
      </c>
      <c r="AW160" s="13"/>
      <c r="AX160" s="13"/>
      <c r="AY160" s="13"/>
      <c r="AZ160" s="13"/>
      <c r="BA160" s="8">
        <f t="shared" si="3"/>
        <v>0</v>
      </c>
      <c r="BB160" s="13"/>
      <c r="BC160" s="13"/>
      <c r="BD160" s="13"/>
      <c r="BE160" s="13"/>
      <c r="BF160" s="8">
        <f t="shared" si="4"/>
        <v>0</v>
      </c>
      <c r="BG160" s="13"/>
      <c r="BH160" s="13"/>
      <c r="BI160" s="13"/>
      <c r="BJ160" s="13"/>
      <c r="BK160" s="8">
        <f t="shared" si="5"/>
        <v>0</v>
      </c>
      <c r="BL160" s="13"/>
      <c r="BM160" s="13"/>
      <c r="BN160" s="13"/>
      <c r="BO160" s="13"/>
      <c r="BP160" s="8">
        <f t="shared" si="6"/>
        <v>0</v>
      </c>
      <c r="BQ160" s="13"/>
      <c r="BR160" s="13"/>
      <c r="BS160" s="13"/>
      <c r="BT160" s="13"/>
      <c r="BU160" s="8">
        <f t="shared" si="7"/>
        <v>0</v>
      </c>
      <c r="BV160" s="13"/>
      <c r="BW160" s="13"/>
      <c r="BX160" s="13"/>
      <c r="BY160" s="13"/>
      <c r="BZ160" s="8">
        <f t="shared" si="8"/>
        <v>0</v>
      </c>
      <c r="CA160" s="13"/>
      <c r="CB160" s="13"/>
      <c r="CC160" s="13"/>
      <c r="CD160" s="13"/>
      <c r="CE160" s="8">
        <f t="shared" si="9"/>
        <v>0</v>
      </c>
      <c r="CF160" s="13"/>
      <c r="CG160" s="13"/>
      <c r="CH160" s="13"/>
      <c r="CI160" s="13"/>
      <c r="CJ160" s="8">
        <f t="shared" si="10"/>
        <v>0</v>
      </c>
      <c r="CK160" s="23"/>
      <c r="CL160" s="23"/>
      <c r="CM160" s="23"/>
      <c r="CN160" s="23"/>
      <c r="CO160" s="24"/>
      <c r="CP160">
        <f>Form_Responses1[[#This Row],[Column89]]</f>
        <v>0</v>
      </c>
      <c r="CQ160">
        <f>IF(Form_Responses1[[#This Row],[Column94]]&gt;0,Form_Responses1[[#This Row],[Column94]],Form_Responses1[[#This Row],[Column91]])</f>
        <v>0</v>
      </c>
    </row>
    <row r="161" spans="1:95" ht="12.75">
      <c r="A161" s="6"/>
      <c r="B161" s="7"/>
      <c r="C161" s="7"/>
      <c r="D161" s="7"/>
      <c r="E161" s="7"/>
      <c r="F161" s="7"/>
      <c r="G161" s="4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8"/>
      <c r="AH161" s="7"/>
      <c r="AI161" s="7"/>
      <c r="AJ161" s="7"/>
      <c r="AK161" s="7"/>
      <c r="AL161" s="8"/>
      <c r="AM161" s="7"/>
      <c r="AN161" s="7"/>
      <c r="AO161" s="7"/>
      <c r="AP161" s="7"/>
      <c r="AQ161" s="8"/>
      <c r="AR161" s="7"/>
      <c r="AS161" s="7"/>
      <c r="AT161" s="7"/>
      <c r="AU161" s="7"/>
      <c r="AV161" s="8">
        <f t="shared" si="2"/>
        <v>0</v>
      </c>
      <c r="AW161" s="7"/>
      <c r="AX161" s="7"/>
      <c r="AY161" s="7"/>
      <c r="AZ161" s="7"/>
      <c r="BA161" s="8">
        <f t="shared" si="3"/>
        <v>0</v>
      </c>
      <c r="BB161" s="7"/>
      <c r="BC161" s="7"/>
      <c r="BD161" s="7"/>
      <c r="BE161" s="7"/>
      <c r="BF161" s="8">
        <f t="shared" si="4"/>
        <v>0</v>
      </c>
      <c r="BG161" s="7"/>
      <c r="BH161" s="7"/>
      <c r="BI161" s="7"/>
      <c r="BJ161" s="7"/>
      <c r="BK161" s="8">
        <f t="shared" si="5"/>
        <v>0</v>
      </c>
      <c r="BL161" s="7"/>
      <c r="BM161" s="7"/>
      <c r="BN161" s="7"/>
      <c r="BO161" s="7"/>
      <c r="BP161" s="8">
        <f t="shared" si="6"/>
        <v>0</v>
      </c>
      <c r="BQ161" s="7"/>
      <c r="BR161" s="7"/>
      <c r="BS161" s="7"/>
      <c r="BT161" s="7"/>
      <c r="BU161" s="8">
        <f t="shared" si="7"/>
        <v>0</v>
      </c>
      <c r="BV161" s="7"/>
      <c r="BW161" s="7"/>
      <c r="BX161" s="7"/>
      <c r="BY161" s="7"/>
      <c r="BZ161" s="8">
        <f t="shared" si="8"/>
        <v>0</v>
      </c>
      <c r="CA161" s="7"/>
      <c r="CB161" s="7"/>
      <c r="CC161" s="7"/>
      <c r="CD161" s="7"/>
      <c r="CE161" s="8">
        <f t="shared" si="9"/>
        <v>0</v>
      </c>
      <c r="CF161" s="7"/>
      <c r="CG161" s="7"/>
      <c r="CH161" s="7"/>
      <c r="CI161" s="7"/>
      <c r="CJ161" s="8">
        <f t="shared" si="10"/>
        <v>0</v>
      </c>
      <c r="CK161" s="25"/>
      <c r="CL161" s="25"/>
      <c r="CM161" s="25"/>
      <c r="CN161" s="25"/>
      <c r="CO161" s="26"/>
      <c r="CP161">
        <f>Form_Responses1[[#This Row],[Column89]]</f>
        <v>0</v>
      </c>
      <c r="CQ161">
        <f>IF(Form_Responses1[[#This Row],[Column94]]&gt;0,Form_Responses1[[#This Row],[Column94]],Form_Responses1[[#This Row],[Column91]])</f>
        <v>0</v>
      </c>
    </row>
    <row r="162" spans="1:95" ht="12.75">
      <c r="A162" s="12"/>
      <c r="B162" s="13"/>
      <c r="C162" s="13"/>
      <c r="D162" s="13"/>
      <c r="E162" s="13"/>
      <c r="F162" s="13"/>
      <c r="G162" s="4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8"/>
      <c r="AH162" s="13"/>
      <c r="AI162" s="13"/>
      <c r="AJ162" s="13"/>
      <c r="AK162" s="13"/>
      <c r="AL162" s="8"/>
      <c r="AM162" s="13"/>
      <c r="AN162" s="13"/>
      <c r="AO162" s="13"/>
      <c r="AP162" s="13"/>
      <c r="AQ162" s="8"/>
      <c r="AR162" s="13"/>
      <c r="AS162" s="13"/>
      <c r="AT162" s="13"/>
      <c r="AU162" s="13"/>
      <c r="AV162" s="8">
        <f t="shared" si="2"/>
        <v>0</v>
      </c>
      <c r="AW162" s="13"/>
      <c r="AX162" s="13"/>
      <c r="AY162" s="13"/>
      <c r="AZ162" s="13"/>
      <c r="BA162" s="8">
        <f t="shared" si="3"/>
        <v>0</v>
      </c>
      <c r="BB162" s="13"/>
      <c r="BC162" s="13"/>
      <c r="BD162" s="13"/>
      <c r="BE162" s="13"/>
      <c r="BF162" s="8">
        <f t="shared" si="4"/>
        <v>0</v>
      </c>
      <c r="BG162" s="13"/>
      <c r="BH162" s="13"/>
      <c r="BI162" s="13"/>
      <c r="BJ162" s="13"/>
      <c r="BK162" s="8">
        <f t="shared" si="5"/>
        <v>0</v>
      </c>
      <c r="BL162" s="13"/>
      <c r="BM162" s="13"/>
      <c r="BN162" s="13"/>
      <c r="BO162" s="13"/>
      <c r="BP162" s="8">
        <f t="shared" si="6"/>
        <v>0</v>
      </c>
      <c r="BQ162" s="13"/>
      <c r="BR162" s="13"/>
      <c r="BS162" s="13"/>
      <c r="BT162" s="13"/>
      <c r="BU162" s="8">
        <f t="shared" si="7"/>
        <v>0</v>
      </c>
      <c r="BV162" s="13"/>
      <c r="BW162" s="13"/>
      <c r="BX162" s="13"/>
      <c r="BY162" s="13"/>
      <c r="BZ162" s="8">
        <f t="shared" si="8"/>
        <v>0</v>
      </c>
      <c r="CA162" s="13"/>
      <c r="CB162" s="13"/>
      <c r="CC162" s="13"/>
      <c r="CD162" s="13"/>
      <c r="CE162" s="8">
        <f t="shared" si="9"/>
        <v>0</v>
      </c>
      <c r="CF162" s="13"/>
      <c r="CG162" s="13"/>
      <c r="CH162" s="13"/>
      <c r="CI162" s="13"/>
      <c r="CJ162" s="8">
        <f t="shared" si="10"/>
        <v>0</v>
      </c>
      <c r="CK162" s="23"/>
      <c r="CL162" s="23"/>
      <c r="CM162" s="23"/>
      <c r="CN162" s="23"/>
      <c r="CO162" s="24"/>
      <c r="CP162">
        <f>Form_Responses1[[#This Row],[Column89]]</f>
        <v>0</v>
      </c>
      <c r="CQ162">
        <f>IF(Form_Responses1[[#This Row],[Column94]]&gt;0,Form_Responses1[[#This Row],[Column94]],Form_Responses1[[#This Row],[Column91]])</f>
        <v>0</v>
      </c>
    </row>
    <row r="163" spans="1:95" ht="12.75">
      <c r="A163" s="6"/>
      <c r="B163" s="7"/>
      <c r="C163" s="7"/>
      <c r="D163" s="7"/>
      <c r="E163" s="7"/>
      <c r="F163" s="7"/>
      <c r="G163" s="4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8"/>
      <c r="AH163" s="7"/>
      <c r="AI163" s="7"/>
      <c r="AJ163" s="7"/>
      <c r="AK163" s="7"/>
      <c r="AL163" s="8"/>
      <c r="AM163" s="7"/>
      <c r="AN163" s="7"/>
      <c r="AO163" s="7"/>
      <c r="AP163" s="7"/>
      <c r="AQ163" s="8"/>
      <c r="AR163" s="7"/>
      <c r="AS163" s="7"/>
      <c r="AT163" s="7"/>
      <c r="AU163" s="7"/>
      <c r="AV163" s="8">
        <f t="shared" si="2"/>
        <v>0</v>
      </c>
      <c r="AW163" s="7"/>
      <c r="AX163" s="7"/>
      <c r="AY163" s="7"/>
      <c r="AZ163" s="7"/>
      <c r="BA163" s="8">
        <f t="shared" si="3"/>
        <v>0</v>
      </c>
      <c r="BB163" s="7"/>
      <c r="BC163" s="7"/>
      <c r="BD163" s="7"/>
      <c r="BE163" s="7"/>
      <c r="BF163" s="8">
        <f t="shared" si="4"/>
        <v>0</v>
      </c>
      <c r="BG163" s="7"/>
      <c r="BH163" s="7"/>
      <c r="BI163" s="7"/>
      <c r="BJ163" s="7"/>
      <c r="BK163" s="8">
        <f t="shared" si="5"/>
        <v>0</v>
      </c>
      <c r="BL163" s="7"/>
      <c r="BM163" s="7"/>
      <c r="BN163" s="7"/>
      <c r="BO163" s="7"/>
      <c r="BP163" s="8">
        <f t="shared" si="6"/>
        <v>0</v>
      </c>
      <c r="BQ163" s="7"/>
      <c r="BR163" s="7"/>
      <c r="BS163" s="7"/>
      <c r="BT163" s="7"/>
      <c r="BU163" s="8">
        <f t="shared" si="7"/>
        <v>0</v>
      </c>
      <c r="BV163" s="7"/>
      <c r="BW163" s="7"/>
      <c r="BX163" s="7"/>
      <c r="BY163" s="7"/>
      <c r="BZ163" s="8">
        <f t="shared" si="8"/>
        <v>0</v>
      </c>
      <c r="CA163" s="7"/>
      <c r="CB163" s="7"/>
      <c r="CC163" s="7"/>
      <c r="CD163" s="7"/>
      <c r="CE163" s="8">
        <f t="shared" si="9"/>
        <v>0</v>
      </c>
      <c r="CF163" s="7"/>
      <c r="CG163" s="7"/>
      <c r="CH163" s="7"/>
      <c r="CI163" s="7"/>
      <c r="CJ163" s="8">
        <f t="shared" si="10"/>
        <v>0</v>
      </c>
      <c r="CK163" s="25"/>
      <c r="CL163" s="25"/>
      <c r="CM163" s="25"/>
      <c r="CN163" s="25"/>
      <c r="CO163" s="26"/>
      <c r="CP163">
        <f>Form_Responses1[[#This Row],[Column89]]</f>
        <v>0</v>
      </c>
      <c r="CQ163">
        <f>IF(Form_Responses1[[#This Row],[Column94]]&gt;0,Form_Responses1[[#This Row],[Column94]],Form_Responses1[[#This Row],[Column91]])</f>
        <v>0</v>
      </c>
    </row>
    <row r="164" spans="1:95" ht="12.75">
      <c r="A164" s="12"/>
      <c r="B164" s="13"/>
      <c r="C164" s="13"/>
      <c r="D164" s="13"/>
      <c r="E164" s="13"/>
      <c r="F164" s="13"/>
      <c r="G164" s="4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8"/>
      <c r="AH164" s="13"/>
      <c r="AI164" s="13"/>
      <c r="AJ164" s="13"/>
      <c r="AK164" s="13"/>
      <c r="AL164" s="8"/>
      <c r="AM164" s="13"/>
      <c r="AN164" s="13"/>
      <c r="AO164" s="13"/>
      <c r="AP164" s="13"/>
      <c r="AQ164" s="8"/>
      <c r="AR164" s="13"/>
      <c r="AS164" s="13"/>
      <c r="AT164" s="13"/>
      <c r="AU164" s="13"/>
      <c r="AV164" s="8">
        <f t="shared" si="2"/>
        <v>0</v>
      </c>
      <c r="AW164" s="13"/>
      <c r="AX164" s="13"/>
      <c r="AY164" s="13"/>
      <c r="AZ164" s="13"/>
      <c r="BA164" s="8">
        <f t="shared" si="3"/>
        <v>0</v>
      </c>
      <c r="BB164" s="13"/>
      <c r="BC164" s="13"/>
      <c r="BD164" s="13"/>
      <c r="BE164" s="13"/>
      <c r="BF164" s="8">
        <f t="shared" si="4"/>
        <v>0</v>
      </c>
      <c r="BG164" s="13"/>
      <c r="BH164" s="13"/>
      <c r="BI164" s="13"/>
      <c r="BJ164" s="13"/>
      <c r="BK164" s="8">
        <f t="shared" si="5"/>
        <v>0</v>
      </c>
      <c r="BL164" s="13"/>
      <c r="BM164" s="13"/>
      <c r="BN164" s="13"/>
      <c r="BO164" s="13"/>
      <c r="BP164" s="8">
        <f t="shared" si="6"/>
        <v>0</v>
      </c>
      <c r="BQ164" s="13"/>
      <c r="BR164" s="13"/>
      <c r="BS164" s="13"/>
      <c r="BT164" s="13"/>
      <c r="BU164" s="8">
        <f t="shared" si="7"/>
        <v>0</v>
      </c>
      <c r="BV164" s="13"/>
      <c r="BW164" s="13"/>
      <c r="BX164" s="13"/>
      <c r="BY164" s="13"/>
      <c r="BZ164" s="8">
        <f t="shared" si="8"/>
        <v>0</v>
      </c>
      <c r="CA164" s="13"/>
      <c r="CB164" s="13"/>
      <c r="CC164" s="13"/>
      <c r="CD164" s="13"/>
      <c r="CE164" s="8">
        <f t="shared" si="9"/>
        <v>0</v>
      </c>
      <c r="CF164" s="13"/>
      <c r="CG164" s="13"/>
      <c r="CH164" s="13"/>
      <c r="CI164" s="13"/>
      <c r="CJ164" s="8">
        <f t="shared" si="10"/>
        <v>0</v>
      </c>
      <c r="CK164" s="23"/>
      <c r="CL164" s="23"/>
      <c r="CM164" s="23"/>
      <c r="CN164" s="23"/>
      <c r="CO164" s="24"/>
      <c r="CP164">
        <f>Form_Responses1[[#This Row],[Column89]]</f>
        <v>0</v>
      </c>
      <c r="CQ164">
        <f>IF(Form_Responses1[[#This Row],[Column94]]&gt;0,Form_Responses1[[#This Row],[Column94]],Form_Responses1[[#This Row],[Column91]])</f>
        <v>0</v>
      </c>
    </row>
    <row r="165" spans="1:95" ht="12.75">
      <c r="A165" s="6"/>
      <c r="B165" s="7"/>
      <c r="C165" s="7"/>
      <c r="D165" s="7"/>
      <c r="E165" s="7"/>
      <c r="F165" s="7"/>
      <c r="G165" s="4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8"/>
      <c r="AH165" s="7"/>
      <c r="AI165" s="7"/>
      <c r="AJ165" s="7"/>
      <c r="AK165" s="7"/>
      <c r="AL165" s="8"/>
      <c r="AM165" s="7"/>
      <c r="AN165" s="7"/>
      <c r="AO165" s="7"/>
      <c r="AP165" s="7"/>
      <c r="AQ165" s="8"/>
      <c r="AR165" s="7"/>
      <c r="AS165" s="7"/>
      <c r="AT165" s="7"/>
      <c r="AU165" s="7"/>
      <c r="AV165" s="8">
        <f t="shared" si="2"/>
        <v>0</v>
      </c>
      <c r="AW165" s="7"/>
      <c r="AX165" s="7"/>
      <c r="AY165" s="7"/>
      <c r="AZ165" s="7"/>
      <c r="BA165" s="8">
        <f t="shared" si="3"/>
        <v>0</v>
      </c>
      <c r="BB165" s="7"/>
      <c r="BC165" s="7"/>
      <c r="BD165" s="7"/>
      <c r="BE165" s="7"/>
      <c r="BF165" s="8">
        <f t="shared" si="4"/>
        <v>0</v>
      </c>
      <c r="BG165" s="7"/>
      <c r="BH165" s="7"/>
      <c r="BI165" s="7"/>
      <c r="BJ165" s="7"/>
      <c r="BK165" s="8">
        <f t="shared" si="5"/>
        <v>0</v>
      </c>
      <c r="BL165" s="7"/>
      <c r="BM165" s="7"/>
      <c r="BN165" s="7"/>
      <c r="BO165" s="7"/>
      <c r="BP165" s="8">
        <f t="shared" si="6"/>
        <v>0</v>
      </c>
      <c r="BQ165" s="7"/>
      <c r="BR165" s="7"/>
      <c r="BS165" s="7"/>
      <c r="BT165" s="7"/>
      <c r="BU165" s="8">
        <f t="shared" si="7"/>
        <v>0</v>
      </c>
      <c r="BV165" s="7"/>
      <c r="BW165" s="7"/>
      <c r="BX165" s="7"/>
      <c r="BY165" s="7"/>
      <c r="BZ165" s="8">
        <f t="shared" si="8"/>
        <v>0</v>
      </c>
      <c r="CA165" s="7"/>
      <c r="CB165" s="7"/>
      <c r="CC165" s="7"/>
      <c r="CD165" s="7"/>
      <c r="CE165" s="8">
        <f t="shared" si="9"/>
        <v>0</v>
      </c>
      <c r="CF165" s="7"/>
      <c r="CG165" s="7"/>
      <c r="CH165" s="7"/>
      <c r="CI165" s="7"/>
      <c r="CJ165" s="8">
        <f t="shared" si="10"/>
        <v>0</v>
      </c>
      <c r="CK165" s="25"/>
      <c r="CL165" s="25"/>
      <c r="CM165" s="25"/>
      <c r="CN165" s="25"/>
      <c r="CO165" s="26"/>
      <c r="CP165">
        <f>Form_Responses1[[#This Row],[Column89]]</f>
        <v>0</v>
      </c>
      <c r="CQ165">
        <f>IF(Form_Responses1[[#This Row],[Column94]]&gt;0,Form_Responses1[[#This Row],[Column94]],Form_Responses1[[#This Row],[Column91]])</f>
        <v>0</v>
      </c>
    </row>
    <row r="166" spans="1:95" ht="12.75">
      <c r="A166" s="12"/>
      <c r="B166" s="13"/>
      <c r="C166" s="13"/>
      <c r="D166" s="13"/>
      <c r="E166" s="13"/>
      <c r="F166" s="13"/>
      <c r="G166" s="4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8"/>
      <c r="AH166" s="13"/>
      <c r="AI166" s="13"/>
      <c r="AJ166" s="13"/>
      <c r="AK166" s="13"/>
      <c r="AL166" s="8"/>
      <c r="AM166" s="13"/>
      <c r="AN166" s="13"/>
      <c r="AO166" s="13"/>
      <c r="AP166" s="13"/>
      <c r="AQ166" s="8"/>
      <c r="AR166" s="13"/>
      <c r="AS166" s="13"/>
      <c r="AT166" s="13"/>
      <c r="AU166" s="13"/>
      <c r="AV166" s="8">
        <f t="shared" si="2"/>
        <v>0</v>
      </c>
      <c r="AW166" s="13"/>
      <c r="AX166" s="13"/>
      <c r="AY166" s="13"/>
      <c r="AZ166" s="13"/>
      <c r="BA166" s="8">
        <f t="shared" si="3"/>
        <v>0</v>
      </c>
      <c r="BB166" s="13"/>
      <c r="BC166" s="13"/>
      <c r="BD166" s="13"/>
      <c r="BE166" s="13"/>
      <c r="BF166" s="8">
        <f t="shared" si="4"/>
        <v>0</v>
      </c>
      <c r="BG166" s="13"/>
      <c r="BH166" s="13"/>
      <c r="BI166" s="13"/>
      <c r="BJ166" s="13"/>
      <c r="BK166" s="8">
        <f t="shared" si="5"/>
        <v>0</v>
      </c>
      <c r="BL166" s="13"/>
      <c r="BM166" s="13"/>
      <c r="BN166" s="13"/>
      <c r="BO166" s="13"/>
      <c r="BP166" s="8">
        <f t="shared" si="6"/>
        <v>0</v>
      </c>
      <c r="BQ166" s="13"/>
      <c r="BR166" s="13"/>
      <c r="BS166" s="13"/>
      <c r="BT166" s="13"/>
      <c r="BU166" s="8">
        <f t="shared" si="7"/>
        <v>0</v>
      </c>
      <c r="BV166" s="13"/>
      <c r="BW166" s="13"/>
      <c r="BX166" s="13"/>
      <c r="BY166" s="13"/>
      <c r="BZ166" s="8">
        <f t="shared" si="8"/>
        <v>0</v>
      </c>
      <c r="CA166" s="13"/>
      <c r="CB166" s="13"/>
      <c r="CC166" s="13"/>
      <c r="CD166" s="13"/>
      <c r="CE166" s="8">
        <f t="shared" si="9"/>
        <v>0</v>
      </c>
      <c r="CF166" s="13"/>
      <c r="CG166" s="13"/>
      <c r="CH166" s="13"/>
      <c r="CI166" s="13"/>
      <c r="CJ166" s="8">
        <f t="shared" si="10"/>
        <v>0</v>
      </c>
      <c r="CK166" s="23"/>
      <c r="CL166" s="23"/>
      <c r="CM166" s="23"/>
      <c r="CN166" s="23"/>
      <c r="CO166" s="24"/>
      <c r="CP166">
        <f>Form_Responses1[[#This Row],[Column89]]</f>
        <v>0</v>
      </c>
      <c r="CQ166">
        <f>IF(Form_Responses1[[#This Row],[Column94]]&gt;0,Form_Responses1[[#This Row],[Column94]],Form_Responses1[[#This Row],[Column91]])</f>
        <v>0</v>
      </c>
    </row>
    <row r="167" spans="1:95" ht="12.75">
      <c r="A167" s="6"/>
      <c r="B167" s="7"/>
      <c r="C167" s="7"/>
      <c r="D167" s="7"/>
      <c r="E167" s="7"/>
      <c r="F167" s="7"/>
      <c r="G167" s="4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8"/>
      <c r="AH167" s="7"/>
      <c r="AI167" s="7"/>
      <c r="AJ167" s="7"/>
      <c r="AK167" s="7"/>
      <c r="AL167" s="8"/>
      <c r="AM167" s="7"/>
      <c r="AN167" s="7"/>
      <c r="AO167" s="7"/>
      <c r="AP167" s="7"/>
      <c r="AQ167" s="8"/>
      <c r="AR167" s="7"/>
      <c r="AS167" s="7"/>
      <c r="AT167" s="7"/>
      <c r="AU167" s="7"/>
      <c r="AV167" s="8">
        <f t="shared" si="2"/>
        <v>0</v>
      </c>
      <c r="AW167" s="7"/>
      <c r="AX167" s="7"/>
      <c r="AY167" s="7"/>
      <c r="AZ167" s="7"/>
      <c r="BA167" s="8">
        <f t="shared" si="3"/>
        <v>0</v>
      </c>
      <c r="BB167" s="7"/>
      <c r="BC167" s="7"/>
      <c r="BD167" s="7"/>
      <c r="BE167" s="7"/>
      <c r="BF167" s="8">
        <f t="shared" si="4"/>
        <v>0</v>
      </c>
      <c r="BG167" s="7"/>
      <c r="BH167" s="7"/>
      <c r="BI167" s="7"/>
      <c r="BJ167" s="7"/>
      <c r="BK167" s="8">
        <f t="shared" si="5"/>
        <v>0</v>
      </c>
      <c r="BL167" s="7"/>
      <c r="BM167" s="7"/>
      <c r="BN167" s="7"/>
      <c r="BO167" s="7"/>
      <c r="BP167" s="8">
        <f t="shared" si="6"/>
        <v>0</v>
      </c>
      <c r="BQ167" s="7"/>
      <c r="BR167" s="7"/>
      <c r="BS167" s="7"/>
      <c r="BT167" s="7"/>
      <c r="BU167" s="8">
        <f t="shared" si="7"/>
        <v>0</v>
      </c>
      <c r="BV167" s="7"/>
      <c r="BW167" s="7"/>
      <c r="BX167" s="7"/>
      <c r="BY167" s="7"/>
      <c r="BZ167" s="8">
        <f t="shared" si="8"/>
        <v>0</v>
      </c>
      <c r="CA167" s="7"/>
      <c r="CB167" s="7"/>
      <c r="CC167" s="7"/>
      <c r="CD167" s="7"/>
      <c r="CE167" s="8">
        <f t="shared" si="9"/>
        <v>0</v>
      </c>
      <c r="CF167" s="7"/>
      <c r="CG167" s="7"/>
      <c r="CH167" s="7"/>
      <c r="CI167" s="7"/>
      <c r="CJ167" s="8">
        <f t="shared" si="10"/>
        <v>0</v>
      </c>
      <c r="CK167" s="25"/>
      <c r="CL167" s="25"/>
      <c r="CM167" s="25"/>
      <c r="CN167" s="25"/>
      <c r="CO167" s="26"/>
      <c r="CP167">
        <f>Form_Responses1[[#This Row],[Column89]]</f>
        <v>0</v>
      </c>
      <c r="CQ167">
        <f>IF(Form_Responses1[[#This Row],[Column94]]&gt;0,Form_Responses1[[#This Row],[Column94]],Form_Responses1[[#This Row],[Column91]])</f>
        <v>0</v>
      </c>
    </row>
    <row r="168" spans="1:95" ht="12.75">
      <c r="A168" s="12"/>
      <c r="B168" s="13"/>
      <c r="C168" s="13"/>
      <c r="D168" s="13"/>
      <c r="E168" s="13"/>
      <c r="F168" s="13"/>
      <c r="G168" s="4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8"/>
      <c r="AH168" s="13"/>
      <c r="AI168" s="13"/>
      <c r="AJ168" s="13"/>
      <c r="AK168" s="13"/>
      <c r="AL168" s="8"/>
      <c r="AM168" s="13"/>
      <c r="AN168" s="13"/>
      <c r="AO168" s="13"/>
      <c r="AP168" s="13"/>
      <c r="AQ168" s="8"/>
      <c r="AR168" s="13"/>
      <c r="AS168" s="13"/>
      <c r="AT168" s="13"/>
      <c r="AU168" s="13"/>
      <c r="AV168" s="8">
        <f t="shared" si="2"/>
        <v>0</v>
      </c>
      <c r="AW168" s="13"/>
      <c r="AX168" s="13"/>
      <c r="AY168" s="13"/>
      <c r="AZ168" s="13"/>
      <c r="BA168" s="8">
        <f t="shared" si="3"/>
        <v>0</v>
      </c>
      <c r="BB168" s="13"/>
      <c r="BC168" s="13"/>
      <c r="BD168" s="13"/>
      <c r="BE168" s="13"/>
      <c r="BF168" s="8">
        <f t="shared" si="4"/>
        <v>0</v>
      </c>
      <c r="BG168" s="13"/>
      <c r="BH168" s="13"/>
      <c r="BI168" s="13"/>
      <c r="BJ168" s="13"/>
      <c r="BK168" s="8">
        <f t="shared" si="5"/>
        <v>0</v>
      </c>
      <c r="BL168" s="13"/>
      <c r="BM168" s="13"/>
      <c r="BN168" s="13"/>
      <c r="BO168" s="13"/>
      <c r="BP168" s="8">
        <f t="shared" si="6"/>
        <v>0</v>
      </c>
      <c r="BQ168" s="13"/>
      <c r="BR168" s="13"/>
      <c r="BS168" s="13"/>
      <c r="BT168" s="13"/>
      <c r="BU168" s="8">
        <f t="shared" si="7"/>
        <v>0</v>
      </c>
      <c r="BV168" s="13"/>
      <c r="BW168" s="13"/>
      <c r="BX168" s="13"/>
      <c r="BY168" s="13"/>
      <c r="BZ168" s="8">
        <f t="shared" si="8"/>
        <v>0</v>
      </c>
      <c r="CA168" s="13"/>
      <c r="CB168" s="13"/>
      <c r="CC168" s="13"/>
      <c r="CD168" s="13"/>
      <c r="CE168" s="8">
        <f t="shared" si="9"/>
        <v>0</v>
      </c>
      <c r="CF168" s="13"/>
      <c r="CG168" s="13"/>
      <c r="CH168" s="13"/>
      <c r="CI168" s="13"/>
      <c r="CJ168" s="8">
        <f t="shared" si="10"/>
        <v>0</v>
      </c>
      <c r="CK168" s="23"/>
      <c r="CL168" s="23"/>
      <c r="CM168" s="23"/>
      <c r="CN168" s="23"/>
      <c r="CO168" s="24"/>
      <c r="CP168">
        <f>Form_Responses1[[#This Row],[Column89]]</f>
        <v>0</v>
      </c>
      <c r="CQ168">
        <f>IF(Form_Responses1[[#This Row],[Column94]]&gt;0,Form_Responses1[[#This Row],[Column94]],Form_Responses1[[#This Row],[Column91]])</f>
        <v>0</v>
      </c>
    </row>
    <row r="169" spans="1:95" ht="12.75">
      <c r="A169" s="6"/>
      <c r="B169" s="7"/>
      <c r="C169" s="7"/>
      <c r="D169" s="7"/>
      <c r="E169" s="7"/>
      <c r="F169" s="7"/>
      <c r="G169" s="4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8"/>
      <c r="AH169" s="7"/>
      <c r="AI169" s="7"/>
      <c r="AJ169" s="7"/>
      <c r="AK169" s="7"/>
      <c r="AL169" s="8"/>
      <c r="AM169" s="7"/>
      <c r="AN169" s="7"/>
      <c r="AO169" s="7"/>
      <c r="AP169" s="7"/>
      <c r="AQ169" s="8"/>
      <c r="AR169" s="7"/>
      <c r="AS169" s="7"/>
      <c r="AT169" s="7"/>
      <c r="AU169" s="7"/>
      <c r="AV169" s="8">
        <f t="shared" si="2"/>
        <v>0</v>
      </c>
      <c r="AW169" s="7"/>
      <c r="AX169" s="7"/>
      <c r="AY169" s="7"/>
      <c r="AZ169" s="7"/>
      <c r="BA169" s="8">
        <f t="shared" si="3"/>
        <v>0</v>
      </c>
      <c r="BB169" s="7"/>
      <c r="BC169" s="7"/>
      <c r="BD169" s="7"/>
      <c r="BE169" s="7"/>
      <c r="BF169" s="8">
        <f t="shared" si="4"/>
        <v>0</v>
      </c>
      <c r="BG169" s="7"/>
      <c r="BH169" s="7"/>
      <c r="BI169" s="7"/>
      <c r="BJ169" s="7"/>
      <c r="BK169" s="8">
        <f t="shared" si="5"/>
        <v>0</v>
      </c>
      <c r="BL169" s="7"/>
      <c r="BM169" s="7"/>
      <c r="BN169" s="7"/>
      <c r="BO169" s="7"/>
      <c r="BP169" s="8">
        <f t="shared" si="6"/>
        <v>0</v>
      </c>
      <c r="BQ169" s="7"/>
      <c r="BR169" s="7"/>
      <c r="BS169" s="7"/>
      <c r="BT169" s="7"/>
      <c r="BU169" s="8">
        <f t="shared" si="7"/>
        <v>0</v>
      </c>
      <c r="BV169" s="7"/>
      <c r="BW169" s="7"/>
      <c r="BX169" s="7"/>
      <c r="BY169" s="7"/>
      <c r="BZ169" s="8">
        <f t="shared" si="8"/>
        <v>0</v>
      </c>
      <c r="CA169" s="7"/>
      <c r="CB169" s="7"/>
      <c r="CC169" s="7"/>
      <c r="CD169" s="7"/>
      <c r="CE169" s="8">
        <f t="shared" si="9"/>
        <v>0</v>
      </c>
      <c r="CF169" s="7"/>
      <c r="CG169" s="7"/>
      <c r="CH169" s="7"/>
      <c r="CI169" s="7"/>
      <c r="CJ169" s="8">
        <f t="shared" si="10"/>
        <v>0</v>
      </c>
      <c r="CK169" s="25"/>
      <c r="CL169" s="25"/>
      <c r="CM169" s="25"/>
      <c r="CN169" s="25"/>
      <c r="CO169" s="26"/>
      <c r="CP169">
        <f>Form_Responses1[[#This Row],[Column89]]</f>
        <v>0</v>
      </c>
      <c r="CQ169">
        <f>IF(Form_Responses1[[#This Row],[Column94]]&gt;0,Form_Responses1[[#This Row],[Column94]],Form_Responses1[[#This Row],[Column91]])</f>
        <v>0</v>
      </c>
    </row>
    <row r="170" spans="1:95" ht="12.75">
      <c r="A170" s="12"/>
      <c r="B170" s="13"/>
      <c r="C170" s="13"/>
      <c r="D170" s="13"/>
      <c r="E170" s="13"/>
      <c r="F170" s="13"/>
      <c r="G170" s="4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8"/>
      <c r="AH170" s="13"/>
      <c r="AI170" s="13"/>
      <c r="AJ170" s="13"/>
      <c r="AK170" s="13"/>
      <c r="AL170" s="8"/>
      <c r="AM170" s="13"/>
      <c r="AN170" s="13"/>
      <c r="AO170" s="13"/>
      <c r="AP170" s="13"/>
      <c r="AQ170" s="8"/>
      <c r="AR170" s="13"/>
      <c r="AS170" s="13"/>
      <c r="AT170" s="13"/>
      <c r="AU170" s="13"/>
      <c r="AV170" s="8">
        <f t="shared" si="2"/>
        <v>0</v>
      </c>
      <c r="AW170" s="13"/>
      <c r="AX170" s="13"/>
      <c r="AY170" s="13"/>
      <c r="AZ170" s="13"/>
      <c r="BA170" s="8">
        <f t="shared" si="3"/>
        <v>0</v>
      </c>
      <c r="BB170" s="13"/>
      <c r="BC170" s="13"/>
      <c r="BD170" s="13"/>
      <c r="BE170" s="13"/>
      <c r="BF170" s="8">
        <f t="shared" si="4"/>
        <v>0</v>
      </c>
      <c r="BG170" s="13"/>
      <c r="BH170" s="13"/>
      <c r="BI170" s="13"/>
      <c r="BJ170" s="13"/>
      <c r="BK170" s="8">
        <f t="shared" si="5"/>
        <v>0</v>
      </c>
      <c r="BL170" s="13"/>
      <c r="BM170" s="13"/>
      <c r="BN170" s="13"/>
      <c r="BO170" s="13"/>
      <c r="BP170" s="8">
        <f t="shared" si="6"/>
        <v>0</v>
      </c>
      <c r="BQ170" s="13"/>
      <c r="BR170" s="13"/>
      <c r="BS170" s="13"/>
      <c r="BT170" s="13"/>
      <c r="BU170" s="8">
        <f t="shared" si="7"/>
        <v>0</v>
      </c>
      <c r="BV170" s="13"/>
      <c r="BW170" s="13"/>
      <c r="BX170" s="13"/>
      <c r="BY170" s="13"/>
      <c r="BZ170" s="8">
        <f t="shared" si="8"/>
        <v>0</v>
      </c>
      <c r="CA170" s="13"/>
      <c r="CB170" s="13"/>
      <c r="CC170" s="13"/>
      <c r="CD170" s="13"/>
      <c r="CE170" s="8">
        <f t="shared" si="9"/>
        <v>0</v>
      </c>
      <c r="CF170" s="13"/>
      <c r="CG170" s="13"/>
      <c r="CH170" s="13"/>
      <c r="CI170" s="13"/>
      <c r="CJ170" s="8">
        <f t="shared" si="10"/>
        <v>0</v>
      </c>
      <c r="CK170" s="23"/>
      <c r="CL170" s="23"/>
      <c r="CM170" s="23"/>
      <c r="CN170" s="23"/>
      <c r="CO170" s="24"/>
      <c r="CP170">
        <f>Form_Responses1[[#This Row],[Column89]]</f>
        <v>0</v>
      </c>
      <c r="CQ170">
        <f>IF(Form_Responses1[[#This Row],[Column94]]&gt;0,Form_Responses1[[#This Row],[Column94]],Form_Responses1[[#This Row],[Column91]])</f>
        <v>0</v>
      </c>
    </row>
    <row r="171" spans="1:95" ht="12.75">
      <c r="A171" s="6"/>
      <c r="B171" s="7"/>
      <c r="C171" s="7"/>
      <c r="D171" s="7"/>
      <c r="E171" s="7"/>
      <c r="F171" s="7"/>
      <c r="G171" s="4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8"/>
      <c r="AH171" s="7"/>
      <c r="AI171" s="7"/>
      <c r="AJ171" s="7"/>
      <c r="AK171" s="7"/>
      <c r="AL171" s="8"/>
      <c r="AM171" s="7"/>
      <c r="AN171" s="7"/>
      <c r="AO171" s="7"/>
      <c r="AP171" s="7"/>
      <c r="AQ171" s="8"/>
      <c r="AR171" s="7"/>
      <c r="AS171" s="7"/>
      <c r="AT171" s="7"/>
      <c r="AU171" s="7"/>
      <c r="AV171" s="8">
        <f t="shared" si="2"/>
        <v>0</v>
      </c>
      <c r="AW171" s="7"/>
      <c r="AX171" s="7"/>
      <c r="AY171" s="7"/>
      <c r="AZ171" s="7"/>
      <c r="BA171" s="8">
        <f t="shared" si="3"/>
        <v>0</v>
      </c>
      <c r="BB171" s="7"/>
      <c r="BC171" s="7"/>
      <c r="BD171" s="7"/>
      <c r="BE171" s="7"/>
      <c r="BF171" s="8">
        <f t="shared" si="4"/>
        <v>0</v>
      </c>
      <c r="BG171" s="7"/>
      <c r="BH171" s="7"/>
      <c r="BI171" s="7"/>
      <c r="BJ171" s="7"/>
      <c r="BK171" s="8">
        <f t="shared" si="5"/>
        <v>0</v>
      </c>
      <c r="BL171" s="7"/>
      <c r="BM171" s="7"/>
      <c r="BN171" s="7"/>
      <c r="BO171" s="7"/>
      <c r="BP171" s="8">
        <f t="shared" si="6"/>
        <v>0</v>
      </c>
      <c r="BQ171" s="7"/>
      <c r="BR171" s="7"/>
      <c r="BS171" s="7"/>
      <c r="BT171" s="7"/>
      <c r="BU171" s="8">
        <f t="shared" si="7"/>
        <v>0</v>
      </c>
      <c r="BV171" s="7"/>
      <c r="BW171" s="7"/>
      <c r="BX171" s="7"/>
      <c r="BY171" s="7"/>
      <c r="BZ171" s="8">
        <f t="shared" si="8"/>
        <v>0</v>
      </c>
      <c r="CA171" s="7"/>
      <c r="CB171" s="7"/>
      <c r="CC171" s="7"/>
      <c r="CD171" s="7"/>
      <c r="CE171" s="8">
        <f t="shared" si="9"/>
        <v>0</v>
      </c>
      <c r="CF171" s="7"/>
      <c r="CG171" s="7"/>
      <c r="CH171" s="7"/>
      <c r="CI171" s="7"/>
      <c r="CJ171" s="8">
        <f t="shared" si="10"/>
        <v>0</v>
      </c>
      <c r="CK171" s="25"/>
      <c r="CL171" s="25"/>
      <c r="CM171" s="25"/>
      <c r="CN171" s="25"/>
      <c r="CO171" s="26"/>
      <c r="CP171">
        <f>Form_Responses1[[#This Row],[Column89]]</f>
        <v>0</v>
      </c>
      <c r="CQ171">
        <f>IF(Form_Responses1[[#This Row],[Column94]]&gt;0,Form_Responses1[[#This Row],[Column94]],Form_Responses1[[#This Row],[Column91]])</f>
        <v>0</v>
      </c>
    </row>
    <row r="172" spans="1:95" ht="12.75">
      <c r="A172" s="12"/>
      <c r="B172" s="13"/>
      <c r="C172" s="13"/>
      <c r="D172" s="13"/>
      <c r="E172" s="13"/>
      <c r="F172" s="13"/>
      <c r="G172" s="4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8"/>
      <c r="AH172" s="13"/>
      <c r="AI172" s="13"/>
      <c r="AJ172" s="13"/>
      <c r="AK172" s="13"/>
      <c r="AL172" s="8"/>
      <c r="AM172" s="13"/>
      <c r="AN172" s="13"/>
      <c r="AO172" s="13"/>
      <c r="AP172" s="13"/>
      <c r="AQ172" s="8"/>
      <c r="AR172" s="13"/>
      <c r="AS172" s="13"/>
      <c r="AT172" s="13"/>
      <c r="AU172" s="13"/>
      <c r="AV172" s="8">
        <f t="shared" si="2"/>
        <v>0</v>
      </c>
      <c r="AW172" s="13"/>
      <c r="AX172" s="13"/>
      <c r="AY172" s="13"/>
      <c r="AZ172" s="13"/>
      <c r="BA172" s="8">
        <f t="shared" si="3"/>
        <v>0</v>
      </c>
      <c r="BB172" s="13"/>
      <c r="BC172" s="13"/>
      <c r="BD172" s="13"/>
      <c r="BE172" s="13"/>
      <c r="BF172" s="8">
        <f t="shared" si="4"/>
        <v>0</v>
      </c>
      <c r="BG172" s="13"/>
      <c r="BH172" s="13"/>
      <c r="BI172" s="13"/>
      <c r="BJ172" s="13"/>
      <c r="BK172" s="8">
        <f t="shared" si="5"/>
        <v>0</v>
      </c>
      <c r="BL172" s="13"/>
      <c r="BM172" s="13"/>
      <c r="BN172" s="13"/>
      <c r="BO172" s="13"/>
      <c r="BP172" s="8">
        <f t="shared" si="6"/>
        <v>0</v>
      </c>
      <c r="BQ172" s="13"/>
      <c r="BR172" s="13"/>
      <c r="BS172" s="13"/>
      <c r="BT172" s="13"/>
      <c r="BU172" s="8">
        <f t="shared" si="7"/>
        <v>0</v>
      </c>
      <c r="BV172" s="13"/>
      <c r="BW172" s="13"/>
      <c r="BX172" s="13"/>
      <c r="BY172" s="13"/>
      <c r="BZ172" s="8">
        <f t="shared" si="8"/>
        <v>0</v>
      </c>
      <c r="CA172" s="13"/>
      <c r="CB172" s="13"/>
      <c r="CC172" s="13"/>
      <c r="CD172" s="13"/>
      <c r="CE172" s="8">
        <f t="shared" si="9"/>
        <v>0</v>
      </c>
      <c r="CF172" s="13"/>
      <c r="CG172" s="13"/>
      <c r="CH172" s="13"/>
      <c r="CI172" s="13"/>
      <c r="CJ172" s="8">
        <f t="shared" si="10"/>
        <v>0</v>
      </c>
      <c r="CK172" s="23"/>
      <c r="CL172" s="23"/>
      <c r="CM172" s="23"/>
      <c r="CN172" s="23"/>
      <c r="CO172" s="24"/>
      <c r="CP172">
        <f>Form_Responses1[[#This Row],[Column89]]</f>
        <v>0</v>
      </c>
      <c r="CQ172">
        <f>IF(Form_Responses1[[#This Row],[Column94]]&gt;0,Form_Responses1[[#This Row],[Column94]],Form_Responses1[[#This Row],[Column91]])</f>
        <v>0</v>
      </c>
    </row>
    <row r="173" spans="1:95" ht="12.75">
      <c r="A173" s="6"/>
      <c r="B173" s="7"/>
      <c r="C173" s="7"/>
      <c r="D173" s="7"/>
      <c r="E173" s="7"/>
      <c r="F173" s="7"/>
      <c r="G173" s="4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8"/>
      <c r="AH173" s="7"/>
      <c r="AI173" s="7"/>
      <c r="AJ173" s="7"/>
      <c r="AK173" s="7"/>
      <c r="AL173" s="8"/>
      <c r="AM173" s="7"/>
      <c r="AN173" s="7"/>
      <c r="AO173" s="7"/>
      <c r="AP173" s="7"/>
      <c r="AQ173" s="8"/>
      <c r="AR173" s="7"/>
      <c r="AS173" s="7"/>
      <c r="AT173" s="7"/>
      <c r="AU173" s="7"/>
      <c r="AV173" s="8">
        <f t="shared" si="2"/>
        <v>0</v>
      </c>
      <c r="AW173" s="7"/>
      <c r="AX173" s="7"/>
      <c r="AY173" s="7"/>
      <c r="AZ173" s="7"/>
      <c r="BA173" s="8">
        <f t="shared" si="3"/>
        <v>0</v>
      </c>
      <c r="BB173" s="7"/>
      <c r="BC173" s="7"/>
      <c r="BD173" s="7"/>
      <c r="BE173" s="7"/>
      <c r="BF173" s="8">
        <f t="shared" si="4"/>
        <v>0</v>
      </c>
      <c r="BG173" s="7"/>
      <c r="BH173" s="7"/>
      <c r="BI173" s="7"/>
      <c r="BJ173" s="7"/>
      <c r="BK173" s="8">
        <f t="shared" si="5"/>
        <v>0</v>
      </c>
      <c r="BL173" s="7"/>
      <c r="BM173" s="7"/>
      <c r="BN173" s="7"/>
      <c r="BO173" s="7"/>
      <c r="BP173" s="8">
        <f t="shared" si="6"/>
        <v>0</v>
      </c>
      <c r="BQ173" s="7"/>
      <c r="BR173" s="7"/>
      <c r="BS173" s="7"/>
      <c r="BT173" s="7"/>
      <c r="BU173" s="8">
        <f t="shared" si="7"/>
        <v>0</v>
      </c>
      <c r="BV173" s="7"/>
      <c r="BW173" s="7"/>
      <c r="BX173" s="7"/>
      <c r="BY173" s="7"/>
      <c r="BZ173" s="8">
        <f t="shared" si="8"/>
        <v>0</v>
      </c>
      <c r="CA173" s="7"/>
      <c r="CB173" s="7"/>
      <c r="CC173" s="7"/>
      <c r="CD173" s="7"/>
      <c r="CE173" s="8">
        <f t="shared" si="9"/>
        <v>0</v>
      </c>
      <c r="CF173" s="7"/>
      <c r="CG173" s="7"/>
      <c r="CH173" s="7"/>
      <c r="CI173" s="7"/>
      <c r="CJ173" s="8">
        <f t="shared" si="10"/>
        <v>0</v>
      </c>
      <c r="CK173" s="25"/>
      <c r="CL173" s="25"/>
      <c r="CM173" s="25"/>
      <c r="CN173" s="25"/>
      <c r="CO173" s="26"/>
      <c r="CP173">
        <f>Form_Responses1[[#This Row],[Column89]]</f>
        <v>0</v>
      </c>
      <c r="CQ173">
        <f>IF(Form_Responses1[[#This Row],[Column94]]&gt;0,Form_Responses1[[#This Row],[Column94]],Form_Responses1[[#This Row],[Column91]])</f>
        <v>0</v>
      </c>
    </row>
    <row r="174" spans="1:95" ht="12.75">
      <c r="A174" s="12"/>
      <c r="B174" s="13"/>
      <c r="C174" s="13"/>
      <c r="D174" s="13"/>
      <c r="E174" s="13"/>
      <c r="F174" s="13"/>
      <c r="G174" s="4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8"/>
      <c r="AH174" s="13"/>
      <c r="AI174" s="13"/>
      <c r="AJ174" s="13"/>
      <c r="AK174" s="13"/>
      <c r="AL174" s="8"/>
      <c r="AM174" s="13"/>
      <c r="AN174" s="13"/>
      <c r="AO174" s="13"/>
      <c r="AP174" s="13"/>
      <c r="AQ174" s="8"/>
      <c r="AR174" s="13"/>
      <c r="AS174" s="13"/>
      <c r="AT174" s="13"/>
      <c r="AU174" s="13"/>
      <c r="AV174" s="8">
        <f t="shared" si="2"/>
        <v>0</v>
      </c>
      <c r="AW174" s="13"/>
      <c r="AX174" s="13"/>
      <c r="AY174" s="13"/>
      <c r="AZ174" s="13"/>
      <c r="BA174" s="8">
        <f t="shared" si="3"/>
        <v>0</v>
      </c>
      <c r="BB174" s="13"/>
      <c r="BC174" s="13"/>
      <c r="BD174" s="13"/>
      <c r="BE174" s="13"/>
      <c r="BF174" s="8">
        <f t="shared" si="4"/>
        <v>0</v>
      </c>
      <c r="BG174" s="13"/>
      <c r="BH174" s="13"/>
      <c r="BI174" s="13"/>
      <c r="BJ174" s="13"/>
      <c r="BK174" s="8">
        <f t="shared" si="5"/>
        <v>0</v>
      </c>
      <c r="BL174" s="13"/>
      <c r="BM174" s="13"/>
      <c r="BN174" s="13"/>
      <c r="BO174" s="13"/>
      <c r="BP174" s="8">
        <f t="shared" si="6"/>
        <v>0</v>
      </c>
      <c r="BQ174" s="13"/>
      <c r="BR174" s="13"/>
      <c r="BS174" s="13"/>
      <c r="BT174" s="13"/>
      <c r="BU174" s="8">
        <f t="shared" si="7"/>
        <v>0</v>
      </c>
      <c r="BV174" s="13"/>
      <c r="BW174" s="13"/>
      <c r="BX174" s="13"/>
      <c r="BY174" s="13"/>
      <c r="BZ174" s="8">
        <f t="shared" si="8"/>
        <v>0</v>
      </c>
      <c r="CA174" s="13"/>
      <c r="CB174" s="13"/>
      <c r="CC174" s="13"/>
      <c r="CD174" s="13"/>
      <c r="CE174" s="8">
        <f t="shared" si="9"/>
        <v>0</v>
      </c>
      <c r="CF174" s="13"/>
      <c r="CG174" s="13"/>
      <c r="CH174" s="13"/>
      <c r="CI174" s="13"/>
      <c r="CJ174" s="8">
        <f t="shared" si="10"/>
        <v>0</v>
      </c>
      <c r="CK174" s="23"/>
      <c r="CL174" s="23"/>
      <c r="CM174" s="23"/>
      <c r="CN174" s="23"/>
      <c r="CO174" s="24"/>
      <c r="CP174">
        <f>Form_Responses1[[#This Row],[Column89]]</f>
        <v>0</v>
      </c>
      <c r="CQ174">
        <f>IF(Form_Responses1[[#This Row],[Column94]]&gt;0,Form_Responses1[[#This Row],[Column94]],Form_Responses1[[#This Row],[Column91]])</f>
        <v>0</v>
      </c>
    </row>
    <row r="175" spans="1:95" ht="12.75">
      <c r="A175" s="6"/>
      <c r="B175" s="7"/>
      <c r="C175" s="7"/>
      <c r="D175" s="7"/>
      <c r="E175" s="7"/>
      <c r="F175" s="7"/>
      <c r="G175" s="4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8"/>
      <c r="AH175" s="7"/>
      <c r="AI175" s="7"/>
      <c r="AJ175" s="7"/>
      <c r="AK175" s="7"/>
      <c r="AL175" s="8"/>
      <c r="AM175" s="7"/>
      <c r="AN175" s="7"/>
      <c r="AO175" s="7"/>
      <c r="AP175" s="7"/>
      <c r="AQ175" s="8"/>
      <c r="AR175" s="7"/>
      <c r="AS175" s="7"/>
      <c r="AT175" s="7"/>
      <c r="AU175" s="7"/>
      <c r="AV175" s="8">
        <f t="shared" si="2"/>
        <v>0</v>
      </c>
      <c r="AW175" s="7"/>
      <c r="AX175" s="7"/>
      <c r="AY175" s="7"/>
      <c r="AZ175" s="7"/>
      <c r="BA175" s="8">
        <f t="shared" si="3"/>
        <v>0</v>
      </c>
      <c r="BB175" s="7"/>
      <c r="BC175" s="7"/>
      <c r="BD175" s="7"/>
      <c r="BE175" s="7"/>
      <c r="BF175" s="8">
        <f t="shared" si="4"/>
        <v>0</v>
      </c>
      <c r="BG175" s="7"/>
      <c r="BH175" s="7"/>
      <c r="BI175" s="7"/>
      <c r="BJ175" s="7"/>
      <c r="BK175" s="8">
        <f t="shared" si="5"/>
        <v>0</v>
      </c>
      <c r="BL175" s="7"/>
      <c r="BM175" s="7"/>
      <c r="BN175" s="7"/>
      <c r="BO175" s="7"/>
      <c r="BP175" s="8">
        <f t="shared" si="6"/>
        <v>0</v>
      </c>
      <c r="BQ175" s="7"/>
      <c r="BR175" s="7"/>
      <c r="BS175" s="7"/>
      <c r="BT175" s="7"/>
      <c r="BU175" s="8">
        <f t="shared" si="7"/>
        <v>0</v>
      </c>
      <c r="BV175" s="7"/>
      <c r="BW175" s="7"/>
      <c r="BX175" s="7"/>
      <c r="BY175" s="7"/>
      <c r="BZ175" s="8">
        <f t="shared" si="8"/>
        <v>0</v>
      </c>
      <c r="CA175" s="7"/>
      <c r="CB175" s="7"/>
      <c r="CC175" s="7"/>
      <c r="CD175" s="7"/>
      <c r="CE175" s="8">
        <f t="shared" si="9"/>
        <v>0</v>
      </c>
      <c r="CF175" s="7"/>
      <c r="CG175" s="7"/>
      <c r="CH175" s="7"/>
      <c r="CI175" s="7"/>
      <c r="CJ175" s="8">
        <f t="shared" si="10"/>
        <v>0</v>
      </c>
      <c r="CK175" s="25"/>
      <c r="CL175" s="25"/>
      <c r="CM175" s="25"/>
      <c r="CN175" s="25"/>
      <c r="CO175" s="26"/>
      <c r="CP175">
        <f>Form_Responses1[[#This Row],[Column89]]</f>
        <v>0</v>
      </c>
      <c r="CQ175">
        <f>IF(Form_Responses1[[#This Row],[Column94]]&gt;0,Form_Responses1[[#This Row],[Column94]],Form_Responses1[[#This Row],[Column91]])</f>
        <v>0</v>
      </c>
    </row>
    <row r="176" spans="1:95" ht="12.75">
      <c r="A176" s="12"/>
      <c r="B176" s="13"/>
      <c r="C176" s="13"/>
      <c r="D176" s="13"/>
      <c r="E176" s="13"/>
      <c r="F176" s="13"/>
      <c r="G176" s="4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8"/>
      <c r="AH176" s="13"/>
      <c r="AI176" s="13"/>
      <c r="AJ176" s="13"/>
      <c r="AK176" s="13"/>
      <c r="AL176" s="8"/>
      <c r="AM176" s="13"/>
      <c r="AN176" s="13"/>
      <c r="AO176" s="13"/>
      <c r="AP176" s="13"/>
      <c r="AQ176" s="8"/>
      <c r="AR176" s="13"/>
      <c r="AS176" s="13"/>
      <c r="AT176" s="13"/>
      <c r="AU176" s="13"/>
      <c r="AV176" s="8">
        <f t="shared" si="2"/>
        <v>0</v>
      </c>
      <c r="AW176" s="13"/>
      <c r="AX176" s="13"/>
      <c r="AY176" s="13"/>
      <c r="AZ176" s="13"/>
      <c r="BA176" s="8">
        <f t="shared" si="3"/>
        <v>0</v>
      </c>
      <c r="BB176" s="13"/>
      <c r="BC176" s="13"/>
      <c r="BD176" s="13"/>
      <c r="BE176" s="13"/>
      <c r="BF176" s="8">
        <f t="shared" si="4"/>
        <v>0</v>
      </c>
      <c r="BG176" s="13"/>
      <c r="BH176" s="13"/>
      <c r="BI176" s="13"/>
      <c r="BJ176" s="13"/>
      <c r="BK176" s="8">
        <f t="shared" si="5"/>
        <v>0</v>
      </c>
      <c r="BL176" s="13"/>
      <c r="BM176" s="13"/>
      <c r="BN176" s="13"/>
      <c r="BO176" s="13"/>
      <c r="BP176" s="8">
        <f t="shared" si="6"/>
        <v>0</v>
      </c>
      <c r="BQ176" s="13"/>
      <c r="BR176" s="13"/>
      <c r="BS176" s="13"/>
      <c r="BT176" s="13"/>
      <c r="BU176" s="8">
        <f t="shared" si="7"/>
        <v>0</v>
      </c>
      <c r="BV176" s="13"/>
      <c r="BW176" s="13"/>
      <c r="BX176" s="13"/>
      <c r="BY176" s="13"/>
      <c r="BZ176" s="8">
        <f t="shared" si="8"/>
        <v>0</v>
      </c>
      <c r="CA176" s="13"/>
      <c r="CB176" s="13"/>
      <c r="CC176" s="13"/>
      <c r="CD176" s="13"/>
      <c r="CE176" s="8">
        <f t="shared" si="9"/>
        <v>0</v>
      </c>
      <c r="CF176" s="13"/>
      <c r="CG176" s="13"/>
      <c r="CH176" s="13"/>
      <c r="CI176" s="13"/>
      <c r="CJ176" s="8">
        <f t="shared" si="10"/>
        <v>0</v>
      </c>
      <c r="CK176" s="23"/>
      <c r="CL176" s="23"/>
      <c r="CM176" s="23"/>
      <c r="CN176" s="23"/>
      <c r="CO176" s="24"/>
      <c r="CP176">
        <f>Form_Responses1[[#This Row],[Column89]]</f>
        <v>0</v>
      </c>
      <c r="CQ176">
        <f>IF(Form_Responses1[[#This Row],[Column94]]&gt;0,Form_Responses1[[#This Row],[Column94]],Form_Responses1[[#This Row],[Column91]])</f>
        <v>0</v>
      </c>
    </row>
    <row r="177" spans="1:95" ht="12.75">
      <c r="A177" s="6"/>
      <c r="B177" s="7"/>
      <c r="C177" s="7"/>
      <c r="D177" s="7"/>
      <c r="E177" s="7"/>
      <c r="F177" s="7"/>
      <c r="G177" s="4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8"/>
      <c r="AH177" s="7"/>
      <c r="AI177" s="7"/>
      <c r="AJ177" s="7"/>
      <c r="AK177" s="7"/>
      <c r="AL177" s="8"/>
      <c r="AM177" s="7"/>
      <c r="AN177" s="7"/>
      <c r="AO177" s="7"/>
      <c r="AP177" s="7"/>
      <c r="AQ177" s="8"/>
      <c r="AR177" s="7"/>
      <c r="AS177" s="7"/>
      <c r="AT177" s="7"/>
      <c r="AU177" s="7"/>
      <c r="AV177" s="8">
        <f t="shared" si="2"/>
        <v>0</v>
      </c>
      <c r="AW177" s="7"/>
      <c r="AX177" s="7"/>
      <c r="AY177" s="7"/>
      <c r="AZ177" s="7"/>
      <c r="BA177" s="8">
        <f t="shared" si="3"/>
        <v>0</v>
      </c>
      <c r="BB177" s="7"/>
      <c r="BC177" s="7"/>
      <c r="BD177" s="7"/>
      <c r="BE177" s="7"/>
      <c r="BF177" s="8">
        <f t="shared" si="4"/>
        <v>0</v>
      </c>
      <c r="BG177" s="7"/>
      <c r="BH177" s="7"/>
      <c r="BI177" s="7"/>
      <c r="BJ177" s="7"/>
      <c r="BK177" s="8">
        <f t="shared" si="5"/>
        <v>0</v>
      </c>
      <c r="BL177" s="7"/>
      <c r="BM177" s="7"/>
      <c r="BN177" s="7"/>
      <c r="BO177" s="7"/>
      <c r="BP177" s="8">
        <f t="shared" si="6"/>
        <v>0</v>
      </c>
      <c r="BQ177" s="7"/>
      <c r="BR177" s="7"/>
      <c r="BS177" s="7"/>
      <c r="BT177" s="7"/>
      <c r="BU177" s="8">
        <f t="shared" si="7"/>
        <v>0</v>
      </c>
      <c r="BV177" s="7"/>
      <c r="BW177" s="7"/>
      <c r="BX177" s="7"/>
      <c r="BY177" s="7"/>
      <c r="BZ177" s="8">
        <f t="shared" si="8"/>
        <v>0</v>
      </c>
      <c r="CA177" s="7"/>
      <c r="CB177" s="7"/>
      <c r="CC177" s="7"/>
      <c r="CD177" s="7"/>
      <c r="CE177" s="8">
        <f t="shared" si="9"/>
        <v>0</v>
      </c>
      <c r="CF177" s="7"/>
      <c r="CG177" s="7"/>
      <c r="CH177" s="7"/>
      <c r="CI177" s="7"/>
      <c r="CJ177" s="8">
        <f t="shared" si="10"/>
        <v>0</v>
      </c>
      <c r="CK177" s="25"/>
      <c r="CL177" s="25"/>
      <c r="CM177" s="25"/>
      <c r="CN177" s="25"/>
      <c r="CO177" s="26"/>
      <c r="CP177">
        <f>Form_Responses1[[#This Row],[Column89]]</f>
        <v>0</v>
      </c>
      <c r="CQ177">
        <f>IF(Form_Responses1[[#This Row],[Column94]]&gt;0,Form_Responses1[[#This Row],[Column94]],Form_Responses1[[#This Row],[Column91]])</f>
        <v>0</v>
      </c>
    </row>
    <row r="178" spans="1:95" ht="12.75">
      <c r="A178" s="12"/>
      <c r="B178" s="13"/>
      <c r="C178" s="13"/>
      <c r="D178" s="13"/>
      <c r="E178" s="13"/>
      <c r="F178" s="13"/>
      <c r="G178" s="4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8"/>
      <c r="AH178" s="13"/>
      <c r="AI178" s="13"/>
      <c r="AJ178" s="13"/>
      <c r="AK178" s="13"/>
      <c r="AL178" s="8"/>
      <c r="AM178" s="13"/>
      <c r="AN178" s="13"/>
      <c r="AO178" s="13"/>
      <c r="AP178" s="13"/>
      <c r="AQ178" s="8"/>
      <c r="AR178" s="13"/>
      <c r="AS178" s="13"/>
      <c r="AT178" s="13"/>
      <c r="AU178" s="13"/>
      <c r="AV178" s="8">
        <f t="shared" si="2"/>
        <v>0</v>
      </c>
      <c r="AW178" s="13"/>
      <c r="AX178" s="13"/>
      <c r="AY178" s="13"/>
      <c r="AZ178" s="13"/>
      <c r="BA178" s="8">
        <f t="shared" si="3"/>
        <v>0</v>
      </c>
      <c r="BB178" s="13"/>
      <c r="BC178" s="13"/>
      <c r="BD178" s="13"/>
      <c r="BE178" s="13"/>
      <c r="BF178" s="8">
        <f t="shared" si="4"/>
        <v>0</v>
      </c>
      <c r="BG178" s="13"/>
      <c r="BH178" s="13"/>
      <c r="BI178" s="13"/>
      <c r="BJ178" s="13"/>
      <c r="BK178" s="8">
        <f t="shared" si="5"/>
        <v>0</v>
      </c>
      <c r="BL178" s="13"/>
      <c r="BM178" s="13"/>
      <c r="BN178" s="13"/>
      <c r="BO178" s="13"/>
      <c r="BP178" s="8">
        <f t="shared" si="6"/>
        <v>0</v>
      </c>
      <c r="BQ178" s="13"/>
      <c r="BR178" s="13"/>
      <c r="BS178" s="13"/>
      <c r="BT178" s="13"/>
      <c r="BU178" s="8">
        <f t="shared" si="7"/>
        <v>0</v>
      </c>
      <c r="BV178" s="13"/>
      <c r="BW178" s="13"/>
      <c r="BX178" s="13"/>
      <c r="BY178" s="13"/>
      <c r="BZ178" s="8">
        <f t="shared" si="8"/>
        <v>0</v>
      </c>
      <c r="CA178" s="13"/>
      <c r="CB178" s="13"/>
      <c r="CC178" s="13"/>
      <c r="CD178" s="13"/>
      <c r="CE178" s="8">
        <f t="shared" si="9"/>
        <v>0</v>
      </c>
      <c r="CF178" s="13"/>
      <c r="CG178" s="13"/>
      <c r="CH178" s="13"/>
      <c r="CI178" s="13"/>
      <c r="CJ178" s="8">
        <f t="shared" si="10"/>
        <v>0</v>
      </c>
      <c r="CK178" s="23"/>
      <c r="CL178" s="23"/>
      <c r="CM178" s="23"/>
      <c r="CN178" s="23"/>
      <c r="CO178" s="24"/>
      <c r="CP178">
        <f>Form_Responses1[[#This Row],[Column89]]</f>
        <v>0</v>
      </c>
      <c r="CQ178">
        <f>IF(Form_Responses1[[#This Row],[Column94]]&gt;0,Form_Responses1[[#This Row],[Column94]],Form_Responses1[[#This Row],[Column91]])</f>
        <v>0</v>
      </c>
    </row>
    <row r="179" spans="1:95" ht="12.75">
      <c r="A179" s="6"/>
      <c r="B179" s="7"/>
      <c r="C179" s="7"/>
      <c r="D179" s="7"/>
      <c r="E179" s="7"/>
      <c r="F179" s="7"/>
      <c r="G179" s="4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8"/>
      <c r="AH179" s="7"/>
      <c r="AI179" s="7"/>
      <c r="AJ179" s="7"/>
      <c r="AK179" s="7"/>
      <c r="AL179" s="8"/>
      <c r="AM179" s="7"/>
      <c r="AN179" s="7"/>
      <c r="AO179" s="7"/>
      <c r="AP179" s="7"/>
      <c r="AQ179" s="8"/>
      <c r="AR179" s="7"/>
      <c r="AS179" s="7"/>
      <c r="AT179" s="7"/>
      <c r="AU179" s="7"/>
      <c r="AV179" s="8">
        <f t="shared" si="2"/>
        <v>0</v>
      </c>
      <c r="AW179" s="7"/>
      <c r="AX179" s="7"/>
      <c r="AY179" s="7"/>
      <c r="AZ179" s="7"/>
      <c r="BA179" s="8">
        <f t="shared" si="3"/>
        <v>0</v>
      </c>
      <c r="BB179" s="7"/>
      <c r="BC179" s="7"/>
      <c r="BD179" s="7"/>
      <c r="BE179" s="7"/>
      <c r="BF179" s="8">
        <f t="shared" si="4"/>
        <v>0</v>
      </c>
      <c r="BG179" s="7"/>
      <c r="BH179" s="7"/>
      <c r="BI179" s="7"/>
      <c r="BJ179" s="7"/>
      <c r="BK179" s="8">
        <f t="shared" si="5"/>
        <v>0</v>
      </c>
      <c r="BL179" s="7"/>
      <c r="BM179" s="7"/>
      <c r="BN179" s="7"/>
      <c r="BO179" s="7"/>
      <c r="BP179" s="8">
        <f t="shared" si="6"/>
        <v>0</v>
      </c>
      <c r="BQ179" s="7"/>
      <c r="BR179" s="7"/>
      <c r="BS179" s="7"/>
      <c r="BT179" s="7"/>
      <c r="BU179" s="8">
        <f t="shared" si="7"/>
        <v>0</v>
      </c>
      <c r="BV179" s="7"/>
      <c r="BW179" s="7"/>
      <c r="BX179" s="7"/>
      <c r="BY179" s="7"/>
      <c r="BZ179" s="8">
        <f t="shared" si="8"/>
        <v>0</v>
      </c>
      <c r="CA179" s="7"/>
      <c r="CB179" s="7"/>
      <c r="CC179" s="7"/>
      <c r="CD179" s="7"/>
      <c r="CE179" s="8">
        <f t="shared" si="9"/>
        <v>0</v>
      </c>
      <c r="CF179" s="7"/>
      <c r="CG179" s="7"/>
      <c r="CH179" s="7"/>
      <c r="CI179" s="7"/>
      <c r="CJ179" s="8">
        <f t="shared" si="10"/>
        <v>0</v>
      </c>
      <c r="CK179" s="25"/>
      <c r="CL179" s="25"/>
      <c r="CM179" s="25"/>
      <c r="CN179" s="25"/>
      <c r="CO179" s="26"/>
      <c r="CP179">
        <f>Form_Responses1[[#This Row],[Column89]]</f>
        <v>0</v>
      </c>
      <c r="CQ179">
        <f>IF(Form_Responses1[[#This Row],[Column94]]&gt;0,Form_Responses1[[#This Row],[Column94]],Form_Responses1[[#This Row],[Column91]])</f>
        <v>0</v>
      </c>
    </row>
    <row r="180" spans="1:95" ht="12.75">
      <c r="A180" s="12"/>
      <c r="B180" s="13"/>
      <c r="C180" s="13"/>
      <c r="D180" s="13"/>
      <c r="E180" s="13"/>
      <c r="F180" s="13"/>
      <c r="G180" s="4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8"/>
      <c r="AH180" s="13"/>
      <c r="AI180" s="13"/>
      <c r="AJ180" s="13"/>
      <c r="AK180" s="13"/>
      <c r="AL180" s="8"/>
      <c r="AM180" s="13"/>
      <c r="AN180" s="13"/>
      <c r="AO180" s="13"/>
      <c r="AP180" s="13"/>
      <c r="AQ180" s="8"/>
      <c r="AR180" s="13"/>
      <c r="AS180" s="13"/>
      <c r="AT180" s="13"/>
      <c r="AU180" s="13"/>
      <c r="AV180" s="8">
        <f t="shared" si="2"/>
        <v>0</v>
      </c>
      <c r="AW180" s="13"/>
      <c r="AX180" s="13"/>
      <c r="AY180" s="13"/>
      <c r="AZ180" s="13"/>
      <c r="BA180" s="8">
        <f t="shared" si="3"/>
        <v>0</v>
      </c>
      <c r="BB180" s="13"/>
      <c r="BC180" s="13"/>
      <c r="BD180" s="13"/>
      <c r="BE180" s="13"/>
      <c r="BF180" s="8">
        <f t="shared" si="4"/>
        <v>0</v>
      </c>
      <c r="BG180" s="13"/>
      <c r="BH180" s="13"/>
      <c r="BI180" s="13"/>
      <c r="BJ180" s="13"/>
      <c r="BK180" s="8">
        <f t="shared" si="5"/>
        <v>0</v>
      </c>
      <c r="BL180" s="13"/>
      <c r="BM180" s="13"/>
      <c r="BN180" s="13"/>
      <c r="BO180" s="13"/>
      <c r="BP180" s="8">
        <f t="shared" si="6"/>
        <v>0</v>
      </c>
      <c r="BQ180" s="13"/>
      <c r="BR180" s="13"/>
      <c r="BS180" s="13"/>
      <c r="BT180" s="13"/>
      <c r="BU180" s="8">
        <f t="shared" si="7"/>
        <v>0</v>
      </c>
      <c r="BV180" s="13"/>
      <c r="BW180" s="13"/>
      <c r="BX180" s="13"/>
      <c r="BY180" s="13"/>
      <c r="BZ180" s="8">
        <f t="shared" si="8"/>
        <v>0</v>
      </c>
      <c r="CA180" s="13"/>
      <c r="CB180" s="13"/>
      <c r="CC180" s="13"/>
      <c r="CD180" s="13"/>
      <c r="CE180" s="8">
        <f t="shared" si="9"/>
        <v>0</v>
      </c>
      <c r="CF180" s="13"/>
      <c r="CG180" s="13"/>
      <c r="CH180" s="13"/>
      <c r="CI180" s="13"/>
      <c r="CJ180" s="8">
        <f t="shared" si="10"/>
        <v>0</v>
      </c>
      <c r="CK180" s="23"/>
      <c r="CL180" s="23"/>
      <c r="CM180" s="23"/>
      <c r="CN180" s="23"/>
      <c r="CO180" s="24"/>
      <c r="CP180">
        <f>Form_Responses1[[#This Row],[Column89]]</f>
        <v>0</v>
      </c>
      <c r="CQ180">
        <f>IF(Form_Responses1[[#This Row],[Column94]]&gt;0,Form_Responses1[[#This Row],[Column94]],Form_Responses1[[#This Row],[Column91]])</f>
        <v>0</v>
      </c>
    </row>
    <row r="181" spans="1:95" ht="12.75">
      <c r="A181" s="6"/>
      <c r="B181" s="7"/>
      <c r="C181" s="7"/>
      <c r="D181" s="7"/>
      <c r="E181" s="7"/>
      <c r="F181" s="7"/>
      <c r="G181" s="4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8"/>
      <c r="AH181" s="7"/>
      <c r="AI181" s="7"/>
      <c r="AJ181" s="7"/>
      <c r="AK181" s="7"/>
      <c r="AL181" s="8"/>
      <c r="AM181" s="7"/>
      <c r="AN181" s="7"/>
      <c r="AO181" s="7"/>
      <c r="AP181" s="7"/>
      <c r="AQ181" s="8"/>
      <c r="AR181" s="7"/>
      <c r="AS181" s="7"/>
      <c r="AT181" s="7"/>
      <c r="AU181" s="7"/>
      <c r="AV181" s="8">
        <f t="shared" si="2"/>
        <v>0</v>
      </c>
      <c r="AW181" s="7"/>
      <c r="AX181" s="7"/>
      <c r="AY181" s="7"/>
      <c r="AZ181" s="7"/>
      <c r="BA181" s="8">
        <f t="shared" si="3"/>
        <v>0</v>
      </c>
      <c r="BB181" s="7"/>
      <c r="BC181" s="7"/>
      <c r="BD181" s="7"/>
      <c r="BE181" s="7"/>
      <c r="BF181" s="8">
        <f t="shared" si="4"/>
        <v>0</v>
      </c>
      <c r="BG181" s="7"/>
      <c r="BH181" s="7"/>
      <c r="BI181" s="7"/>
      <c r="BJ181" s="7"/>
      <c r="BK181" s="8">
        <f t="shared" si="5"/>
        <v>0</v>
      </c>
      <c r="BL181" s="7"/>
      <c r="BM181" s="7"/>
      <c r="BN181" s="7"/>
      <c r="BO181" s="7"/>
      <c r="BP181" s="8">
        <f t="shared" si="6"/>
        <v>0</v>
      </c>
      <c r="BQ181" s="7"/>
      <c r="BR181" s="7"/>
      <c r="BS181" s="7"/>
      <c r="BT181" s="7"/>
      <c r="BU181" s="8">
        <f t="shared" si="7"/>
        <v>0</v>
      </c>
      <c r="BV181" s="7"/>
      <c r="BW181" s="7"/>
      <c r="BX181" s="7"/>
      <c r="BY181" s="7"/>
      <c r="BZ181" s="8">
        <f t="shared" si="8"/>
        <v>0</v>
      </c>
      <c r="CA181" s="7"/>
      <c r="CB181" s="7"/>
      <c r="CC181" s="7"/>
      <c r="CD181" s="7"/>
      <c r="CE181" s="8">
        <f t="shared" si="9"/>
        <v>0</v>
      </c>
      <c r="CF181" s="7"/>
      <c r="CG181" s="7"/>
      <c r="CH181" s="7"/>
      <c r="CI181" s="7"/>
      <c r="CJ181" s="8">
        <f t="shared" si="10"/>
        <v>0</v>
      </c>
      <c r="CK181" s="25"/>
      <c r="CL181" s="25"/>
      <c r="CM181" s="25"/>
      <c r="CN181" s="25"/>
      <c r="CO181" s="26"/>
      <c r="CP181">
        <f>Form_Responses1[[#This Row],[Column89]]</f>
        <v>0</v>
      </c>
      <c r="CQ181">
        <f>IF(Form_Responses1[[#This Row],[Column94]]&gt;0,Form_Responses1[[#This Row],[Column94]],Form_Responses1[[#This Row],[Column91]])</f>
        <v>0</v>
      </c>
    </row>
    <row r="182" spans="1:95" ht="12.75">
      <c r="A182" s="12"/>
      <c r="B182" s="13"/>
      <c r="C182" s="13"/>
      <c r="D182" s="13"/>
      <c r="E182" s="13"/>
      <c r="F182" s="13"/>
      <c r="G182" s="4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8"/>
      <c r="AH182" s="13"/>
      <c r="AI182" s="13"/>
      <c r="AJ182" s="13"/>
      <c r="AK182" s="13"/>
      <c r="AL182" s="8"/>
      <c r="AM182" s="13"/>
      <c r="AN182" s="13"/>
      <c r="AO182" s="13"/>
      <c r="AP182" s="13"/>
      <c r="AQ182" s="8"/>
      <c r="AR182" s="13"/>
      <c r="AS182" s="13"/>
      <c r="AT182" s="13"/>
      <c r="AU182" s="13"/>
      <c r="AV182" s="8">
        <f t="shared" si="2"/>
        <v>0</v>
      </c>
      <c r="AW182" s="13"/>
      <c r="AX182" s="13"/>
      <c r="AY182" s="13"/>
      <c r="AZ182" s="13"/>
      <c r="BA182" s="8">
        <f t="shared" si="3"/>
        <v>0</v>
      </c>
      <c r="BB182" s="13"/>
      <c r="BC182" s="13"/>
      <c r="BD182" s="13"/>
      <c r="BE182" s="13"/>
      <c r="BF182" s="8">
        <f t="shared" si="4"/>
        <v>0</v>
      </c>
      <c r="BG182" s="13"/>
      <c r="BH182" s="13"/>
      <c r="BI182" s="13"/>
      <c r="BJ182" s="13"/>
      <c r="BK182" s="8">
        <f t="shared" si="5"/>
        <v>0</v>
      </c>
      <c r="BL182" s="13"/>
      <c r="BM182" s="13"/>
      <c r="BN182" s="13"/>
      <c r="BO182" s="13"/>
      <c r="BP182" s="8">
        <f t="shared" si="6"/>
        <v>0</v>
      </c>
      <c r="BQ182" s="13"/>
      <c r="BR182" s="13"/>
      <c r="BS182" s="13"/>
      <c r="BT182" s="13"/>
      <c r="BU182" s="8">
        <f t="shared" si="7"/>
        <v>0</v>
      </c>
      <c r="BV182" s="13"/>
      <c r="BW182" s="13"/>
      <c r="BX182" s="13"/>
      <c r="BY182" s="13"/>
      <c r="BZ182" s="8">
        <f t="shared" si="8"/>
        <v>0</v>
      </c>
      <c r="CA182" s="13"/>
      <c r="CB182" s="13"/>
      <c r="CC182" s="13"/>
      <c r="CD182" s="13"/>
      <c r="CE182" s="8">
        <f t="shared" si="9"/>
        <v>0</v>
      </c>
      <c r="CF182" s="13"/>
      <c r="CG182" s="13"/>
      <c r="CH182" s="13"/>
      <c r="CI182" s="13"/>
      <c r="CJ182" s="8">
        <f t="shared" si="10"/>
        <v>0</v>
      </c>
      <c r="CK182" s="23"/>
      <c r="CL182" s="23"/>
      <c r="CM182" s="23"/>
      <c r="CN182" s="23"/>
      <c r="CO182" s="24"/>
      <c r="CP182">
        <f>Form_Responses1[[#This Row],[Column89]]</f>
        <v>0</v>
      </c>
      <c r="CQ182">
        <f>IF(Form_Responses1[[#This Row],[Column94]]&gt;0,Form_Responses1[[#This Row],[Column94]],Form_Responses1[[#This Row],[Column91]])</f>
        <v>0</v>
      </c>
    </row>
    <row r="183" spans="1:95" ht="12.75">
      <c r="A183" s="44"/>
      <c r="B183" s="45"/>
      <c r="C183" s="45"/>
      <c r="D183" s="45"/>
      <c r="E183" s="45"/>
      <c r="F183" s="45"/>
      <c r="G183" s="46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7"/>
      <c r="AH183" s="45"/>
      <c r="AI183" s="45"/>
      <c r="AJ183" s="45"/>
      <c r="AK183" s="45"/>
      <c r="AL183" s="47"/>
      <c r="AM183" s="45"/>
      <c r="AN183" s="45"/>
      <c r="AO183" s="45"/>
      <c r="AP183" s="45"/>
      <c r="AQ183" s="47"/>
      <c r="AR183" s="45"/>
      <c r="AS183" s="45"/>
      <c r="AT183" s="45"/>
      <c r="AU183" s="45"/>
      <c r="AV183" s="47">
        <f t="shared" si="2"/>
        <v>0</v>
      </c>
      <c r="AW183" s="45"/>
      <c r="AX183" s="45"/>
      <c r="AY183" s="45"/>
      <c r="AZ183" s="45"/>
      <c r="BA183" s="47">
        <f t="shared" si="3"/>
        <v>0</v>
      </c>
      <c r="BB183" s="45"/>
      <c r="BC183" s="45"/>
      <c r="BD183" s="45"/>
      <c r="BE183" s="45"/>
      <c r="BF183" s="47">
        <f t="shared" si="4"/>
        <v>0</v>
      </c>
      <c r="BG183" s="45"/>
      <c r="BH183" s="45"/>
      <c r="BI183" s="45"/>
      <c r="BJ183" s="45"/>
      <c r="BK183" s="47">
        <f t="shared" si="5"/>
        <v>0</v>
      </c>
      <c r="BL183" s="45"/>
      <c r="BM183" s="45"/>
      <c r="BN183" s="45"/>
      <c r="BO183" s="45"/>
      <c r="BP183" s="47">
        <f t="shared" si="6"/>
        <v>0</v>
      </c>
      <c r="BQ183" s="45"/>
      <c r="BR183" s="45"/>
      <c r="BS183" s="45"/>
      <c r="BT183" s="45"/>
      <c r="BU183" s="47">
        <f t="shared" si="7"/>
        <v>0</v>
      </c>
      <c r="BV183" s="45"/>
      <c r="BW183" s="45"/>
      <c r="BX183" s="45"/>
      <c r="BY183" s="45"/>
      <c r="BZ183" s="47">
        <f t="shared" si="8"/>
        <v>0</v>
      </c>
      <c r="CA183" s="45"/>
      <c r="CB183" s="45"/>
      <c r="CC183" s="45"/>
      <c r="CD183" s="45"/>
      <c r="CE183" s="47">
        <f t="shared" si="9"/>
        <v>0</v>
      </c>
      <c r="CF183" s="45"/>
      <c r="CG183" s="45"/>
      <c r="CH183" s="45"/>
      <c r="CI183" s="45"/>
      <c r="CJ183" s="47">
        <f t="shared" si="10"/>
        <v>0</v>
      </c>
      <c r="CK183" s="48"/>
      <c r="CL183" s="48"/>
      <c r="CM183" s="48"/>
      <c r="CN183" s="48"/>
      <c r="CO183" s="49"/>
      <c r="CP183">
        <f>Form_Responses1[[#This Row],[Column89]]</f>
        <v>0</v>
      </c>
      <c r="CQ183">
        <f>IF(Form_Responses1[[#This Row],[Column94]]&gt;0,Form_Responses1[[#This Row],[Column94]],Form_Responses1[[#This Row],[Column91]])</f>
        <v>0</v>
      </c>
    </row>
    <row r="184" spans="1:95" ht="12.75">
      <c r="AG184" s="50"/>
      <c r="AL184" s="50"/>
      <c r="AQ184" s="50"/>
      <c r="AV184" s="50"/>
      <c r="BA184" s="50"/>
      <c r="BF184" s="50"/>
      <c r="BK184" s="50"/>
      <c r="BP184" s="50"/>
      <c r="BU184" s="50"/>
      <c r="BZ184" s="50"/>
      <c r="CE184" s="50"/>
      <c r="CJ184" s="50"/>
    </row>
    <row r="185" spans="1:95" ht="12.75">
      <c r="AG185" s="50"/>
      <c r="AL185" s="50"/>
      <c r="AQ185" s="50"/>
      <c r="AV185" s="50"/>
      <c r="BA185" s="50"/>
      <c r="BF185" s="50"/>
      <c r="BK185" s="50"/>
      <c r="BP185" s="50"/>
      <c r="BU185" s="50"/>
      <c r="BZ185" s="50"/>
      <c r="CE185" s="50"/>
      <c r="CJ185" s="50"/>
    </row>
    <row r="186" spans="1:95" ht="12.75">
      <c r="A186" s="51"/>
      <c r="B186" s="52"/>
      <c r="C186" s="52"/>
      <c r="D186" s="52"/>
      <c r="E186" s="52"/>
      <c r="F186" s="52"/>
      <c r="G186" s="53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0"/>
      <c r="AH186" s="52"/>
      <c r="AI186" s="52"/>
      <c r="AJ186" s="52"/>
      <c r="AK186" s="52"/>
      <c r="AL186" s="50"/>
      <c r="AM186" s="52"/>
      <c r="AN186" s="52"/>
      <c r="AO186" s="52"/>
      <c r="AP186" s="52"/>
      <c r="AQ186" s="50"/>
      <c r="AR186" s="52"/>
      <c r="AS186" s="52"/>
      <c r="AT186" s="52"/>
      <c r="AU186" s="52"/>
      <c r="AV186" s="50">
        <f>SUM(AR186:AU186)</f>
        <v>0</v>
      </c>
      <c r="AW186" s="52"/>
      <c r="AX186" s="52"/>
      <c r="AY186" s="52"/>
      <c r="AZ186" s="52"/>
      <c r="BA186" s="50">
        <f>SUM(AW186:AZ186)</f>
        <v>0</v>
      </c>
      <c r="BB186" s="52"/>
      <c r="BC186" s="52"/>
      <c r="BD186" s="52"/>
      <c r="BE186" s="52"/>
      <c r="BF186" s="50"/>
      <c r="BG186" s="52"/>
      <c r="BH186" s="52"/>
      <c r="BI186" s="52"/>
      <c r="BJ186" s="52"/>
      <c r="BK186" s="50"/>
      <c r="BL186" s="52"/>
      <c r="BM186" s="52"/>
      <c r="BN186" s="52"/>
      <c r="BO186" s="52"/>
      <c r="BP186" s="50"/>
      <c r="BQ186" s="52"/>
      <c r="BR186" s="52"/>
      <c r="BS186" s="52"/>
      <c r="BT186" s="52"/>
      <c r="BU186" s="50"/>
      <c r="BV186" s="52"/>
      <c r="BW186" s="52"/>
      <c r="BX186" s="52"/>
      <c r="BY186" s="52"/>
      <c r="BZ186" s="50"/>
      <c r="CA186" s="52"/>
      <c r="CB186" s="52"/>
      <c r="CC186" s="52"/>
      <c r="CD186" s="52"/>
      <c r="CE186" s="50"/>
      <c r="CF186" s="52"/>
      <c r="CG186" s="52"/>
      <c r="CH186" s="52"/>
      <c r="CI186" s="52"/>
      <c r="CJ186" s="50"/>
    </row>
    <row r="187" spans="1:95" ht="12.75">
      <c r="AG187" s="50"/>
      <c r="AL187" s="50"/>
      <c r="AQ187" s="50"/>
      <c r="AV187" s="50"/>
      <c r="BA187" s="50"/>
      <c r="BF187" s="50"/>
      <c r="BK187" s="50"/>
      <c r="BP187" s="50"/>
      <c r="BU187" s="50"/>
      <c r="BZ187" s="50"/>
      <c r="CE187" s="50"/>
      <c r="CJ187" s="50"/>
    </row>
    <row r="188" spans="1:95" ht="12.75">
      <c r="AG188" s="50"/>
      <c r="AL188" s="50"/>
      <c r="AQ188" s="50"/>
      <c r="AV188" s="50"/>
      <c r="BA188" s="50"/>
      <c r="BF188" s="50"/>
      <c r="BK188" s="50"/>
      <c r="BP188" s="50"/>
      <c r="BU188" s="50"/>
      <c r="BZ188" s="50"/>
      <c r="CE188" s="50"/>
      <c r="CJ188" s="50"/>
    </row>
    <row r="189" spans="1:95" ht="12.75">
      <c r="AG189" s="50"/>
      <c r="AL189" s="50"/>
      <c r="AQ189" s="50"/>
      <c r="AV189" s="50"/>
      <c r="BA189" s="50"/>
      <c r="BF189" s="50"/>
      <c r="BK189" s="50"/>
      <c r="BP189" s="50"/>
      <c r="BU189" s="50"/>
      <c r="BZ189" s="50"/>
      <c r="CE189" s="50"/>
      <c r="CJ189" s="50"/>
    </row>
    <row r="190" spans="1:95" ht="12.75">
      <c r="AG190" s="50"/>
      <c r="AL190" s="50"/>
      <c r="AQ190" s="50"/>
      <c r="AV190" s="50"/>
      <c r="BA190" s="50"/>
      <c r="BF190" s="50"/>
      <c r="BK190" s="50"/>
      <c r="BP190" s="50"/>
      <c r="BU190" s="50"/>
      <c r="BZ190" s="50"/>
      <c r="CE190" s="50"/>
      <c r="CJ190" s="50"/>
    </row>
    <row r="191" spans="1:95" ht="12.75">
      <c r="AG191" s="50"/>
      <c r="AL191" s="50"/>
      <c r="AQ191" s="50"/>
      <c r="AV191" s="50"/>
      <c r="BA191" s="50"/>
      <c r="BF191" s="50"/>
      <c r="BK191" s="50"/>
      <c r="BP191" s="50"/>
      <c r="BU191" s="50"/>
      <c r="BZ191" s="50"/>
      <c r="CE191" s="50"/>
      <c r="CJ191" s="50"/>
    </row>
    <row r="192" spans="1:95" ht="12.75">
      <c r="AG192" s="50"/>
      <c r="AL192" s="50"/>
      <c r="AQ192" s="50"/>
      <c r="AV192" s="50"/>
      <c r="BA192" s="50"/>
      <c r="BF192" s="50"/>
      <c r="BK192" s="50"/>
      <c r="BP192" s="50"/>
      <c r="BU192" s="50"/>
      <c r="BZ192" s="50"/>
      <c r="CE192" s="50"/>
      <c r="CJ192" s="50"/>
    </row>
    <row r="193" spans="33:88" ht="12.75">
      <c r="AG193" s="50"/>
      <c r="AL193" s="50"/>
      <c r="AQ193" s="50"/>
      <c r="AV193" s="50"/>
      <c r="BA193" s="50"/>
      <c r="BF193" s="50"/>
      <c r="BK193" s="50"/>
      <c r="BP193" s="50"/>
      <c r="BU193" s="50"/>
      <c r="BZ193" s="50"/>
      <c r="CE193" s="50"/>
      <c r="CJ193" s="50"/>
    </row>
    <row r="194" spans="33:88" ht="12.75">
      <c r="AG194" s="50"/>
      <c r="AL194" s="50"/>
      <c r="AQ194" s="50"/>
      <c r="AV194" s="50"/>
      <c r="BA194" s="50"/>
      <c r="BF194" s="50"/>
      <c r="BK194" s="50"/>
      <c r="BP194" s="50"/>
      <c r="BU194" s="50"/>
      <c r="BZ194" s="50"/>
      <c r="CE194" s="50"/>
      <c r="CJ194" s="50"/>
    </row>
    <row r="195" spans="33:88" ht="12.75">
      <c r="AG195" s="50"/>
      <c r="AL195" s="50"/>
      <c r="AQ195" s="50"/>
      <c r="AV195" s="50"/>
      <c r="BA195" s="50"/>
      <c r="BF195" s="50"/>
      <c r="BK195" s="50"/>
      <c r="BP195" s="50"/>
      <c r="BU195" s="50"/>
      <c r="BZ195" s="50"/>
      <c r="CE195" s="50"/>
      <c r="CJ195" s="50"/>
    </row>
    <row r="196" spans="33:88" ht="12.75">
      <c r="AG196" s="50"/>
      <c r="AL196" s="50"/>
      <c r="AQ196" s="50"/>
      <c r="AV196" s="50"/>
      <c r="BA196" s="50"/>
      <c r="BF196" s="50"/>
      <c r="BK196" s="50"/>
      <c r="BP196" s="50"/>
      <c r="BU196" s="50"/>
      <c r="BZ196" s="50"/>
      <c r="CE196" s="50"/>
      <c r="CJ196" s="50"/>
    </row>
    <row r="197" spans="33:88" ht="12.75">
      <c r="AG197" s="50"/>
      <c r="AL197" s="50"/>
      <c r="AQ197" s="50"/>
      <c r="AV197" s="50"/>
      <c r="BA197" s="50"/>
      <c r="BF197" s="50"/>
      <c r="BK197" s="50"/>
      <c r="BP197" s="50"/>
      <c r="BU197" s="50"/>
      <c r="BZ197" s="50"/>
      <c r="CE197" s="50"/>
      <c r="CJ197" s="50"/>
    </row>
    <row r="198" spans="33:88" ht="12.75">
      <c r="AG198" s="50"/>
      <c r="AL198" s="50"/>
      <c r="AQ198" s="50"/>
      <c r="AV198" s="50"/>
      <c r="BA198" s="50"/>
      <c r="BF198" s="50"/>
      <c r="BK198" s="50"/>
      <c r="BP198" s="50"/>
      <c r="BU198" s="50"/>
      <c r="BZ198" s="50"/>
      <c r="CE198" s="50"/>
      <c r="CJ198" s="50"/>
    </row>
    <row r="199" spans="33:88" ht="12.75">
      <c r="AG199" s="50"/>
      <c r="AL199" s="50"/>
      <c r="AQ199" s="50"/>
      <c r="AV199" s="50"/>
      <c r="BA199" s="50"/>
      <c r="BF199" s="50"/>
      <c r="BK199" s="50"/>
      <c r="BP199" s="50"/>
      <c r="BU199" s="50"/>
      <c r="BZ199" s="50"/>
      <c r="CE199" s="50"/>
      <c r="CJ199" s="50"/>
    </row>
    <row r="200" spans="33:88" ht="12.75">
      <c r="AG200" s="50"/>
      <c r="AL200" s="50"/>
      <c r="AQ200" s="50"/>
      <c r="AV200" s="50"/>
      <c r="BA200" s="50"/>
      <c r="BF200" s="50"/>
      <c r="BK200" s="50"/>
      <c r="BP200" s="50"/>
      <c r="BU200" s="50"/>
      <c r="BZ200" s="50"/>
      <c r="CE200" s="50"/>
      <c r="CJ200" s="50"/>
    </row>
    <row r="201" spans="33:88" ht="12.75">
      <c r="AG201" s="50"/>
      <c r="AL201" s="50"/>
      <c r="AQ201" s="50"/>
      <c r="AV201" s="50"/>
      <c r="BA201" s="50"/>
      <c r="BF201" s="50"/>
      <c r="BK201" s="50"/>
      <c r="BP201" s="50"/>
      <c r="BU201" s="50"/>
      <c r="BZ201" s="50"/>
      <c r="CE201" s="50"/>
      <c r="CJ201" s="50"/>
    </row>
    <row r="202" spans="33:88" ht="12.75">
      <c r="AG202" s="50"/>
      <c r="AL202" s="50"/>
      <c r="AQ202" s="50"/>
      <c r="AV202" s="50"/>
      <c r="BA202" s="50"/>
      <c r="BF202" s="50"/>
      <c r="BK202" s="50"/>
      <c r="BP202" s="50"/>
      <c r="BU202" s="50"/>
      <c r="BZ202" s="50"/>
      <c r="CE202" s="50"/>
      <c r="CJ202" s="50"/>
    </row>
    <row r="203" spans="33:88" ht="12.75">
      <c r="AG203" s="50"/>
      <c r="AL203" s="50"/>
      <c r="AQ203" s="50"/>
      <c r="AV203" s="50"/>
      <c r="BA203" s="50"/>
      <c r="BF203" s="50"/>
      <c r="BK203" s="50"/>
      <c r="BP203" s="50"/>
      <c r="BU203" s="50"/>
      <c r="BZ203" s="50"/>
      <c r="CE203" s="50"/>
      <c r="CJ203" s="50"/>
    </row>
    <row r="204" spans="33:88" ht="12.75">
      <c r="AG204" s="50"/>
      <c r="AL204" s="50"/>
      <c r="AQ204" s="50"/>
      <c r="AV204" s="50"/>
      <c r="BA204" s="50"/>
      <c r="BF204" s="50"/>
      <c r="BK204" s="50"/>
      <c r="BP204" s="50"/>
      <c r="BU204" s="50"/>
      <c r="BZ204" s="50"/>
      <c r="CE204" s="50"/>
      <c r="CJ204" s="50"/>
    </row>
    <row r="205" spans="33:88" ht="12.75">
      <c r="AG205" s="50"/>
      <c r="AL205" s="50"/>
      <c r="AQ205" s="50"/>
      <c r="AV205" s="50"/>
      <c r="BA205" s="50"/>
      <c r="BF205" s="50"/>
      <c r="BK205" s="50"/>
      <c r="BP205" s="50"/>
      <c r="BU205" s="50"/>
      <c r="BZ205" s="50"/>
      <c r="CE205" s="50"/>
      <c r="CJ205" s="50"/>
    </row>
    <row r="206" spans="33:88" ht="12.75">
      <c r="AG206" s="50"/>
      <c r="AL206" s="50"/>
      <c r="AQ206" s="50"/>
      <c r="AV206" s="50"/>
      <c r="BA206" s="50"/>
      <c r="BF206" s="50"/>
      <c r="BK206" s="50"/>
      <c r="BP206" s="50"/>
      <c r="BU206" s="50"/>
      <c r="BZ206" s="50"/>
      <c r="CE206" s="50"/>
      <c r="CJ206" s="50"/>
    </row>
    <row r="207" spans="33:88" ht="12.75">
      <c r="AG207" s="50"/>
      <c r="AL207" s="50"/>
      <c r="AQ207" s="50"/>
      <c r="AV207" s="50"/>
      <c r="BA207" s="50"/>
      <c r="BF207" s="50"/>
      <c r="BK207" s="50"/>
      <c r="BP207" s="50"/>
      <c r="BU207" s="50"/>
      <c r="BZ207" s="50"/>
      <c r="CE207" s="50"/>
      <c r="CJ207" s="50"/>
    </row>
    <row r="208" spans="33:88" ht="12.75">
      <c r="AG208" s="50"/>
      <c r="AL208" s="50"/>
      <c r="AQ208" s="50"/>
      <c r="AV208" s="50"/>
      <c r="BA208" s="50"/>
      <c r="BF208" s="50"/>
      <c r="BK208" s="50"/>
      <c r="BP208" s="50"/>
      <c r="BU208" s="50"/>
      <c r="BZ208" s="50"/>
      <c r="CE208" s="50"/>
      <c r="CJ208" s="50"/>
    </row>
    <row r="209" spans="33:88" ht="12.75">
      <c r="AG209" s="50"/>
      <c r="AL209" s="50"/>
      <c r="AQ209" s="50"/>
      <c r="AV209" s="50"/>
      <c r="BA209" s="50"/>
      <c r="BF209" s="50"/>
      <c r="BK209" s="50"/>
      <c r="BP209" s="50"/>
      <c r="BU209" s="50"/>
      <c r="BZ209" s="50"/>
      <c r="CE209" s="50"/>
      <c r="CJ209" s="50"/>
    </row>
    <row r="210" spans="33:88" ht="12.75">
      <c r="AG210" s="50"/>
      <c r="AL210" s="50"/>
      <c r="AQ210" s="50"/>
      <c r="AV210" s="50"/>
      <c r="BA210" s="50"/>
      <c r="BF210" s="50"/>
      <c r="BK210" s="50"/>
      <c r="BP210" s="50"/>
      <c r="BU210" s="50"/>
      <c r="BZ210" s="50"/>
      <c r="CE210" s="50"/>
      <c r="CJ210" s="50"/>
    </row>
    <row r="211" spans="33:88" ht="12.75">
      <c r="AG211" s="50"/>
      <c r="AL211" s="50"/>
      <c r="AQ211" s="50"/>
      <c r="AV211" s="50"/>
      <c r="BA211" s="50"/>
      <c r="BF211" s="50"/>
      <c r="BK211" s="50"/>
      <c r="BP211" s="50"/>
      <c r="BU211" s="50"/>
      <c r="BZ211" s="50"/>
      <c r="CE211" s="50"/>
      <c r="CJ211" s="50"/>
    </row>
    <row r="212" spans="33:88" ht="12.75">
      <c r="AG212" s="50"/>
      <c r="AL212" s="50"/>
      <c r="AQ212" s="50"/>
      <c r="AV212" s="50"/>
      <c r="BA212" s="50"/>
      <c r="BF212" s="50"/>
      <c r="BK212" s="50"/>
      <c r="BP212" s="50"/>
      <c r="BU212" s="50"/>
      <c r="BZ212" s="50"/>
      <c r="CE212" s="50"/>
      <c r="CJ212" s="50"/>
    </row>
    <row r="213" spans="33:88" ht="12.75">
      <c r="AG213" s="50"/>
      <c r="AL213" s="50"/>
      <c r="AQ213" s="50"/>
      <c r="AV213" s="50"/>
      <c r="BA213" s="50"/>
      <c r="BF213" s="50"/>
      <c r="BK213" s="50"/>
      <c r="BP213" s="50"/>
      <c r="BU213" s="50"/>
      <c r="BZ213" s="50"/>
      <c r="CE213" s="50"/>
      <c r="CJ213" s="50"/>
    </row>
    <row r="214" spans="33:88" ht="12.75">
      <c r="AG214" s="50"/>
      <c r="AL214" s="50"/>
      <c r="AQ214" s="50"/>
      <c r="AV214" s="50"/>
      <c r="BA214" s="50"/>
      <c r="BF214" s="50"/>
      <c r="BK214" s="50"/>
      <c r="BP214" s="50"/>
      <c r="BU214" s="50"/>
      <c r="BZ214" s="50"/>
      <c r="CE214" s="50"/>
      <c r="CJ214" s="50"/>
    </row>
    <row r="215" spans="33:88" ht="12.75">
      <c r="AG215" s="50"/>
      <c r="AL215" s="50"/>
      <c r="AQ215" s="50"/>
      <c r="AV215" s="50"/>
      <c r="BA215" s="50"/>
      <c r="BF215" s="50"/>
      <c r="BK215" s="50"/>
      <c r="BP215" s="50"/>
      <c r="BU215" s="50"/>
      <c r="BZ215" s="50"/>
      <c r="CE215" s="50"/>
      <c r="CJ215" s="50"/>
    </row>
    <row r="216" spans="33:88" ht="12.75">
      <c r="AG216" s="50"/>
      <c r="AL216" s="50"/>
      <c r="AQ216" s="50"/>
      <c r="AV216" s="50"/>
      <c r="BA216" s="50"/>
      <c r="BF216" s="50"/>
      <c r="BK216" s="50"/>
      <c r="BP216" s="50"/>
      <c r="BU216" s="50"/>
      <c r="BZ216" s="50"/>
      <c r="CE216" s="50"/>
      <c r="CJ216" s="50"/>
    </row>
    <row r="217" spans="33:88" ht="12.75">
      <c r="AG217" s="50"/>
      <c r="AL217" s="50"/>
      <c r="AQ217" s="50"/>
      <c r="AV217" s="50"/>
      <c r="BA217" s="50"/>
      <c r="BF217" s="50"/>
      <c r="BK217" s="50"/>
      <c r="BP217" s="50"/>
      <c r="BU217" s="50"/>
      <c r="BZ217" s="50"/>
      <c r="CE217" s="50"/>
      <c r="CJ217" s="50"/>
    </row>
    <row r="218" spans="33:88" ht="12.75">
      <c r="AG218" s="50"/>
      <c r="AL218" s="50"/>
      <c r="AQ218" s="50"/>
      <c r="AV218" s="50"/>
      <c r="BA218" s="50"/>
      <c r="BF218" s="50"/>
      <c r="BK218" s="50"/>
      <c r="BP218" s="50"/>
      <c r="BU218" s="50"/>
      <c r="BZ218" s="50"/>
      <c r="CE218" s="50"/>
      <c r="CJ218" s="50"/>
    </row>
    <row r="219" spans="33:88" ht="12.75">
      <c r="AG219" s="50"/>
      <c r="AL219" s="50"/>
      <c r="AQ219" s="50"/>
      <c r="AV219" s="50"/>
      <c r="BA219" s="50"/>
      <c r="BF219" s="50"/>
      <c r="BK219" s="50"/>
      <c r="BP219" s="50"/>
      <c r="BU219" s="50"/>
      <c r="BZ219" s="50"/>
      <c r="CE219" s="50"/>
      <c r="CJ219" s="50"/>
    </row>
    <row r="220" spans="33:88" ht="12.75">
      <c r="AG220" s="50"/>
      <c r="AL220" s="50"/>
      <c r="AQ220" s="50"/>
      <c r="AV220" s="50"/>
      <c r="BA220" s="50"/>
      <c r="BF220" s="50"/>
      <c r="BK220" s="50"/>
      <c r="BP220" s="50"/>
      <c r="BU220" s="50"/>
      <c r="BZ220" s="50"/>
      <c r="CE220" s="50"/>
      <c r="CJ220" s="50"/>
    </row>
    <row r="221" spans="33:88" ht="12.75">
      <c r="AG221" s="50"/>
      <c r="AL221" s="50"/>
      <c r="AQ221" s="50"/>
      <c r="AV221" s="50"/>
      <c r="BA221" s="50"/>
      <c r="BF221" s="50"/>
      <c r="BK221" s="50"/>
      <c r="BP221" s="50"/>
      <c r="BU221" s="50"/>
      <c r="BZ221" s="50"/>
      <c r="CE221" s="50"/>
      <c r="CJ221" s="50"/>
    </row>
    <row r="222" spans="33:88" ht="12.75">
      <c r="AG222" s="50"/>
      <c r="AL222" s="50"/>
      <c r="AQ222" s="50"/>
      <c r="AV222" s="50"/>
      <c r="BA222" s="50"/>
      <c r="BF222" s="50"/>
      <c r="BK222" s="50"/>
      <c r="BP222" s="50"/>
      <c r="BU222" s="50"/>
      <c r="BZ222" s="50"/>
      <c r="CE222" s="50"/>
      <c r="CJ222" s="50"/>
    </row>
    <row r="223" spans="33:88" ht="12.75">
      <c r="AG223" s="50"/>
      <c r="AL223" s="50"/>
      <c r="AQ223" s="50"/>
      <c r="AV223" s="50"/>
      <c r="BA223" s="50"/>
      <c r="BF223" s="50"/>
      <c r="BK223" s="50"/>
      <c r="BP223" s="50"/>
      <c r="BU223" s="50"/>
      <c r="BZ223" s="50"/>
      <c r="CE223" s="50"/>
      <c r="CJ223" s="50"/>
    </row>
    <row r="224" spans="33:88" ht="12.75">
      <c r="AG224" s="50"/>
      <c r="AL224" s="50"/>
      <c r="AQ224" s="50"/>
      <c r="AV224" s="50"/>
      <c r="BA224" s="50"/>
      <c r="BF224" s="50"/>
      <c r="BK224" s="50"/>
      <c r="BP224" s="50"/>
      <c r="BU224" s="50"/>
      <c r="BZ224" s="50"/>
      <c r="CE224" s="50"/>
      <c r="CJ224" s="50"/>
    </row>
    <row r="225" spans="33:88" ht="12.75">
      <c r="AG225" s="50"/>
      <c r="AL225" s="50"/>
      <c r="AQ225" s="50"/>
      <c r="AV225" s="50"/>
      <c r="BA225" s="50"/>
      <c r="BF225" s="50"/>
      <c r="BK225" s="50"/>
      <c r="BP225" s="50"/>
      <c r="BU225" s="50"/>
      <c r="BZ225" s="50"/>
      <c r="CE225" s="50"/>
      <c r="CJ225" s="50"/>
    </row>
    <row r="226" spans="33:88" ht="12.75">
      <c r="AG226" s="50"/>
      <c r="AL226" s="50"/>
      <c r="AQ226" s="50"/>
      <c r="AV226" s="50"/>
      <c r="BA226" s="50"/>
      <c r="BF226" s="50"/>
      <c r="BK226" s="50"/>
      <c r="BP226" s="50"/>
      <c r="BU226" s="50"/>
      <c r="BZ226" s="50"/>
      <c r="CE226" s="50"/>
      <c r="CJ226" s="50"/>
    </row>
    <row r="227" spans="33:88" ht="12.75">
      <c r="AG227" s="50"/>
      <c r="AL227" s="50"/>
      <c r="AQ227" s="50"/>
      <c r="AV227" s="50"/>
      <c r="BA227" s="50"/>
      <c r="BF227" s="50"/>
      <c r="BK227" s="50"/>
      <c r="BP227" s="50"/>
      <c r="BU227" s="50"/>
      <c r="BZ227" s="50"/>
      <c r="CE227" s="50"/>
      <c r="CJ227" s="50"/>
    </row>
    <row r="228" spans="33:88" ht="12.75">
      <c r="AG228" s="50"/>
      <c r="AL228" s="50"/>
      <c r="AQ228" s="50"/>
      <c r="AV228" s="50"/>
      <c r="BA228" s="50"/>
      <c r="BF228" s="50"/>
      <c r="BK228" s="50"/>
      <c r="BP228" s="50"/>
      <c r="BU228" s="50"/>
      <c r="BZ228" s="50"/>
      <c r="CE228" s="50"/>
      <c r="CJ228" s="50"/>
    </row>
    <row r="229" spans="33:88" ht="12.75">
      <c r="AG229" s="50"/>
      <c r="AL229" s="50"/>
      <c r="AQ229" s="50"/>
      <c r="AV229" s="50"/>
      <c r="BA229" s="50"/>
      <c r="BF229" s="50"/>
      <c r="BK229" s="50"/>
      <c r="BP229" s="50"/>
      <c r="BU229" s="50"/>
      <c r="BZ229" s="50"/>
      <c r="CE229" s="50"/>
      <c r="CJ229" s="50"/>
    </row>
    <row r="230" spans="33:88" ht="12.75">
      <c r="AG230" s="50"/>
      <c r="AL230" s="50"/>
      <c r="AQ230" s="50"/>
      <c r="AV230" s="50"/>
      <c r="BA230" s="50"/>
      <c r="BF230" s="50"/>
      <c r="BK230" s="50"/>
      <c r="BP230" s="50"/>
      <c r="BU230" s="50"/>
      <c r="BZ230" s="50"/>
      <c r="CE230" s="50"/>
      <c r="CJ230" s="50"/>
    </row>
    <row r="231" spans="33:88" ht="12.75">
      <c r="AG231" s="50"/>
      <c r="AL231" s="50"/>
      <c r="AQ231" s="50"/>
      <c r="AV231" s="50"/>
      <c r="BA231" s="50"/>
      <c r="BF231" s="50"/>
      <c r="BK231" s="50"/>
      <c r="BP231" s="50"/>
      <c r="BU231" s="50"/>
      <c r="BZ231" s="50"/>
      <c r="CE231" s="50"/>
      <c r="CJ231" s="50"/>
    </row>
    <row r="232" spans="33:88" ht="12.75">
      <c r="AG232" s="50"/>
      <c r="AL232" s="50"/>
      <c r="AQ232" s="50"/>
      <c r="AV232" s="50"/>
      <c r="BA232" s="50"/>
      <c r="BF232" s="50"/>
      <c r="BK232" s="50"/>
      <c r="BP232" s="50"/>
      <c r="BU232" s="50"/>
      <c r="BZ232" s="50"/>
      <c r="CE232" s="50"/>
      <c r="CJ232" s="50"/>
    </row>
    <row r="233" spans="33:88" ht="12.75">
      <c r="AG233" s="50"/>
      <c r="AL233" s="50"/>
      <c r="AQ233" s="50"/>
      <c r="AV233" s="50"/>
      <c r="BA233" s="50"/>
      <c r="BF233" s="50"/>
      <c r="BK233" s="50"/>
      <c r="BP233" s="50"/>
      <c r="BU233" s="50"/>
      <c r="BZ233" s="50"/>
      <c r="CE233" s="50"/>
      <c r="CJ233" s="50"/>
    </row>
    <row r="234" spans="33:88" ht="12.75">
      <c r="AG234" s="50"/>
      <c r="AL234" s="50"/>
      <c r="AQ234" s="50"/>
      <c r="AV234" s="50"/>
      <c r="BA234" s="50"/>
      <c r="BF234" s="50"/>
      <c r="BK234" s="50"/>
      <c r="BP234" s="50"/>
      <c r="BU234" s="50"/>
      <c r="BZ234" s="50"/>
      <c r="CE234" s="50"/>
      <c r="CJ234" s="50"/>
    </row>
    <row r="235" spans="33:88" ht="12.75">
      <c r="AG235" s="50"/>
      <c r="AL235" s="50"/>
      <c r="AQ235" s="50"/>
      <c r="AV235" s="50"/>
      <c r="BA235" s="50"/>
      <c r="BF235" s="50"/>
      <c r="BK235" s="50"/>
      <c r="BP235" s="50"/>
      <c r="BU235" s="50"/>
      <c r="BZ235" s="50"/>
      <c r="CE235" s="50"/>
      <c r="CJ235" s="50"/>
    </row>
    <row r="236" spans="33:88" ht="12.75">
      <c r="AG236" s="50"/>
      <c r="AL236" s="50"/>
      <c r="AQ236" s="50"/>
      <c r="AV236" s="50"/>
      <c r="BA236" s="50"/>
      <c r="BF236" s="50"/>
      <c r="BK236" s="50"/>
      <c r="BP236" s="50"/>
      <c r="BU236" s="50"/>
      <c r="BZ236" s="50"/>
      <c r="CE236" s="50"/>
      <c r="CJ236" s="50"/>
    </row>
    <row r="237" spans="33:88" ht="12.75">
      <c r="AG237" s="50"/>
      <c r="AL237" s="50"/>
      <c r="AQ237" s="50"/>
      <c r="AV237" s="50"/>
      <c r="BA237" s="50"/>
      <c r="BF237" s="50"/>
      <c r="BK237" s="50"/>
      <c r="BP237" s="50"/>
      <c r="BU237" s="50"/>
      <c r="BZ237" s="50"/>
      <c r="CE237" s="50"/>
      <c r="CJ237" s="5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E54F-C005-4927-B7BF-37E4B6E4E856}">
  <dimension ref="A1:E132"/>
  <sheetViews>
    <sheetView workbookViewId="0">
      <selection activeCell="L6" sqref="L6"/>
    </sheetView>
  </sheetViews>
  <sheetFormatPr defaultRowHeight="12.75"/>
  <sheetData>
    <row r="1" spans="1: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>
      <c r="A2" t="s">
        <v>93</v>
      </c>
      <c r="B2" t="s">
        <v>94</v>
      </c>
      <c r="C2" t="s">
        <v>95</v>
      </c>
      <c r="D2" t="s">
        <v>96</v>
      </c>
      <c r="E2" t="s">
        <v>97</v>
      </c>
    </row>
    <row r="3" spans="1:5">
      <c r="A3" t="s">
        <v>93</v>
      </c>
      <c r="B3" t="s">
        <v>100</v>
      </c>
      <c r="C3" t="s">
        <v>101</v>
      </c>
      <c r="D3" t="s">
        <v>96</v>
      </c>
      <c r="E3" t="s">
        <v>102</v>
      </c>
    </row>
    <row r="4" spans="1:5">
      <c r="A4" t="s">
        <v>93</v>
      </c>
      <c r="B4" t="s">
        <v>100</v>
      </c>
      <c r="C4" t="s">
        <v>101</v>
      </c>
      <c r="D4" t="s">
        <v>96</v>
      </c>
      <c r="E4" t="s">
        <v>104</v>
      </c>
    </row>
    <row r="5" spans="1:5">
      <c r="A5" t="s">
        <v>93</v>
      </c>
      <c r="B5" t="s">
        <v>100</v>
      </c>
      <c r="C5" t="s">
        <v>101</v>
      </c>
      <c r="D5" t="s">
        <v>96</v>
      </c>
      <c r="E5" t="s">
        <v>102</v>
      </c>
    </row>
    <row r="6" spans="1:5">
      <c r="A6" t="s">
        <v>107</v>
      </c>
      <c r="B6" t="s">
        <v>108</v>
      </c>
      <c r="C6" t="s">
        <v>101</v>
      </c>
      <c r="D6" t="s">
        <v>109</v>
      </c>
      <c r="E6" t="s">
        <v>102</v>
      </c>
    </row>
    <row r="7" spans="1:5">
      <c r="A7" t="s">
        <v>107</v>
      </c>
      <c r="B7" t="s">
        <v>112</v>
      </c>
      <c r="C7" t="s">
        <v>101</v>
      </c>
      <c r="D7" t="s">
        <v>113</v>
      </c>
      <c r="E7" t="s">
        <v>102</v>
      </c>
    </row>
    <row r="8" spans="1:5">
      <c r="A8" t="s">
        <v>93</v>
      </c>
      <c r="B8" t="s">
        <v>112</v>
      </c>
      <c r="C8" t="s">
        <v>95</v>
      </c>
      <c r="D8" t="s">
        <v>113</v>
      </c>
      <c r="E8" t="s">
        <v>102</v>
      </c>
    </row>
    <row r="9" spans="1:5">
      <c r="A9" t="s">
        <v>93</v>
      </c>
      <c r="B9" t="s">
        <v>112</v>
      </c>
      <c r="C9" t="s">
        <v>95</v>
      </c>
      <c r="D9" t="s">
        <v>109</v>
      </c>
      <c r="E9" t="s">
        <v>102</v>
      </c>
    </row>
    <row r="10" spans="1:5">
      <c r="A10" t="s">
        <v>107</v>
      </c>
      <c r="B10" t="s">
        <v>112</v>
      </c>
      <c r="C10" t="s">
        <v>95</v>
      </c>
      <c r="D10" t="s">
        <v>113</v>
      </c>
      <c r="E10" t="s">
        <v>102</v>
      </c>
    </row>
    <row r="11" spans="1:5">
      <c r="A11" t="s">
        <v>107</v>
      </c>
      <c r="B11" t="s">
        <v>112</v>
      </c>
      <c r="C11" t="s">
        <v>95</v>
      </c>
      <c r="D11" t="s">
        <v>113</v>
      </c>
      <c r="E11" t="s">
        <v>102</v>
      </c>
    </row>
    <row r="12" spans="1:5">
      <c r="A12" t="s">
        <v>93</v>
      </c>
      <c r="B12" t="s">
        <v>112</v>
      </c>
      <c r="C12" t="s">
        <v>95</v>
      </c>
      <c r="D12" t="s">
        <v>109</v>
      </c>
      <c r="E12" t="s">
        <v>120</v>
      </c>
    </row>
    <row r="13" spans="1:5">
      <c r="A13" t="s">
        <v>93</v>
      </c>
      <c r="B13" t="s">
        <v>112</v>
      </c>
      <c r="C13" t="s">
        <v>101</v>
      </c>
      <c r="D13" t="s">
        <v>123</v>
      </c>
      <c r="E13" t="s">
        <v>102</v>
      </c>
    </row>
    <row r="14" spans="1:5">
      <c r="A14" t="s">
        <v>107</v>
      </c>
      <c r="B14" t="s">
        <v>112</v>
      </c>
      <c r="C14" t="s">
        <v>101</v>
      </c>
      <c r="D14" t="s">
        <v>123</v>
      </c>
      <c r="E14" t="s">
        <v>102</v>
      </c>
    </row>
    <row r="15" spans="1:5">
      <c r="A15" t="s">
        <v>93</v>
      </c>
      <c r="B15" t="s">
        <v>112</v>
      </c>
      <c r="C15" t="s">
        <v>101</v>
      </c>
      <c r="D15" t="s">
        <v>123</v>
      </c>
      <c r="E15" t="s">
        <v>102</v>
      </c>
    </row>
    <row r="16" spans="1:5">
      <c r="A16" t="s">
        <v>93</v>
      </c>
      <c r="B16" t="s">
        <v>100</v>
      </c>
      <c r="C16" t="s">
        <v>95</v>
      </c>
      <c r="D16" t="s">
        <v>123</v>
      </c>
      <c r="E16" t="s">
        <v>102</v>
      </c>
    </row>
    <row r="17" spans="1:5">
      <c r="A17" t="s">
        <v>93</v>
      </c>
      <c r="B17" t="s">
        <v>100</v>
      </c>
      <c r="C17" t="s">
        <v>95</v>
      </c>
      <c r="D17" t="s">
        <v>123</v>
      </c>
      <c r="E17" t="s">
        <v>102</v>
      </c>
    </row>
    <row r="18" spans="1:5">
      <c r="A18" t="s">
        <v>93</v>
      </c>
      <c r="B18" t="s">
        <v>112</v>
      </c>
      <c r="C18" t="s">
        <v>95</v>
      </c>
      <c r="D18" t="s">
        <v>123</v>
      </c>
      <c r="E18" t="s">
        <v>102</v>
      </c>
    </row>
    <row r="19" spans="1:5">
      <c r="A19" t="s">
        <v>93</v>
      </c>
      <c r="B19" t="s">
        <v>94</v>
      </c>
      <c r="C19" t="s">
        <v>130</v>
      </c>
      <c r="D19" t="s">
        <v>96</v>
      </c>
      <c r="E19" t="s">
        <v>102</v>
      </c>
    </row>
    <row r="20" spans="1:5">
      <c r="A20" t="s">
        <v>93</v>
      </c>
      <c r="B20" t="s">
        <v>94</v>
      </c>
      <c r="C20" t="s">
        <v>101</v>
      </c>
      <c r="D20" t="s">
        <v>96</v>
      </c>
      <c r="E20" t="s">
        <v>102</v>
      </c>
    </row>
    <row r="21" spans="1:5">
      <c r="A21" t="s">
        <v>107</v>
      </c>
      <c r="B21" t="s">
        <v>112</v>
      </c>
      <c r="C21" t="s">
        <v>95</v>
      </c>
      <c r="D21" t="s">
        <v>113</v>
      </c>
      <c r="E21" t="s">
        <v>102</v>
      </c>
    </row>
    <row r="22" spans="1:5">
      <c r="A22" t="s">
        <v>93</v>
      </c>
      <c r="B22" t="s">
        <v>100</v>
      </c>
      <c r="C22" t="s">
        <v>130</v>
      </c>
      <c r="D22" t="s">
        <v>123</v>
      </c>
      <c r="E22" t="s">
        <v>120</v>
      </c>
    </row>
    <row r="23" spans="1:5">
      <c r="A23" t="s">
        <v>93</v>
      </c>
      <c r="B23" t="s">
        <v>112</v>
      </c>
      <c r="C23" t="s">
        <v>95</v>
      </c>
      <c r="D23" t="s">
        <v>123</v>
      </c>
      <c r="E23" t="s">
        <v>102</v>
      </c>
    </row>
    <row r="24" spans="1:5">
      <c r="A24" t="s">
        <v>93</v>
      </c>
      <c r="B24" t="s">
        <v>100</v>
      </c>
      <c r="C24" t="s">
        <v>130</v>
      </c>
      <c r="D24" t="s">
        <v>96</v>
      </c>
      <c r="E24" t="s">
        <v>102</v>
      </c>
    </row>
    <row r="25" spans="1:5">
      <c r="A25" t="s">
        <v>93</v>
      </c>
      <c r="B25" t="s">
        <v>112</v>
      </c>
      <c r="C25" t="s">
        <v>95</v>
      </c>
      <c r="D25" t="s">
        <v>113</v>
      </c>
      <c r="E25" t="s">
        <v>120</v>
      </c>
    </row>
    <row r="26" spans="1:5">
      <c r="A26" t="s">
        <v>93</v>
      </c>
      <c r="B26" t="s">
        <v>112</v>
      </c>
      <c r="C26" t="s">
        <v>95</v>
      </c>
      <c r="D26" t="s">
        <v>109</v>
      </c>
      <c r="E26" t="s">
        <v>102</v>
      </c>
    </row>
    <row r="27" spans="1:5">
      <c r="A27" t="s">
        <v>107</v>
      </c>
      <c r="B27" t="s">
        <v>94</v>
      </c>
      <c r="C27" t="s">
        <v>95</v>
      </c>
      <c r="D27" t="s">
        <v>96</v>
      </c>
      <c r="E27" t="s">
        <v>104</v>
      </c>
    </row>
    <row r="28" spans="1:5">
      <c r="A28" t="s">
        <v>107</v>
      </c>
      <c r="B28" t="s">
        <v>112</v>
      </c>
      <c r="C28" t="s">
        <v>101</v>
      </c>
      <c r="D28" t="s">
        <v>109</v>
      </c>
      <c r="E28" t="s">
        <v>120</v>
      </c>
    </row>
    <row r="29" spans="1:5">
      <c r="A29" t="s">
        <v>107</v>
      </c>
      <c r="B29" t="s">
        <v>100</v>
      </c>
      <c r="C29" t="s">
        <v>130</v>
      </c>
      <c r="D29" t="s">
        <v>96</v>
      </c>
      <c r="E29" t="s">
        <v>102</v>
      </c>
    </row>
    <row r="30" spans="1:5">
      <c r="A30" t="s">
        <v>93</v>
      </c>
      <c r="B30" t="s">
        <v>112</v>
      </c>
      <c r="C30" t="s">
        <v>130</v>
      </c>
      <c r="D30" t="s">
        <v>123</v>
      </c>
      <c r="E30" t="s">
        <v>102</v>
      </c>
    </row>
    <row r="31" spans="1:5">
      <c r="A31" t="s">
        <v>93</v>
      </c>
      <c r="B31" t="s">
        <v>100</v>
      </c>
      <c r="C31" t="s">
        <v>130</v>
      </c>
      <c r="D31" t="s">
        <v>96</v>
      </c>
      <c r="E31" t="s">
        <v>102</v>
      </c>
    </row>
    <row r="32" spans="1:5">
      <c r="A32" t="s">
        <v>93</v>
      </c>
      <c r="B32" t="s">
        <v>100</v>
      </c>
      <c r="C32" t="s">
        <v>101</v>
      </c>
      <c r="D32" t="s">
        <v>96</v>
      </c>
      <c r="E32" t="s">
        <v>102</v>
      </c>
    </row>
    <row r="33" spans="1:5">
      <c r="A33" t="s">
        <v>107</v>
      </c>
      <c r="B33" t="s">
        <v>112</v>
      </c>
      <c r="C33" t="s">
        <v>130</v>
      </c>
      <c r="D33" t="s">
        <v>96</v>
      </c>
      <c r="E33" t="s">
        <v>120</v>
      </c>
    </row>
    <row r="34" spans="1:5">
      <c r="A34" t="s">
        <v>93</v>
      </c>
      <c r="B34" t="s">
        <v>94</v>
      </c>
      <c r="C34" t="s">
        <v>101</v>
      </c>
      <c r="D34" t="s">
        <v>96</v>
      </c>
      <c r="E34" t="s">
        <v>102</v>
      </c>
    </row>
    <row r="35" spans="1:5">
      <c r="A35" t="s">
        <v>107</v>
      </c>
      <c r="B35" t="s">
        <v>100</v>
      </c>
      <c r="C35" t="s">
        <v>130</v>
      </c>
      <c r="D35" t="s">
        <v>96</v>
      </c>
      <c r="E35" t="s">
        <v>102</v>
      </c>
    </row>
    <row r="36" spans="1:5">
      <c r="A36" t="s">
        <v>107</v>
      </c>
      <c r="B36" t="s">
        <v>112</v>
      </c>
      <c r="C36" t="s">
        <v>101</v>
      </c>
      <c r="D36" t="s">
        <v>113</v>
      </c>
      <c r="E36" t="s">
        <v>102</v>
      </c>
    </row>
    <row r="37" spans="1:5">
      <c r="A37" t="s">
        <v>107</v>
      </c>
      <c r="B37" t="s">
        <v>112</v>
      </c>
      <c r="C37" t="s">
        <v>130</v>
      </c>
      <c r="D37" t="s">
        <v>113</v>
      </c>
      <c r="E37" t="s">
        <v>102</v>
      </c>
    </row>
    <row r="38" spans="1:5">
      <c r="A38" t="s">
        <v>107</v>
      </c>
      <c r="B38" t="s">
        <v>112</v>
      </c>
      <c r="C38" t="s">
        <v>130</v>
      </c>
      <c r="D38" t="s">
        <v>96</v>
      </c>
      <c r="E38" t="s">
        <v>102</v>
      </c>
    </row>
    <row r="39" spans="1:5">
      <c r="A39" t="s">
        <v>93</v>
      </c>
      <c r="B39" t="s">
        <v>112</v>
      </c>
      <c r="C39" t="s">
        <v>101</v>
      </c>
      <c r="D39" t="s">
        <v>123</v>
      </c>
      <c r="E39" t="s">
        <v>102</v>
      </c>
    </row>
    <row r="40" spans="1:5">
      <c r="A40" t="s">
        <v>93</v>
      </c>
      <c r="B40" t="s">
        <v>112</v>
      </c>
      <c r="C40" t="s">
        <v>95</v>
      </c>
      <c r="D40" t="s">
        <v>123</v>
      </c>
      <c r="E40" t="s">
        <v>102</v>
      </c>
    </row>
    <row r="41" spans="1:5">
      <c r="A41" t="s">
        <v>93</v>
      </c>
      <c r="B41" t="s">
        <v>100</v>
      </c>
      <c r="C41" t="s">
        <v>95</v>
      </c>
      <c r="D41" t="s">
        <v>109</v>
      </c>
      <c r="E41" t="s">
        <v>104</v>
      </c>
    </row>
    <row r="42" spans="1:5">
      <c r="A42" t="s">
        <v>93</v>
      </c>
      <c r="B42" t="s">
        <v>112</v>
      </c>
      <c r="C42" t="s">
        <v>95</v>
      </c>
      <c r="D42" t="s">
        <v>113</v>
      </c>
      <c r="E42" t="s">
        <v>102</v>
      </c>
    </row>
    <row r="43" spans="1:5">
      <c r="A43" t="s">
        <v>93</v>
      </c>
      <c r="B43" t="s">
        <v>100</v>
      </c>
      <c r="C43" t="s">
        <v>101</v>
      </c>
      <c r="D43" t="s">
        <v>109</v>
      </c>
      <c r="E43" t="s">
        <v>102</v>
      </c>
    </row>
    <row r="44" spans="1:5">
      <c r="A44" t="s">
        <v>93</v>
      </c>
      <c r="B44" t="s">
        <v>94</v>
      </c>
      <c r="C44" t="s">
        <v>130</v>
      </c>
      <c r="D44" t="s">
        <v>96</v>
      </c>
      <c r="E44" t="s">
        <v>102</v>
      </c>
    </row>
    <row r="45" spans="1:5">
      <c r="A45" t="s">
        <v>107</v>
      </c>
      <c r="B45" t="s">
        <v>100</v>
      </c>
      <c r="C45" t="s">
        <v>101</v>
      </c>
      <c r="D45" t="s">
        <v>96</v>
      </c>
      <c r="E45" t="s">
        <v>120</v>
      </c>
    </row>
    <row r="46" spans="1:5">
      <c r="A46" t="s">
        <v>107</v>
      </c>
      <c r="B46" t="s">
        <v>112</v>
      </c>
      <c r="C46" t="s">
        <v>130</v>
      </c>
      <c r="D46" t="s">
        <v>123</v>
      </c>
      <c r="E46" t="s">
        <v>102</v>
      </c>
    </row>
    <row r="47" spans="1:5">
      <c r="A47" t="s">
        <v>93</v>
      </c>
      <c r="B47" t="s">
        <v>112</v>
      </c>
      <c r="C47" t="s">
        <v>130</v>
      </c>
      <c r="D47" t="s">
        <v>96</v>
      </c>
      <c r="E47" t="s">
        <v>102</v>
      </c>
    </row>
    <row r="48" spans="1:5">
      <c r="A48" t="s">
        <v>93</v>
      </c>
      <c r="B48" t="s">
        <v>94</v>
      </c>
      <c r="C48" t="s">
        <v>130</v>
      </c>
      <c r="D48" t="s">
        <v>96</v>
      </c>
      <c r="E48" t="s">
        <v>102</v>
      </c>
    </row>
    <row r="49" spans="1:5">
      <c r="A49" t="s">
        <v>93</v>
      </c>
      <c r="B49" t="s">
        <v>112</v>
      </c>
      <c r="C49" t="s">
        <v>101</v>
      </c>
      <c r="D49" t="s">
        <v>109</v>
      </c>
      <c r="E49" t="s">
        <v>120</v>
      </c>
    </row>
    <row r="50" spans="1:5">
      <c r="A50" t="s">
        <v>107</v>
      </c>
      <c r="B50" t="s">
        <v>112</v>
      </c>
      <c r="C50" t="s">
        <v>95</v>
      </c>
      <c r="D50" t="s">
        <v>109</v>
      </c>
      <c r="E50" t="s">
        <v>102</v>
      </c>
    </row>
    <row r="51" spans="1:5">
      <c r="A51" t="s">
        <v>93</v>
      </c>
      <c r="B51" t="s">
        <v>94</v>
      </c>
      <c r="C51" t="s">
        <v>101</v>
      </c>
      <c r="D51" t="s">
        <v>96</v>
      </c>
      <c r="E51" t="s">
        <v>102</v>
      </c>
    </row>
    <row r="52" spans="1:5">
      <c r="A52" t="s">
        <v>107</v>
      </c>
      <c r="B52" t="s">
        <v>112</v>
      </c>
      <c r="C52" t="s">
        <v>95</v>
      </c>
      <c r="D52" t="s">
        <v>109</v>
      </c>
      <c r="E52" t="s">
        <v>102</v>
      </c>
    </row>
    <row r="53" spans="1:5">
      <c r="A53" t="s">
        <v>93</v>
      </c>
      <c r="B53" t="s">
        <v>112</v>
      </c>
      <c r="C53" t="s">
        <v>130</v>
      </c>
      <c r="D53" t="s">
        <v>113</v>
      </c>
      <c r="E53" t="s">
        <v>102</v>
      </c>
    </row>
    <row r="54" spans="1:5">
      <c r="A54" t="s">
        <v>93</v>
      </c>
      <c r="B54" t="s">
        <v>112</v>
      </c>
      <c r="C54" t="s">
        <v>95</v>
      </c>
      <c r="D54" t="s">
        <v>123</v>
      </c>
      <c r="E54" t="s">
        <v>102</v>
      </c>
    </row>
    <row r="55" spans="1:5">
      <c r="A55" t="s">
        <v>93</v>
      </c>
      <c r="B55" t="s">
        <v>112</v>
      </c>
      <c r="C55" t="s">
        <v>95</v>
      </c>
      <c r="D55" t="s">
        <v>123</v>
      </c>
      <c r="E55" t="s">
        <v>102</v>
      </c>
    </row>
    <row r="56" spans="1:5">
      <c r="A56" t="s">
        <v>107</v>
      </c>
      <c r="B56" t="s">
        <v>100</v>
      </c>
      <c r="C56" t="s">
        <v>95</v>
      </c>
      <c r="D56" t="s">
        <v>109</v>
      </c>
      <c r="E56" t="s">
        <v>102</v>
      </c>
    </row>
    <row r="57" spans="1:5">
      <c r="A57" t="s">
        <v>93</v>
      </c>
      <c r="B57" t="s">
        <v>112</v>
      </c>
      <c r="C57" t="s">
        <v>95</v>
      </c>
      <c r="D57" t="s">
        <v>123</v>
      </c>
      <c r="E57" t="s">
        <v>102</v>
      </c>
    </row>
    <row r="58" spans="1:5">
      <c r="A58" t="s">
        <v>107</v>
      </c>
      <c r="B58" t="s">
        <v>100</v>
      </c>
      <c r="C58" t="s">
        <v>95</v>
      </c>
      <c r="D58" t="s">
        <v>123</v>
      </c>
      <c r="E58" t="s">
        <v>102</v>
      </c>
    </row>
    <row r="59" spans="1:5">
      <c r="A59" t="s">
        <v>93</v>
      </c>
      <c r="B59" t="s">
        <v>112</v>
      </c>
      <c r="C59" t="s">
        <v>101</v>
      </c>
      <c r="D59" t="s">
        <v>96</v>
      </c>
      <c r="E59" t="s">
        <v>102</v>
      </c>
    </row>
    <row r="60" spans="1:5">
      <c r="A60" t="s">
        <v>107</v>
      </c>
      <c r="B60" t="s">
        <v>112</v>
      </c>
      <c r="C60" t="s">
        <v>95</v>
      </c>
      <c r="D60" t="s">
        <v>123</v>
      </c>
      <c r="E60" t="s">
        <v>102</v>
      </c>
    </row>
    <row r="61" spans="1:5">
      <c r="A61" t="s">
        <v>93</v>
      </c>
      <c r="B61" t="s">
        <v>112</v>
      </c>
      <c r="C61" t="s">
        <v>95</v>
      </c>
      <c r="D61" t="s">
        <v>113</v>
      </c>
      <c r="E61" t="s">
        <v>102</v>
      </c>
    </row>
    <row r="62" spans="1:5">
      <c r="A62" t="s">
        <v>93</v>
      </c>
      <c r="B62" t="s">
        <v>112</v>
      </c>
      <c r="C62" t="s">
        <v>95</v>
      </c>
      <c r="D62" t="s">
        <v>109</v>
      </c>
      <c r="E62" t="s">
        <v>102</v>
      </c>
    </row>
    <row r="63" spans="1:5">
      <c r="A63" t="s">
        <v>107</v>
      </c>
      <c r="B63" t="s">
        <v>112</v>
      </c>
      <c r="C63" t="s">
        <v>95</v>
      </c>
      <c r="D63" t="s">
        <v>96</v>
      </c>
      <c r="E63" t="s">
        <v>102</v>
      </c>
    </row>
    <row r="64" spans="1:5">
      <c r="A64" t="s">
        <v>107</v>
      </c>
      <c r="B64" t="s">
        <v>94</v>
      </c>
      <c r="C64" t="s">
        <v>181</v>
      </c>
      <c r="D64" t="s">
        <v>96</v>
      </c>
      <c r="E64" t="s">
        <v>104</v>
      </c>
    </row>
    <row r="65" spans="1:5">
      <c r="A65" t="s">
        <v>93</v>
      </c>
      <c r="B65" t="s">
        <v>112</v>
      </c>
      <c r="C65" t="s">
        <v>95</v>
      </c>
      <c r="D65" t="s">
        <v>96</v>
      </c>
      <c r="E65" t="s">
        <v>102</v>
      </c>
    </row>
    <row r="66" spans="1:5">
      <c r="A66" t="s">
        <v>93</v>
      </c>
      <c r="B66" t="s">
        <v>112</v>
      </c>
      <c r="C66" t="s">
        <v>95</v>
      </c>
      <c r="D66" t="s">
        <v>96</v>
      </c>
      <c r="E66" t="s">
        <v>102</v>
      </c>
    </row>
    <row r="67" spans="1:5">
      <c r="A67" t="s">
        <v>93</v>
      </c>
      <c r="B67" t="s">
        <v>108</v>
      </c>
      <c r="C67" t="s">
        <v>95</v>
      </c>
      <c r="D67" t="s">
        <v>96</v>
      </c>
      <c r="E67" t="s">
        <v>104</v>
      </c>
    </row>
    <row r="68" spans="1:5">
      <c r="A68" t="s">
        <v>93</v>
      </c>
      <c r="B68" t="s">
        <v>100</v>
      </c>
      <c r="C68" t="s">
        <v>101</v>
      </c>
      <c r="D68" t="s">
        <v>96</v>
      </c>
      <c r="E68" t="s">
        <v>102</v>
      </c>
    </row>
    <row r="69" spans="1:5">
      <c r="A69" t="s">
        <v>93</v>
      </c>
      <c r="B69" t="s">
        <v>112</v>
      </c>
      <c r="C69" t="s">
        <v>95</v>
      </c>
      <c r="D69" t="s">
        <v>113</v>
      </c>
      <c r="E69" t="s">
        <v>102</v>
      </c>
    </row>
    <row r="70" spans="1:5">
      <c r="A70" t="s">
        <v>93</v>
      </c>
      <c r="B70" t="s">
        <v>112</v>
      </c>
      <c r="C70" t="s">
        <v>95</v>
      </c>
      <c r="D70" t="s">
        <v>123</v>
      </c>
      <c r="E70" t="s">
        <v>102</v>
      </c>
    </row>
    <row r="71" spans="1:5">
      <c r="A71" t="s">
        <v>93</v>
      </c>
      <c r="B71" t="s">
        <v>100</v>
      </c>
      <c r="C71" t="s">
        <v>101</v>
      </c>
      <c r="D71" t="s">
        <v>113</v>
      </c>
      <c r="E71" t="s">
        <v>102</v>
      </c>
    </row>
    <row r="72" spans="1:5">
      <c r="A72" t="s">
        <v>93</v>
      </c>
      <c r="B72" t="s">
        <v>112</v>
      </c>
      <c r="C72" t="s">
        <v>130</v>
      </c>
      <c r="D72" t="s">
        <v>123</v>
      </c>
      <c r="E72" t="s">
        <v>102</v>
      </c>
    </row>
    <row r="73" spans="1:5">
      <c r="A73" t="s">
        <v>107</v>
      </c>
      <c r="B73" t="s">
        <v>112</v>
      </c>
      <c r="C73" t="s">
        <v>95</v>
      </c>
      <c r="D73" t="s">
        <v>109</v>
      </c>
      <c r="E73" t="s">
        <v>102</v>
      </c>
    </row>
    <row r="74" spans="1:5">
      <c r="A74" t="s">
        <v>93</v>
      </c>
      <c r="B74" t="s">
        <v>108</v>
      </c>
      <c r="C74" t="s">
        <v>130</v>
      </c>
      <c r="D74" t="s">
        <v>96</v>
      </c>
      <c r="E74" t="s">
        <v>102</v>
      </c>
    </row>
    <row r="75" spans="1:5">
      <c r="A75" t="s">
        <v>93</v>
      </c>
      <c r="B75" t="s">
        <v>112</v>
      </c>
      <c r="C75" t="s">
        <v>95</v>
      </c>
      <c r="D75" t="s">
        <v>113</v>
      </c>
      <c r="E75" t="s">
        <v>120</v>
      </c>
    </row>
    <row r="76" spans="1:5">
      <c r="A76" t="s">
        <v>93</v>
      </c>
      <c r="B76" t="s">
        <v>112</v>
      </c>
      <c r="C76" t="s">
        <v>101</v>
      </c>
      <c r="D76" t="s">
        <v>109</v>
      </c>
      <c r="E76" t="s">
        <v>102</v>
      </c>
    </row>
    <row r="77" spans="1:5">
      <c r="A77" t="s">
        <v>107</v>
      </c>
      <c r="B77" t="s">
        <v>112</v>
      </c>
      <c r="C77" t="s">
        <v>101</v>
      </c>
      <c r="D77" t="s">
        <v>123</v>
      </c>
      <c r="E77" t="s">
        <v>102</v>
      </c>
    </row>
    <row r="78" spans="1:5">
      <c r="A78" t="s">
        <v>93</v>
      </c>
      <c r="B78" t="s">
        <v>94</v>
      </c>
      <c r="C78" t="s">
        <v>130</v>
      </c>
      <c r="D78" t="s">
        <v>96</v>
      </c>
      <c r="E78" t="s">
        <v>102</v>
      </c>
    </row>
    <row r="79" spans="1:5">
      <c r="A79" t="s">
        <v>93</v>
      </c>
      <c r="B79" t="s">
        <v>112</v>
      </c>
      <c r="C79" t="s">
        <v>95</v>
      </c>
      <c r="D79" t="s">
        <v>123</v>
      </c>
      <c r="E79" t="s">
        <v>102</v>
      </c>
    </row>
    <row r="80" spans="1:5">
      <c r="A80" t="s">
        <v>93</v>
      </c>
      <c r="B80" t="s">
        <v>112</v>
      </c>
      <c r="C80" t="s">
        <v>95</v>
      </c>
      <c r="D80" t="s">
        <v>123</v>
      </c>
      <c r="E80" t="s">
        <v>102</v>
      </c>
    </row>
    <row r="81" spans="1:5">
      <c r="A81" t="s">
        <v>93</v>
      </c>
      <c r="B81" t="s">
        <v>94</v>
      </c>
      <c r="C81" t="s">
        <v>95</v>
      </c>
      <c r="D81" t="s">
        <v>96</v>
      </c>
      <c r="E81" t="s">
        <v>102</v>
      </c>
    </row>
    <row r="82" spans="1:5">
      <c r="A82" t="s">
        <v>93</v>
      </c>
      <c r="B82" t="s">
        <v>100</v>
      </c>
      <c r="C82" t="s">
        <v>95</v>
      </c>
      <c r="D82" t="s">
        <v>123</v>
      </c>
      <c r="E82" t="s">
        <v>104</v>
      </c>
    </row>
    <row r="83" spans="1:5">
      <c r="A83" t="s">
        <v>93</v>
      </c>
      <c r="B83" t="s">
        <v>112</v>
      </c>
      <c r="C83" t="s">
        <v>95</v>
      </c>
      <c r="D83" t="s">
        <v>123</v>
      </c>
      <c r="E83" t="s">
        <v>102</v>
      </c>
    </row>
    <row r="84" spans="1:5">
      <c r="A84" t="s">
        <v>93</v>
      </c>
      <c r="B84" t="s">
        <v>112</v>
      </c>
      <c r="C84" t="s">
        <v>95</v>
      </c>
      <c r="D84" t="s">
        <v>109</v>
      </c>
      <c r="E84" t="s">
        <v>102</v>
      </c>
    </row>
    <row r="85" spans="1:5">
      <c r="A85" t="s">
        <v>107</v>
      </c>
      <c r="B85" t="s">
        <v>112</v>
      </c>
      <c r="C85" t="s">
        <v>95</v>
      </c>
      <c r="D85" t="s">
        <v>113</v>
      </c>
      <c r="E85" t="s">
        <v>102</v>
      </c>
    </row>
    <row r="86" spans="1:5">
      <c r="A86" t="s">
        <v>93</v>
      </c>
      <c r="B86" t="s">
        <v>112</v>
      </c>
      <c r="C86" t="s">
        <v>101</v>
      </c>
      <c r="D86" t="s">
        <v>96</v>
      </c>
      <c r="E86" t="s">
        <v>102</v>
      </c>
    </row>
    <row r="87" spans="1:5">
      <c r="A87" t="s">
        <v>93</v>
      </c>
      <c r="B87" t="s">
        <v>112</v>
      </c>
      <c r="C87" t="s">
        <v>95</v>
      </c>
      <c r="D87" t="s">
        <v>123</v>
      </c>
      <c r="E87" t="s">
        <v>102</v>
      </c>
    </row>
    <row r="88" spans="1:5">
      <c r="A88" t="s">
        <v>93</v>
      </c>
      <c r="B88" t="s">
        <v>112</v>
      </c>
      <c r="C88" t="s">
        <v>101</v>
      </c>
      <c r="D88" t="s">
        <v>96</v>
      </c>
      <c r="E88" t="s">
        <v>102</v>
      </c>
    </row>
    <row r="89" spans="1:5">
      <c r="A89" t="s">
        <v>93</v>
      </c>
      <c r="B89" t="s">
        <v>112</v>
      </c>
      <c r="C89" t="s">
        <v>95</v>
      </c>
      <c r="D89" t="s">
        <v>123</v>
      </c>
      <c r="E89" t="s">
        <v>102</v>
      </c>
    </row>
    <row r="90" spans="1:5">
      <c r="A90" t="s">
        <v>93</v>
      </c>
      <c r="B90" t="s">
        <v>112</v>
      </c>
      <c r="C90" t="s">
        <v>130</v>
      </c>
      <c r="D90" t="s">
        <v>123</v>
      </c>
      <c r="E90" t="s">
        <v>102</v>
      </c>
    </row>
    <row r="91" spans="1:5">
      <c r="A91" t="s">
        <v>93</v>
      </c>
      <c r="B91" t="s">
        <v>100</v>
      </c>
      <c r="C91" t="s">
        <v>101</v>
      </c>
      <c r="D91" t="s">
        <v>96</v>
      </c>
      <c r="E91" t="s">
        <v>120</v>
      </c>
    </row>
    <row r="92" spans="1:5">
      <c r="A92" t="s">
        <v>93</v>
      </c>
      <c r="B92" t="s">
        <v>100</v>
      </c>
      <c r="C92" t="s">
        <v>101</v>
      </c>
      <c r="D92" t="s">
        <v>96</v>
      </c>
      <c r="E92" t="s">
        <v>102</v>
      </c>
    </row>
    <row r="93" spans="1:5">
      <c r="A93" t="s">
        <v>107</v>
      </c>
      <c r="B93" t="s">
        <v>94</v>
      </c>
      <c r="C93" t="s">
        <v>130</v>
      </c>
      <c r="D93" t="s">
        <v>96</v>
      </c>
      <c r="E93" t="s">
        <v>120</v>
      </c>
    </row>
    <row r="94" spans="1:5">
      <c r="A94" t="s">
        <v>107</v>
      </c>
      <c r="B94" t="s">
        <v>100</v>
      </c>
      <c r="C94" t="s">
        <v>130</v>
      </c>
      <c r="D94" t="s">
        <v>96</v>
      </c>
      <c r="E94" t="s">
        <v>120</v>
      </c>
    </row>
    <row r="95" spans="1:5">
      <c r="A95" t="s">
        <v>107</v>
      </c>
      <c r="B95" t="s">
        <v>112</v>
      </c>
      <c r="C95" t="s">
        <v>130</v>
      </c>
      <c r="D95" t="s">
        <v>123</v>
      </c>
      <c r="E95" t="s">
        <v>102</v>
      </c>
    </row>
    <row r="96" spans="1:5">
      <c r="A96" t="s">
        <v>93</v>
      </c>
      <c r="B96" t="s">
        <v>100</v>
      </c>
      <c r="C96" t="s">
        <v>95</v>
      </c>
      <c r="D96" t="s">
        <v>123</v>
      </c>
      <c r="E96" t="s">
        <v>102</v>
      </c>
    </row>
    <row r="97" spans="1:5">
      <c r="A97" t="s">
        <v>93</v>
      </c>
      <c r="B97" t="s">
        <v>100</v>
      </c>
      <c r="C97" t="s">
        <v>101</v>
      </c>
      <c r="D97" t="s">
        <v>96</v>
      </c>
      <c r="E97" t="s">
        <v>102</v>
      </c>
    </row>
    <row r="98" spans="1:5">
      <c r="A98" t="s">
        <v>107</v>
      </c>
      <c r="B98" t="s">
        <v>100</v>
      </c>
      <c r="C98" t="s">
        <v>95</v>
      </c>
      <c r="D98" t="s">
        <v>96</v>
      </c>
      <c r="E98" t="s">
        <v>102</v>
      </c>
    </row>
    <row r="99" spans="1:5">
      <c r="A99" t="s">
        <v>107</v>
      </c>
      <c r="B99" t="s">
        <v>94</v>
      </c>
      <c r="C99" t="s">
        <v>101</v>
      </c>
      <c r="D99" t="s">
        <v>96</v>
      </c>
      <c r="E99" t="s">
        <v>120</v>
      </c>
    </row>
    <row r="100" spans="1:5">
      <c r="A100" t="s">
        <v>107</v>
      </c>
      <c r="B100" t="s">
        <v>100</v>
      </c>
      <c r="C100" t="s">
        <v>130</v>
      </c>
      <c r="D100" t="s">
        <v>123</v>
      </c>
      <c r="E100" t="s">
        <v>102</v>
      </c>
    </row>
    <row r="101" spans="1:5">
      <c r="A101" t="s">
        <v>107</v>
      </c>
      <c r="B101" t="s">
        <v>100</v>
      </c>
      <c r="C101" t="s">
        <v>101</v>
      </c>
      <c r="D101" t="s">
        <v>96</v>
      </c>
      <c r="E101" t="s">
        <v>102</v>
      </c>
    </row>
    <row r="102" spans="1:5">
      <c r="A102" t="s">
        <v>107</v>
      </c>
      <c r="B102" t="s">
        <v>100</v>
      </c>
      <c r="C102" t="s">
        <v>130</v>
      </c>
      <c r="D102" t="s">
        <v>96</v>
      </c>
      <c r="E102" t="s">
        <v>102</v>
      </c>
    </row>
    <row r="103" spans="1:5">
      <c r="A103" t="s">
        <v>107</v>
      </c>
      <c r="B103" t="s">
        <v>100</v>
      </c>
      <c r="C103" t="s">
        <v>130</v>
      </c>
      <c r="D103" t="s">
        <v>96</v>
      </c>
      <c r="E103" t="s">
        <v>102</v>
      </c>
    </row>
    <row r="104" spans="1:5">
      <c r="A104" t="s">
        <v>93</v>
      </c>
      <c r="B104" t="s">
        <v>112</v>
      </c>
      <c r="C104" t="s">
        <v>95</v>
      </c>
      <c r="D104" t="s">
        <v>113</v>
      </c>
      <c r="E104" t="s">
        <v>102</v>
      </c>
    </row>
    <row r="105" spans="1:5">
      <c r="A105" t="s">
        <v>93</v>
      </c>
      <c r="B105" t="s">
        <v>112</v>
      </c>
      <c r="C105" t="s">
        <v>95</v>
      </c>
      <c r="D105" t="s">
        <v>109</v>
      </c>
      <c r="E105" t="s">
        <v>104</v>
      </c>
    </row>
    <row r="106" spans="1:5">
      <c r="A106" t="s">
        <v>93</v>
      </c>
      <c r="B106" t="s">
        <v>112</v>
      </c>
      <c r="C106" t="s">
        <v>95</v>
      </c>
      <c r="D106" t="s">
        <v>123</v>
      </c>
      <c r="E106" t="s">
        <v>102</v>
      </c>
    </row>
    <row r="107" spans="1:5">
      <c r="A107" t="s">
        <v>93</v>
      </c>
      <c r="B107" t="s">
        <v>112</v>
      </c>
      <c r="C107" t="s">
        <v>95</v>
      </c>
      <c r="D107" t="s">
        <v>109</v>
      </c>
      <c r="E107" t="s">
        <v>102</v>
      </c>
    </row>
    <row r="108" spans="1:5">
      <c r="A108" t="s">
        <v>93</v>
      </c>
      <c r="B108" t="s">
        <v>112</v>
      </c>
      <c r="C108" t="s">
        <v>130</v>
      </c>
      <c r="D108" t="s">
        <v>96</v>
      </c>
      <c r="E108" t="s">
        <v>102</v>
      </c>
    </row>
    <row r="109" spans="1:5">
      <c r="A109" t="s">
        <v>93</v>
      </c>
      <c r="B109" t="s">
        <v>108</v>
      </c>
      <c r="C109" t="s">
        <v>95</v>
      </c>
      <c r="D109" t="s">
        <v>113</v>
      </c>
      <c r="E109" t="s">
        <v>97</v>
      </c>
    </row>
    <row r="110" spans="1:5">
      <c r="A110" t="s">
        <v>93</v>
      </c>
      <c r="B110" t="s">
        <v>112</v>
      </c>
      <c r="C110" t="s">
        <v>130</v>
      </c>
      <c r="D110" t="s">
        <v>113</v>
      </c>
      <c r="E110" t="s">
        <v>102</v>
      </c>
    </row>
    <row r="111" spans="1:5">
      <c r="A111" t="s">
        <v>107</v>
      </c>
      <c r="B111" t="s">
        <v>94</v>
      </c>
      <c r="C111" t="s">
        <v>181</v>
      </c>
      <c r="D111" t="s">
        <v>96</v>
      </c>
      <c r="E111" t="s">
        <v>233</v>
      </c>
    </row>
    <row r="112" spans="1:5">
      <c r="A112" t="s">
        <v>93</v>
      </c>
      <c r="B112" t="s">
        <v>108</v>
      </c>
      <c r="C112" t="s">
        <v>181</v>
      </c>
      <c r="D112" t="s">
        <v>96</v>
      </c>
      <c r="E112" t="s">
        <v>104</v>
      </c>
    </row>
    <row r="113" spans="1:5">
      <c r="A113" t="s">
        <v>107</v>
      </c>
      <c r="B113" t="s">
        <v>112</v>
      </c>
      <c r="C113" t="s">
        <v>95</v>
      </c>
      <c r="D113" t="s">
        <v>113</v>
      </c>
      <c r="E113" t="s">
        <v>102</v>
      </c>
    </row>
    <row r="114" spans="1:5">
      <c r="A114" t="s">
        <v>93</v>
      </c>
      <c r="B114" t="s">
        <v>100</v>
      </c>
      <c r="C114" t="s">
        <v>95</v>
      </c>
      <c r="D114" t="s">
        <v>123</v>
      </c>
      <c r="E114" t="s">
        <v>102</v>
      </c>
    </row>
    <row r="115" spans="1:5">
      <c r="A115" t="s">
        <v>93</v>
      </c>
      <c r="B115" t="s">
        <v>112</v>
      </c>
      <c r="C115" t="s">
        <v>101</v>
      </c>
      <c r="D115" t="s">
        <v>113</v>
      </c>
      <c r="E115" t="s">
        <v>102</v>
      </c>
    </row>
    <row r="116" spans="1:5">
      <c r="A116" t="s">
        <v>93</v>
      </c>
      <c r="B116" t="s">
        <v>112</v>
      </c>
      <c r="C116" t="s">
        <v>101</v>
      </c>
      <c r="D116" t="s">
        <v>123</v>
      </c>
      <c r="E116" t="s">
        <v>102</v>
      </c>
    </row>
    <row r="117" spans="1:5">
      <c r="A117" t="s">
        <v>93</v>
      </c>
      <c r="B117" t="s">
        <v>112</v>
      </c>
      <c r="C117" t="s">
        <v>95</v>
      </c>
      <c r="D117" t="s">
        <v>123</v>
      </c>
      <c r="E117" t="s">
        <v>102</v>
      </c>
    </row>
    <row r="118" spans="1:5">
      <c r="A118" t="s">
        <v>93</v>
      </c>
      <c r="B118" t="s">
        <v>112</v>
      </c>
      <c r="C118" t="s">
        <v>95</v>
      </c>
      <c r="D118" t="s">
        <v>123</v>
      </c>
      <c r="E118" t="s">
        <v>102</v>
      </c>
    </row>
    <row r="119" spans="1:5">
      <c r="A119" t="s">
        <v>93</v>
      </c>
      <c r="B119" t="s">
        <v>100</v>
      </c>
      <c r="C119" t="s">
        <v>101</v>
      </c>
      <c r="D119" t="s">
        <v>123</v>
      </c>
      <c r="E119" t="s">
        <v>102</v>
      </c>
    </row>
    <row r="120" spans="1:5">
      <c r="A120" t="s">
        <v>107</v>
      </c>
      <c r="B120" t="s">
        <v>112</v>
      </c>
      <c r="C120" t="s">
        <v>101</v>
      </c>
      <c r="D120" t="s">
        <v>96</v>
      </c>
      <c r="E120" t="s">
        <v>102</v>
      </c>
    </row>
    <row r="121" spans="1:5">
      <c r="A121" t="s">
        <v>93</v>
      </c>
      <c r="B121" t="s">
        <v>112</v>
      </c>
      <c r="C121" t="s">
        <v>95</v>
      </c>
      <c r="D121" t="s">
        <v>109</v>
      </c>
      <c r="E121" t="s">
        <v>102</v>
      </c>
    </row>
    <row r="122" spans="1:5">
      <c r="A122" t="s">
        <v>93</v>
      </c>
      <c r="B122" t="s">
        <v>112</v>
      </c>
      <c r="C122" t="s">
        <v>95</v>
      </c>
      <c r="D122" t="s">
        <v>123</v>
      </c>
      <c r="E122" t="s">
        <v>102</v>
      </c>
    </row>
    <row r="123" spans="1:5">
      <c r="A123" t="s">
        <v>93</v>
      </c>
      <c r="B123" t="s">
        <v>94</v>
      </c>
      <c r="C123" t="s">
        <v>130</v>
      </c>
      <c r="D123" t="s">
        <v>96</v>
      </c>
      <c r="E123" t="s">
        <v>102</v>
      </c>
    </row>
    <row r="124" spans="1:5">
      <c r="A124" t="s">
        <v>93</v>
      </c>
      <c r="B124" t="s">
        <v>100</v>
      </c>
      <c r="C124" t="s">
        <v>130</v>
      </c>
      <c r="D124" t="s">
        <v>96</v>
      </c>
      <c r="E124" t="s">
        <v>102</v>
      </c>
    </row>
    <row r="125" spans="1:5">
      <c r="A125" t="s">
        <v>93</v>
      </c>
      <c r="B125" t="s">
        <v>100</v>
      </c>
      <c r="C125" t="s">
        <v>130</v>
      </c>
      <c r="D125" t="s">
        <v>96</v>
      </c>
      <c r="E125" t="s">
        <v>102</v>
      </c>
    </row>
    <row r="126" spans="1:5">
      <c r="A126" t="s">
        <v>93</v>
      </c>
      <c r="B126" t="s">
        <v>112</v>
      </c>
      <c r="C126" t="s">
        <v>95</v>
      </c>
      <c r="D126" t="s">
        <v>123</v>
      </c>
      <c r="E126" t="s">
        <v>102</v>
      </c>
    </row>
    <row r="127" spans="1:5">
      <c r="A127" t="s">
        <v>93</v>
      </c>
      <c r="B127" t="s">
        <v>94</v>
      </c>
      <c r="C127" t="s">
        <v>130</v>
      </c>
      <c r="D127" t="s">
        <v>96</v>
      </c>
      <c r="E127" t="s">
        <v>102</v>
      </c>
    </row>
    <row r="128" spans="1:5">
      <c r="A128" t="s">
        <v>93</v>
      </c>
      <c r="B128" t="s">
        <v>94</v>
      </c>
      <c r="C128" t="s">
        <v>130</v>
      </c>
      <c r="D128" t="s">
        <v>96</v>
      </c>
      <c r="E128" t="s">
        <v>102</v>
      </c>
    </row>
    <row r="129" spans="1:5">
      <c r="A129" t="s">
        <v>93</v>
      </c>
      <c r="B129" t="s">
        <v>94</v>
      </c>
      <c r="C129" t="s">
        <v>130</v>
      </c>
      <c r="D129" t="s">
        <v>96</v>
      </c>
      <c r="E129" t="s">
        <v>102</v>
      </c>
    </row>
    <row r="130" spans="1:5">
      <c r="A130" t="s">
        <v>93</v>
      </c>
      <c r="B130" t="s">
        <v>100</v>
      </c>
      <c r="C130" t="s">
        <v>101</v>
      </c>
      <c r="D130" t="s">
        <v>109</v>
      </c>
      <c r="E130" t="s">
        <v>102</v>
      </c>
    </row>
    <row r="131" spans="1:5">
      <c r="A131" t="s">
        <v>107</v>
      </c>
      <c r="B131" t="s">
        <v>100</v>
      </c>
      <c r="C131" t="s">
        <v>256</v>
      </c>
      <c r="D131" t="s">
        <v>109</v>
      </c>
      <c r="E131" t="s">
        <v>102</v>
      </c>
    </row>
    <row r="132" spans="1:5">
      <c r="A132" t="s">
        <v>93</v>
      </c>
      <c r="B132" t="s">
        <v>94</v>
      </c>
      <c r="C132" t="s">
        <v>130</v>
      </c>
      <c r="D132" t="s">
        <v>96</v>
      </c>
      <c r="E132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5B86-6B66-4B10-9E74-E25FB16B5C4D}">
  <dimension ref="A1:X132"/>
  <sheetViews>
    <sheetView topLeftCell="A86" zoomScale="85" zoomScaleNormal="85" workbookViewId="0">
      <selection activeCell="M112" sqref="M112"/>
    </sheetView>
  </sheetViews>
  <sheetFormatPr defaultRowHeight="12.75"/>
  <sheetData>
    <row r="1" spans="1:24">
      <c r="A1" s="54" t="s">
        <v>261</v>
      </c>
      <c r="B1" s="54" t="s">
        <v>262</v>
      </c>
      <c r="C1" s="54" t="s">
        <v>263</v>
      </c>
      <c r="D1" s="54" t="s">
        <v>264</v>
      </c>
      <c r="E1" s="54" t="s">
        <v>265</v>
      </c>
      <c r="F1" s="54" t="s">
        <v>266</v>
      </c>
      <c r="G1" s="54" t="s">
        <v>267</v>
      </c>
      <c r="H1" s="54" t="s">
        <v>268</v>
      </c>
      <c r="I1" s="54" t="s">
        <v>269</v>
      </c>
      <c r="J1" s="54" t="s">
        <v>270</v>
      </c>
      <c r="K1" s="54" t="s">
        <v>271</v>
      </c>
      <c r="L1" s="54" t="s">
        <v>272</v>
      </c>
      <c r="M1" s="54" t="s">
        <v>273</v>
      </c>
      <c r="N1" s="54" t="s">
        <v>274</v>
      </c>
      <c r="O1" s="54" t="s">
        <v>275</v>
      </c>
      <c r="P1" s="54" t="s">
        <v>276</v>
      </c>
      <c r="Q1" s="54" t="s">
        <v>277</v>
      </c>
      <c r="R1" s="54" t="s">
        <v>278</v>
      </c>
      <c r="S1" s="54" t="s">
        <v>279</v>
      </c>
      <c r="T1" s="54" t="s">
        <v>280</v>
      </c>
      <c r="U1" s="54" t="s">
        <v>281</v>
      </c>
      <c r="V1" s="54" t="s">
        <v>260</v>
      </c>
      <c r="W1" s="54" t="s">
        <v>282</v>
      </c>
      <c r="X1" s="54"/>
    </row>
    <row r="2" spans="1:24">
      <c r="A2">
        <v>4</v>
      </c>
      <c r="B2">
        <v>5</v>
      </c>
      <c r="C2">
        <v>4</v>
      </c>
      <c r="D2">
        <v>5</v>
      </c>
      <c r="E2">
        <v>4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4</v>
      </c>
      <c r="N2">
        <v>4</v>
      </c>
      <c r="O2">
        <v>4</v>
      </c>
      <c r="P2">
        <v>4</v>
      </c>
      <c r="Q2">
        <v>5</v>
      </c>
      <c r="R2">
        <v>5</v>
      </c>
      <c r="S2">
        <v>5</v>
      </c>
      <c r="T2">
        <v>4</v>
      </c>
      <c r="U2">
        <f t="shared" ref="U2:U33" si="0">SUM(A2:T2)</f>
        <v>92</v>
      </c>
      <c r="V2">
        <v>4.8099999999999996</v>
      </c>
      <c r="W2">
        <v>1</v>
      </c>
    </row>
    <row r="3" spans="1:24">
      <c r="A3">
        <v>4</v>
      </c>
      <c r="B3">
        <v>4</v>
      </c>
      <c r="C3">
        <v>2</v>
      </c>
      <c r="D3">
        <v>3</v>
      </c>
      <c r="E3">
        <v>3</v>
      </c>
      <c r="F3">
        <v>4</v>
      </c>
      <c r="G3">
        <v>3</v>
      </c>
      <c r="H3">
        <v>2</v>
      </c>
      <c r="I3">
        <v>2</v>
      </c>
      <c r="J3">
        <v>3</v>
      </c>
      <c r="K3">
        <v>2</v>
      </c>
      <c r="L3">
        <v>2</v>
      </c>
      <c r="M3">
        <v>2</v>
      </c>
      <c r="N3">
        <v>3</v>
      </c>
      <c r="O3">
        <v>3</v>
      </c>
      <c r="P3">
        <v>3</v>
      </c>
      <c r="Q3">
        <v>2</v>
      </c>
      <c r="R3">
        <v>3</v>
      </c>
      <c r="S3">
        <v>4</v>
      </c>
      <c r="T3">
        <v>3</v>
      </c>
      <c r="U3">
        <f t="shared" si="0"/>
        <v>57</v>
      </c>
      <c r="V3">
        <v>4.01</v>
      </c>
      <c r="W3">
        <v>2</v>
      </c>
    </row>
    <row r="4" spans="1:24">
      <c r="A4">
        <v>5</v>
      </c>
      <c r="B4">
        <v>5</v>
      </c>
      <c r="C4">
        <v>5</v>
      </c>
      <c r="D4">
        <v>4</v>
      </c>
      <c r="E4">
        <v>5</v>
      </c>
      <c r="F4">
        <v>5</v>
      </c>
      <c r="G4">
        <v>4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f t="shared" si="0"/>
        <v>98</v>
      </c>
      <c r="V4">
        <v>4.4800000000000004</v>
      </c>
      <c r="W4">
        <v>3</v>
      </c>
    </row>
    <row r="5" spans="1:24">
      <c r="A5">
        <v>3</v>
      </c>
      <c r="B5">
        <v>4</v>
      </c>
      <c r="C5">
        <v>3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3</v>
      </c>
      <c r="Q5">
        <v>4</v>
      </c>
      <c r="R5">
        <v>3</v>
      </c>
      <c r="S5">
        <v>3</v>
      </c>
      <c r="T5">
        <v>3</v>
      </c>
      <c r="U5">
        <f t="shared" si="0"/>
        <v>74</v>
      </c>
      <c r="V5">
        <v>4.37</v>
      </c>
      <c r="W5">
        <v>4</v>
      </c>
    </row>
    <row r="6" spans="1:24">
      <c r="A6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3</v>
      </c>
      <c r="M6">
        <v>4</v>
      </c>
      <c r="N6">
        <v>3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f t="shared" si="0"/>
        <v>78</v>
      </c>
      <c r="V6">
        <v>4.3499999999999996</v>
      </c>
      <c r="W6">
        <v>5</v>
      </c>
    </row>
    <row r="7" spans="1:24">
      <c r="A7">
        <v>5</v>
      </c>
      <c r="B7">
        <v>5</v>
      </c>
      <c r="C7">
        <v>4</v>
      </c>
      <c r="D7">
        <v>4</v>
      </c>
      <c r="E7">
        <v>5</v>
      </c>
      <c r="F7">
        <v>5</v>
      </c>
      <c r="G7">
        <v>5</v>
      </c>
      <c r="H7">
        <v>4</v>
      </c>
      <c r="I7">
        <v>4</v>
      </c>
      <c r="J7">
        <v>5</v>
      </c>
      <c r="K7">
        <v>5</v>
      </c>
      <c r="L7">
        <v>4</v>
      </c>
      <c r="M7">
        <v>5</v>
      </c>
      <c r="N7">
        <v>5</v>
      </c>
      <c r="O7">
        <v>5</v>
      </c>
      <c r="P7">
        <v>4</v>
      </c>
      <c r="Q7">
        <v>5</v>
      </c>
      <c r="R7">
        <v>5</v>
      </c>
      <c r="S7">
        <v>5</v>
      </c>
      <c r="T7">
        <v>5</v>
      </c>
      <c r="U7">
        <f t="shared" si="0"/>
        <v>94</v>
      </c>
      <c r="V7">
        <v>4.29</v>
      </c>
      <c r="W7">
        <v>6</v>
      </c>
    </row>
    <row r="8" spans="1:24">
      <c r="A8">
        <v>4</v>
      </c>
      <c r="B8">
        <v>4</v>
      </c>
      <c r="C8">
        <v>4</v>
      </c>
      <c r="D8">
        <v>4</v>
      </c>
      <c r="E8">
        <v>5</v>
      </c>
      <c r="F8">
        <v>5</v>
      </c>
      <c r="G8">
        <v>4</v>
      </c>
      <c r="H8">
        <v>4</v>
      </c>
      <c r="I8">
        <v>4</v>
      </c>
      <c r="J8">
        <v>4</v>
      </c>
      <c r="K8">
        <v>5</v>
      </c>
      <c r="L8">
        <v>4</v>
      </c>
      <c r="M8">
        <v>5</v>
      </c>
      <c r="N8">
        <v>4</v>
      </c>
      <c r="O8">
        <v>5</v>
      </c>
      <c r="P8">
        <v>5</v>
      </c>
      <c r="Q8">
        <v>5</v>
      </c>
      <c r="R8">
        <v>4</v>
      </c>
      <c r="S8">
        <v>5</v>
      </c>
      <c r="T8">
        <v>4</v>
      </c>
      <c r="U8">
        <f t="shared" si="0"/>
        <v>88</v>
      </c>
      <c r="V8">
        <v>4.07</v>
      </c>
      <c r="W8">
        <v>7</v>
      </c>
    </row>
    <row r="9" spans="1:24">
      <c r="A9">
        <v>2</v>
      </c>
      <c r="B9">
        <v>4</v>
      </c>
      <c r="C9">
        <v>3</v>
      </c>
      <c r="D9">
        <v>2</v>
      </c>
      <c r="E9">
        <v>3</v>
      </c>
      <c r="F9">
        <v>4</v>
      </c>
      <c r="G9">
        <v>3</v>
      </c>
      <c r="H9">
        <v>4</v>
      </c>
      <c r="I9">
        <v>4</v>
      </c>
      <c r="J9">
        <v>4</v>
      </c>
      <c r="K9">
        <v>3</v>
      </c>
      <c r="L9">
        <v>3</v>
      </c>
      <c r="M9">
        <v>2</v>
      </c>
      <c r="N9">
        <v>3</v>
      </c>
      <c r="O9">
        <v>3</v>
      </c>
      <c r="P9">
        <v>3</v>
      </c>
      <c r="Q9">
        <v>3</v>
      </c>
      <c r="R9">
        <v>3</v>
      </c>
      <c r="S9">
        <v>3</v>
      </c>
      <c r="T9">
        <v>2</v>
      </c>
      <c r="U9">
        <f t="shared" si="0"/>
        <v>61</v>
      </c>
      <c r="V9">
        <v>4.03</v>
      </c>
      <c r="W9">
        <v>8</v>
      </c>
    </row>
    <row r="10" spans="1:24">
      <c r="A10">
        <v>3</v>
      </c>
      <c r="B10">
        <v>3</v>
      </c>
      <c r="C10">
        <v>3</v>
      </c>
      <c r="D10">
        <v>2</v>
      </c>
      <c r="E10">
        <v>2</v>
      </c>
      <c r="F10">
        <v>3</v>
      </c>
      <c r="G10">
        <v>2</v>
      </c>
      <c r="H10">
        <v>2</v>
      </c>
      <c r="I10">
        <v>3</v>
      </c>
      <c r="J10">
        <v>3</v>
      </c>
      <c r="K10">
        <v>3</v>
      </c>
      <c r="L10">
        <v>3</v>
      </c>
      <c r="M10">
        <v>3</v>
      </c>
      <c r="N10">
        <v>2</v>
      </c>
      <c r="O10">
        <v>3</v>
      </c>
      <c r="P10">
        <v>2</v>
      </c>
      <c r="Q10">
        <v>3</v>
      </c>
      <c r="R10">
        <v>3</v>
      </c>
      <c r="S10">
        <v>2</v>
      </c>
      <c r="T10">
        <v>2</v>
      </c>
      <c r="U10">
        <f t="shared" si="0"/>
        <v>52</v>
      </c>
      <c r="V10">
        <v>3.81</v>
      </c>
      <c r="W10">
        <v>9</v>
      </c>
    </row>
    <row r="11" spans="1:24">
      <c r="A11">
        <v>2</v>
      </c>
      <c r="B11">
        <v>2</v>
      </c>
      <c r="C11">
        <v>3</v>
      </c>
      <c r="D11">
        <v>2</v>
      </c>
      <c r="E11">
        <v>3</v>
      </c>
      <c r="F11">
        <v>2</v>
      </c>
      <c r="G11">
        <v>2</v>
      </c>
      <c r="H11">
        <v>2</v>
      </c>
      <c r="I11">
        <v>3</v>
      </c>
      <c r="J11">
        <v>4</v>
      </c>
      <c r="K11">
        <v>2</v>
      </c>
      <c r="L11">
        <v>3</v>
      </c>
      <c r="M11">
        <v>4</v>
      </c>
      <c r="N11">
        <v>2</v>
      </c>
      <c r="O11">
        <v>4</v>
      </c>
      <c r="P11">
        <v>3</v>
      </c>
      <c r="Q11">
        <v>4</v>
      </c>
      <c r="R11">
        <v>2</v>
      </c>
      <c r="S11">
        <v>3</v>
      </c>
      <c r="T11">
        <v>2</v>
      </c>
      <c r="U11">
        <f t="shared" si="0"/>
        <v>54</v>
      </c>
      <c r="V11">
        <v>4.1500000000000004</v>
      </c>
      <c r="W11">
        <v>10</v>
      </c>
    </row>
    <row r="12" spans="1:24">
      <c r="A12">
        <v>5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f t="shared" si="0"/>
        <v>100</v>
      </c>
      <c r="V12">
        <v>5.0199999999999996</v>
      </c>
      <c r="W12">
        <v>11</v>
      </c>
    </row>
    <row r="13" spans="1:24">
      <c r="A13">
        <v>4</v>
      </c>
      <c r="B13">
        <v>4</v>
      </c>
      <c r="C13">
        <v>4</v>
      </c>
      <c r="D13">
        <v>5</v>
      </c>
      <c r="E13">
        <v>5</v>
      </c>
      <c r="F13">
        <v>4</v>
      </c>
      <c r="G13">
        <v>4</v>
      </c>
      <c r="H13">
        <v>4</v>
      </c>
      <c r="I13">
        <v>5</v>
      </c>
      <c r="J13">
        <v>5</v>
      </c>
      <c r="K13">
        <v>5</v>
      </c>
      <c r="L13">
        <v>4</v>
      </c>
      <c r="M13">
        <v>5</v>
      </c>
      <c r="N13">
        <v>5</v>
      </c>
      <c r="O13">
        <v>4</v>
      </c>
      <c r="P13">
        <v>5</v>
      </c>
      <c r="Q13">
        <v>4</v>
      </c>
      <c r="R13">
        <v>5</v>
      </c>
      <c r="S13">
        <v>5</v>
      </c>
      <c r="T13">
        <v>5</v>
      </c>
      <c r="U13">
        <f t="shared" si="0"/>
        <v>91</v>
      </c>
      <c r="V13">
        <v>4.25</v>
      </c>
      <c r="W13">
        <v>12</v>
      </c>
    </row>
    <row r="14" spans="1:24">
      <c r="A14">
        <v>4</v>
      </c>
      <c r="B14">
        <v>5</v>
      </c>
      <c r="C14">
        <v>4</v>
      </c>
      <c r="D14">
        <v>5</v>
      </c>
      <c r="E14">
        <v>5</v>
      </c>
      <c r="F14">
        <v>5</v>
      </c>
      <c r="G14">
        <v>5</v>
      </c>
      <c r="H14">
        <v>4</v>
      </c>
      <c r="I14">
        <v>4</v>
      </c>
      <c r="J14">
        <v>4</v>
      </c>
      <c r="K14">
        <v>5</v>
      </c>
      <c r="L14">
        <v>4</v>
      </c>
      <c r="M14">
        <v>5</v>
      </c>
      <c r="N14">
        <v>5</v>
      </c>
      <c r="O14">
        <v>5</v>
      </c>
      <c r="P14">
        <v>4</v>
      </c>
      <c r="Q14">
        <v>4</v>
      </c>
      <c r="R14">
        <v>4</v>
      </c>
      <c r="S14">
        <v>4</v>
      </c>
      <c r="T14">
        <v>4</v>
      </c>
      <c r="U14">
        <f t="shared" si="0"/>
        <v>89</v>
      </c>
      <c r="V14">
        <v>4.0599999999999996</v>
      </c>
      <c r="W14">
        <v>13</v>
      </c>
    </row>
    <row r="15" spans="1:24">
      <c r="A15">
        <v>3</v>
      </c>
      <c r="B15">
        <v>4</v>
      </c>
      <c r="C15">
        <v>4</v>
      </c>
      <c r="D15">
        <v>3</v>
      </c>
      <c r="E15">
        <v>2</v>
      </c>
      <c r="F15">
        <v>4</v>
      </c>
      <c r="G15">
        <v>4</v>
      </c>
      <c r="H15">
        <v>4</v>
      </c>
      <c r="I15">
        <v>2</v>
      </c>
      <c r="J15">
        <v>2</v>
      </c>
      <c r="K15">
        <v>3</v>
      </c>
      <c r="L15">
        <v>2</v>
      </c>
      <c r="M15">
        <v>2</v>
      </c>
      <c r="N15">
        <v>2</v>
      </c>
      <c r="O15">
        <v>3</v>
      </c>
      <c r="P15">
        <v>3</v>
      </c>
      <c r="Q15">
        <v>3</v>
      </c>
      <c r="R15">
        <v>4</v>
      </c>
      <c r="S15">
        <v>4</v>
      </c>
      <c r="T15">
        <v>3</v>
      </c>
      <c r="U15">
        <f t="shared" si="0"/>
        <v>61</v>
      </c>
      <c r="V15">
        <v>4.01</v>
      </c>
      <c r="W15">
        <v>14</v>
      </c>
    </row>
    <row r="16" spans="1:24">
      <c r="A16">
        <v>5</v>
      </c>
      <c r="B16">
        <v>5</v>
      </c>
      <c r="C16">
        <v>5</v>
      </c>
      <c r="D16">
        <v>5</v>
      </c>
      <c r="E16">
        <v>5</v>
      </c>
      <c r="F16">
        <v>4</v>
      </c>
      <c r="G16">
        <v>5</v>
      </c>
      <c r="H16">
        <v>5</v>
      </c>
      <c r="I16">
        <v>5</v>
      </c>
      <c r="J16">
        <v>4</v>
      </c>
      <c r="K16">
        <v>4</v>
      </c>
      <c r="L16">
        <v>4</v>
      </c>
      <c r="M16">
        <v>5</v>
      </c>
      <c r="N16">
        <v>5</v>
      </c>
      <c r="O16">
        <v>4</v>
      </c>
      <c r="P16">
        <v>4</v>
      </c>
      <c r="Q16">
        <v>5</v>
      </c>
      <c r="R16">
        <v>5</v>
      </c>
      <c r="S16">
        <v>5</v>
      </c>
      <c r="T16">
        <v>5</v>
      </c>
      <c r="U16">
        <f t="shared" si="0"/>
        <v>94</v>
      </c>
      <c r="V16">
        <v>4.21</v>
      </c>
      <c r="W16">
        <v>15</v>
      </c>
    </row>
    <row r="17" spans="1:23">
      <c r="A17">
        <v>2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  <c r="I17">
        <v>3</v>
      </c>
      <c r="J17">
        <v>2</v>
      </c>
      <c r="K17">
        <v>3</v>
      </c>
      <c r="L17">
        <v>2</v>
      </c>
      <c r="M17">
        <v>2</v>
      </c>
      <c r="N17">
        <v>3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f t="shared" si="0"/>
        <v>45</v>
      </c>
      <c r="V17">
        <v>3.88</v>
      </c>
      <c r="W17">
        <v>16</v>
      </c>
    </row>
    <row r="18" spans="1:23">
      <c r="A18">
        <v>4</v>
      </c>
      <c r="B18">
        <v>2</v>
      </c>
      <c r="C18">
        <v>3</v>
      </c>
      <c r="D18">
        <v>2</v>
      </c>
      <c r="E18">
        <v>3</v>
      </c>
      <c r="F18">
        <v>2</v>
      </c>
      <c r="G18">
        <v>3</v>
      </c>
      <c r="H18">
        <v>2</v>
      </c>
      <c r="I18">
        <v>3</v>
      </c>
      <c r="J18">
        <v>3</v>
      </c>
      <c r="K18">
        <v>4</v>
      </c>
      <c r="L18">
        <v>2</v>
      </c>
      <c r="M18">
        <v>3</v>
      </c>
      <c r="N18">
        <v>2</v>
      </c>
      <c r="O18">
        <v>4</v>
      </c>
      <c r="P18">
        <v>2</v>
      </c>
      <c r="Q18">
        <v>2</v>
      </c>
      <c r="R18">
        <v>3</v>
      </c>
      <c r="S18">
        <v>4</v>
      </c>
      <c r="T18">
        <v>4</v>
      </c>
      <c r="U18">
        <f t="shared" si="0"/>
        <v>57</v>
      </c>
      <c r="V18">
        <v>4.1100000000000003</v>
      </c>
      <c r="W18">
        <v>17</v>
      </c>
    </row>
    <row r="19" spans="1:23">
      <c r="A19">
        <v>3</v>
      </c>
      <c r="B19">
        <v>3</v>
      </c>
      <c r="C19">
        <v>4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  <c r="Q19">
        <v>4</v>
      </c>
      <c r="R19">
        <v>4</v>
      </c>
      <c r="S19">
        <v>4</v>
      </c>
      <c r="T19">
        <v>3</v>
      </c>
      <c r="U19">
        <f t="shared" si="0"/>
        <v>64</v>
      </c>
      <c r="V19">
        <v>4.07</v>
      </c>
      <c r="W19">
        <v>18</v>
      </c>
    </row>
    <row r="20" spans="1:23">
      <c r="A20">
        <v>2</v>
      </c>
      <c r="B20">
        <v>3</v>
      </c>
      <c r="C20">
        <v>2</v>
      </c>
      <c r="D20">
        <v>3</v>
      </c>
      <c r="E20">
        <v>3</v>
      </c>
      <c r="F20">
        <v>3</v>
      </c>
      <c r="G20">
        <v>3</v>
      </c>
      <c r="H20">
        <v>3</v>
      </c>
      <c r="I20">
        <v>2</v>
      </c>
      <c r="J20">
        <v>2</v>
      </c>
      <c r="K20">
        <v>3</v>
      </c>
      <c r="L20">
        <v>3</v>
      </c>
      <c r="M20">
        <v>3</v>
      </c>
      <c r="N20">
        <v>3</v>
      </c>
      <c r="O20">
        <v>3</v>
      </c>
      <c r="P20">
        <v>2</v>
      </c>
      <c r="Q20">
        <v>2</v>
      </c>
      <c r="R20">
        <v>2</v>
      </c>
      <c r="S20">
        <v>3</v>
      </c>
      <c r="T20">
        <v>3</v>
      </c>
      <c r="U20">
        <f t="shared" si="0"/>
        <v>53</v>
      </c>
      <c r="V20">
        <v>3.88</v>
      </c>
      <c r="W20">
        <v>19</v>
      </c>
    </row>
    <row r="21" spans="1:23">
      <c r="A21">
        <v>3</v>
      </c>
      <c r="B21">
        <v>3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f t="shared" si="0"/>
        <v>60</v>
      </c>
      <c r="V21">
        <v>4.1500000000000004</v>
      </c>
      <c r="W21">
        <v>20</v>
      </c>
    </row>
    <row r="22" spans="1:23">
      <c r="A22">
        <v>4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5</v>
      </c>
      <c r="I22">
        <v>5</v>
      </c>
      <c r="J22">
        <v>4</v>
      </c>
      <c r="K22">
        <v>4</v>
      </c>
      <c r="L22">
        <v>4</v>
      </c>
      <c r="M22">
        <v>4</v>
      </c>
      <c r="N22">
        <v>4</v>
      </c>
      <c r="O22">
        <v>5</v>
      </c>
      <c r="P22">
        <v>4</v>
      </c>
      <c r="Q22">
        <v>5</v>
      </c>
      <c r="R22">
        <v>4</v>
      </c>
      <c r="S22">
        <v>5</v>
      </c>
      <c r="T22">
        <v>5</v>
      </c>
      <c r="U22">
        <f t="shared" si="0"/>
        <v>86</v>
      </c>
      <c r="V22">
        <v>4.71</v>
      </c>
      <c r="W22">
        <v>21</v>
      </c>
    </row>
    <row r="23" spans="1:23">
      <c r="A23">
        <v>4</v>
      </c>
      <c r="B23">
        <v>4</v>
      </c>
      <c r="C23">
        <v>3</v>
      </c>
      <c r="D23">
        <v>3</v>
      </c>
      <c r="E23">
        <v>3</v>
      </c>
      <c r="F23">
        <v>4</v>
      </c>
      <c r="G23">
        <v>5</v>
      </c>
      <c r="H23">
        <v>5</v>
      </c>
      <c r="I23">
        <v>4</v>
      </c>
      <c r="J23">
        <v>4</v>
      </c>
      <c r="K23">
        <v>4</v>
      </c>
      <c r="L23">
        <v>3</v>
      </c>
      <c r="M23">
        <v>3</v>
      </c>
      <c r="N23">
        <v>3</v>
      </c>
      <c r="O23">
        <v>2</v>
      </c>
      <c r="P23">
        <v>2</v>
      </c>
      <c r="Q23">
        <v>3</v>
      </c>
      <c r="R23">
        <v>3</v>
      </c>
      <c r="S23">
        <v>4</v>
      </c>
      <c r="T23">
        <v>4</v>
      </c>
      <c r="U23">
        <f t="shared" si="0"/>
        <v>70</v>
      </c>
      <c r="V23">
        <v>4.17</v>
      </c>
      <c r="W23">
        <v>22</v>
      </c>
    </row>
    <row r="24" spans="1:23">
      <c r="A24">
        <v>4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3</v>
      </c>
      <c r="L24">
        <v>4</v>
      </c>
      <c r="M24">
        <v>3</v>
      </c>
      <c r="N24">
        <v>3</v>
      </c>
      <c r="O24">
        <v>3</v>
      </c>
      <c r="P24">
        <v>4</v>
      </c>
      <c r="Q24">
        <v>4</v>
      </c>
      <c r="R24">
        <v>4</v>
      </c>
      <c r="S24">
        <v>4</v>
      </c>
      <c r="T24">
        <v>4</v>
      </c>
      <c r="U24">
        <f t="shared" si="0"/>
        <v>76</v>
      </c>
      <c r="V24">
        <v>4.45</v>
      </c>
      <c r="W24">
        <v>23</v>
      </c>
    </row>
    <row r="25" spans="1:23">
      <c r="A25">
        <v>4</v>
      </c>
      <c r="B25">
        <v>4</v>
      </c>
      <c r="C25">
        <v>5</v>
      </c>
      <c r="D25">
        <v>4</v>
      </c>
      <c r="E25">
        <v>5</v>
      </c>
      <c r="F25">
        <v>4</v>
      </c>
      <c r="G25">
        <v>5</v>
      </c>
      <c r="H25">
        <v>4</v>
      </c>
      <c r="I25">
        <v>4</v>
      </c>
      <c r="J25">
        <v>4</v>
      </c>
      <c r="K25">
        <v>4</v>
      </c>
      <c r="L25">
        <v>5</v>
      </c>
      <c r="M25">
        <v>5</v>
      </c>
      <c r="N25">
        <v>5</v>
      </c>
      <c r="O25">
        <v>5</v>
      </c>
      <c r="P25">
        <v>4</v>
      </c>
      <c r="Q25">
        <v>5</v>
      </c>
      <c r="R25">
        <v>5</v>
      </c>
      <c r="S25">
        <v>4</v>
      </c>
      <c r="T25">
        <v>4</v>
      </c>
      <c r="U25">
        <f t="shared" si="0"/>
        <v>89</v>
      </c>
      <c r="V25">
        <v>4.1500000000000004</v>
      </c>
      <c r="W25">
        <v>24</v>
      </c>
    </row>
    <row r="26" spans="1:23">
      <c r="A26">
        <v>4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f t="shared" si="0"/>
        <v>80</v>
      </c>
      <c r="V26">
        <v>4.46</v>
      </c>
      <c r="W26">
        <v>25</v>
      </c>
    </row>
    <row r="27" spans="1:23">
      <c r="A27">
        <v>5</v>
      </c>
      <c r="B27">
        <v>5</v>
      </c>
      <c r="C27">
        <v>5</v>
      </c>
      <c r="D27">
        <v>5</v>
      </c>
      <c r="E27">
        <v>5</v>
      </c>
      <c r="F27">
        <v>4</v>
      </c>
      <c r="G27">
        <v>5</v>
      </c>
      <c r="H27">
        <v>4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f t="shared" si="0"/>
        <v>98</v>
      </c>
      <c r="V27">
        <v>4.91</v>
      </c>
      <c r="W27">
        <v>26</v>
      </c>
    </row>
    <row r="28" spans="1:23">
      <c r="A28">
        <v>4</v>
      </c>
      <c r="B28">
        <v>3</v>
      </c>
      <c r="C28">
        <v>4</v>
      </c>
      <c r="D28">
        <v>3</v>
      </c>
      <c r="E28">
        <v>2</v>
      </c>
      <c r="F28">
        <v>4</v>
      </c>
      <c r="G28">
        <v>4</v>
      </c>
      <c r="H28">
        <v>2</v>
      </c>
      <c r="I28">
        <v>3</v>
      </c>
      <c r="J28">
        <v>4</v>
      </c>
      <c r="K28">
        <v>4</v>
      </c>
      <c r="L28">
        <v>3</v>
      </c>
      <c r="M28">
        <v>2</v>
      </c>
      <c r="N28">
        <v>2</v>
      </c>
      <c r="O28">
        <v>4</v>
      </c>
      <c r="P28">
        <v>3</v>
      </c>
      <c r="Q28">
        <v>3</v>
      </c>
      <c r="R28">
        <v>4</v>
      </c>
      <c r="S28">
        <v>4</v>
      </c>
      <c r="T28">
        <v>4</v>
      </c>
      <c r="U28">
        <f t="shared" si="0"/>
        <v>66</v>
      </c>
      <c r="V28">
        <v>4.1100000000000003</v>
      </c>
      <c r="W28">
        <v>27</v>
      </c>
    </row>
    <row r="29" spans="1:23">
      <c r="A29">
        <v>4</v>
      </c>
      <c r="B29">
        <v>4</v>
      </c>
      <c r="C29">
        <v>3</v>
      </c>
      <c r="D29">
        <v>3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f t="shared" si="0"/>
        <v>78</v>
      </c>
      <c r="V29">
        <v>4.25</v>
      </c>
      <c r="W29">
        <v>28</v>
      </c>
    </row>
    <row r="30" spans="1:23">
      <c r="A30">
        <v>4</v>
      </c>
      <c r="B30">
        <v>4</v>
      </c>
      <c r="C30">
        <v>4</v>
      </c>
      <c r="D30">
        <v>4</v>
      </c>
      <c r="E30">
        <v>5</v>
      </c>
      <c r="F30">
        <v>4</v>
      </c>
      <c r="G30">
        <v>5</v>
      </c>
      <c r="H30">
        <v>4</v>
      </c>
      <c r="I30">
        <v>5</v>
      </c>
      <c r="J30">
        <v>4</v>
      </c>
      <c r="K30">
        <v>4</v>
      </c>
      <c r="L30">
        <v>5</v>
      </c>
      <c r="M30">
        <v>5</v>
      </c>
      <c r="N30">
        <v>4</v>
      </c>
      <c r="O30">
        <v>4</v>
      </c>
      <c r="P30">
        <v>3</v>
      </c>
      <c r="Q30">
        <v>4</v>
      </c>
      <c r="R30">
        <v>3</v>
      </c>
      <c r="S30">
        <v>4</v>
      </c>
      <c r="T30">
        <v>4</v>
      </c>
      <c r="U30">
        <f t="shared" si="0"/>
        <v>83</v>
      </c>
      <c r="V30">
        <v>4.49</v>
      </c>
      <c r="W30">
        <v>29</v>
      </c>
    </row>
    <row r="31" spans="1:23">
      <c r="A31">
        <v>4</v>
      </c>
      <c r="B31">
        <v>3</v>
      </c>
      <c r="C31">
        <v>3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3</v>
      </c>
      <c r="S31">
        <v>3</v>
      </c>
      <c r="T31">
        <v>4</v>
      </c>
      <c r="U31">
        <f t="shared" si="0"/>
        <v>76</v>
      </c>
      <c r="V31">
        <v>4.55</v>
      </c>
      <c r="W31">
        <v>30</v>
      </c>
    </row>
    <row r="32" spans="1:23">
      <c r="A32">
        <v>3</v>
      </c>
      <c r="B32">
        <v>3</v>
      </c>
      <c r="C32">
        <v>3</v>
      </c>
      <c r="D32">
        <v>3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3</v>
      </c>
      <c r="L32">
        <v>4</v>
      </c>
      <c r="M32">
        <v>3</v>
      </c>
      <c r="N32">
        <v>4</v>
      </c>
      <c r="O32">
        <v>4</v>
      </c>
      <c r="P32">
        <v>3</v>
      </c>
      <c r="Q32">
        <v>5</v>
      </c>
      <c r="R32">
        <v>4</v>
      </c>
      <c r="S32">
        <v>3</v>
      </c>
      <c r="T32">
        <v>3</v>
      </c>
      <c r="U32">
        <f t="shared" si="0"/>
        <v>72</v>
      </c>
      <c r="V32">
        <v>4.1500000000000004</v>
      </c>
      <c r="W32">
        <v>31</v>
      </c>
    </row>
    <row r="33" spans="1:23">
      <c r="A33">
        <v>3</v>
      </c>
      <c r="B33">
        <v>4</v>
      </c>
      <c r="C33">
        <v>3</v>
      </c>
      <c r="D33">
        <v>3</v>
      </c>
      <c r="E33">
        <v>4</v>
      </c>
      <c r="F33">
        <v>4</v>
      </c>
      <c r="G33">
        <v>4</v>
      </c>
      <c r="H33">
        <v>4</v>
      </c>
      <c r="I33">
        <v>4</v>
      </c>
      <c r="J33">
        <v>4</v>
      </c>
      <c r="K33">
        <v>3</v>
      </c>
      <c r="L33">
        <v>4</v>
      </c>
      <c r="M33">
        <v>4</v>
      </c>
      <c r="N33">
        <v>4</v>
      </c>
      <c r="O33">
        <v>5</v>
      </c>
      <c r="P33">
        <v>3</v>
      </c>
      <c r="Q33">
        <v>4</v>
      </c>
      <c r="R33">
        <v>3</v>
      </c>
      <c r="S33">
        <v>4</v>
      </c>
      <c r="T33">
        <v>2</v>
      </c>
      <c r="U33">
        <f t="shared" si="0"/>
        <v>73</v>
      </c>
      <c r="V33">
        <v>4.1500000000000004</v>
      </c>
      <c r="W33">
        <v>32</v>
      </c>
    </row>
    <row r="34" spans="1:23">
      <c r="A34">
        <v>4</v>
      </c>
      <c r="B34">
        <v>5</v>
      </c>
      <c r="C34">
        <v>4</v>
      </c>
      <c r="D34">
        <v>5</v>
      </c>
      <c r="E34">
        <v>5</v>
      </c>
      <c r="F34">
        <v>4</v>
      </c>
      <c r="G34">
        <v>4</v>
      </c>
      <c r="H34">
        <v>4</v>
      </c>
      <c r="I34">
        <v>5</v>
      </c>
      <c r="J34">
        <v>5</v>
      </c>
      <c r="K34">
        <v>5</v>
      </c>
      <c r="L34">
        <v>5</v>
      </c>
      <c r="M34">
        <v>5</v>
      </c>
      <c r="N34">
        <v>4</v>
      </c>
      <c r="O34">
        <v>4</v>
      </c>
      <c r="P34">
        <v>5</v>
      </c>
      <c r="Q34">
        <v>4</v>
      </c>
      <c r="R34">
        <v>4</v>
      </c>
      <c r="S34">
        <v>5</v>
      </c>
      <c r="T34">
        <v>5</v>
      </c>
      <c r="U34">
        <f t="shared" ref="U34:U65" si="1">SUM(A34:T34)</f>
        <v>91</v>
      </c>
      <c r="V34">
        <v>4.8600000000000003</v>
      </c>
      <c r="W34">
        <v>33</v>
      </c>
    </row>
    <row r="35" spans="1:23">
      <c r="A35">
        <v>4</v>
      </c>
      <c r="B35">
        <v>4</v>
      </c>
      <c r="C35">
        <v>4</v>
      </c>
      <c r="D35">
        <v>4</v>
      </c>
      <c r="E35">
        <v>3</v>
      </c>
      <c r="F35">
        <v>3</v>
      </c>
      <c r="G35">
        <v>4</v>
      </c>
      <c r="H35">
        <v>4</v>
      </c>
      <c r="I35">
        <v>4</v>
      </c>
      <c r="J35">
        <v>3</v>
      </c>
      <c r="K35">
        <v>4</v>
      </c>
      <c r="L35">
        <v>4</v>
      </c>
      <c r="M35">
        <v>3</v>
      </c>
      <c r="N35">
        <v>4</v>
      </c>
      <c r="O35">
        <v>4</v>
      </c>
      <c r="P35">
        <v>3</v>
      </c>
      <c r="Q35">
        <v>3</v>
      </c>
      <c r="R35">
        <v>4</v>
      </c>
      <c r="S35">
        <v>4</v>
      </c>
      <c r="T35">
        <v>3</v>
      </c>
      <c r="U35">
        <f t="shared" si="1"/>
        <v>73</v>
      </c>
      <c r="V35">
        <v>4.1500000000000004</v>
      </c>
      <c r="W35">
        <v>34</v>
      </c>
    </row>
    <row r="36" spans="1:23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1</v>
      </c>
      <c r="H36">
        <v>2</v>
      </c>
      <c r="I36">
        <v>2</v>
      </c>
      <c r="J36">
        <v>2</v>
      </c>
      <c r="K36">
        <v>1</v>
      </c>
      <c r="L36">
        <v>2</v>
      </c>
      <c r="M36">
        <v>1</v>
      </c>
      <c r="N36">
        <v>1</v>
      </c>
      <c r="O36">
        <v>1</v>
      </c>
      <c r="P36">
        <v>2</v>
      </c>
      <c r="Q36">
        <v>2</v>
      </c>
      <c r="R36">
        <v>1</v>
      </c>
      <c r="S36">
        <v>1</v>
      </c>
      <c r="T36">
        <v>1</v>
      </c>
      <c r="U36">
        <f t="shared" si="1"/>
        <v>32</v>
      </c>
      <c r="V36">
        <v>3.74</v>
      </c>
      <c r="W36">
        <v>35</v>
      </c>
    </row>
    <row r="37" spans="1:23">
      <c r="A37">
        <v>3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f t="shared" si="1"/>
        <v>60</v>
      </c>
      <c r="V37">
        <v>3.94</v>
      </c>
      <c r="W37">
        <v>36</v>
      </c>
    </row>
    <row r="38" spans="1:23">
      <c r="A38">
        <v>4</v>
      </c>
      <c r="B38">
        <v>4</v>
      </c>
      <c r="C38">
        <v>4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3</v>
      </c>
      <c r="L38">
        <v>4</v>
      </c>
      <c r="M38">
        <v>3</v>
      </c>
      <c r="N38">
        <v>3</v>
      </c>
      <c r="O38">
        <v>3</v>
      </c>
      <c r="P38">
        <v>4</v>
      </c>
      <c r="Q38">
        <v>4</v>
      </c>
      <c r="R38">
        <v>4</v>
      </c>
      <c r="S38">
        <v>4</v>
      </c>
      <c r="T38">
        <v>4</v>
      </c>
      <c r="U38">
        <f t="shared" si="1"/>
        <v>76</v>
      </c>
      <c r="V38">
        <v>4.3499999999999996</v>
      </c>
      <c r="W38">
        <v>37</v>
      </c>
    </row>
    <row r="39" spans="1:23">
      <c r="A39">
        <v>4</v>
      </c>
      <c r="B39">
        <v>5</v>
      </c>
      <c r="C39">
        <v>4</v>
      </c>
      <c r="D39">
        <v>4</v>
      </c>
      <c r="E39">
        <v>5</v>
      </c>
      <c r="F39">
        <v>5</v>
      </c>
      <c r="G39">
        <v>5</v>
      </c>
      <c r="H39">
        <v>4</v>
      </c>
      <c r="I39">
        <v>4</v>
      </c>
      <c r="J39">
        <v>4</v>
      </c>
      <c r="K39">
        <v>5</v>
      </c>
      <c r="L39">
        <v>4</v>
      </c>
      <c r="M39">
        <v>5</v>
      </c>
      <c r="N39">
        <v>4</v>
      </c>
      <c r="O39">
        <v>5</v>
      </c>
      <c r="P39">
        <v>5</v>
      </c>
      <c r="Q39">
        <v>5</v>
      </c>
      <c r="R39">
        <v>5</v>
      </c>
      <c r="S39">
        <v>4</v>
      </c>
      <c r="T39">
        <v>5</v>
      </c>
      <c r="U39">
        <f t="shared" si="1"/>
        <v>91</v>
      </c>
      <c r="V39">
        <v>4.8</v>
      </c>
      <c r="W39">
        <v>38</v>
      </c>
    </row>
    <row r="40" spans="1:23">
      <c r="A40">
        <v>4</v>
      </c>
      <c r="B40">
        <v>4</v>
      </c>
      <c r="C40">
        <v>5</v>
      </c>
      <c r="D40">
        <v>4</v>
      </c>
      <c r="E40">
        <v>5</v>
      </c>
      <c r="F40">
        <v>4</v>
      </c>
      <c r="G40">
        <v>5</v>
      </c>
      <c r="H40">
        <v>4</v>
      </c>
      <c r="I40">
        <v>4</v>
      </c>
      <c r="J40">
        <v>4</v>
      </c>
      <c r="K40">
        <v>4</v>
      </c>
      <c r="L40">
        <v>4</v>
      </c>
      <c r="M40">
        <v>5</v>
      </c>
      <c r="N40">
        <v>5</v>
      </c>
      <c r="O40">
        <v>4</v>
      </c>
      <c r="P40">
        <v>4</v>
      </c>
      <c r="Q40">
        <v>5</v>
      </c>
      <c r="R40">
        <v>5</v>
      </c>
      <c r="S40">
        <v>4</v>
      </c>
      <c r="T40">
        <v>4</v>
      </c>
      <c r="U40">
        <f t="shared" si="1"/>
        <v>87</v>
      </c>
      <c r="V40">
        <v>4.8</v>
      </c>
      <c r="W40">
        <v>39</v>
      </c>
    </row>
    <row r="41" spans="1:23">
      <c r="A41">
        <v>5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f t="shared" si="1"/>
        <v>100</v>
      </c>
      <c r="V41">
        <v>4.95</v>
      </c>
      <c r="W41">
        <v>40</v>
      </c>
    </row>
    <row r="42" spans="1:23">
      <c r="A42">
        <v>4</v>
      </c>
      <c r="B42">
        <v>2</v>
      </c>
      <c r="C42">
        <v>2</v>
      </c>
      <c r="D42">
        <v>3</v>
      </c>
      <c r="E42">
        <v>2</v>
      </c>
      <c r="F42">
        <v>4</v>
      </c>
      <c r="G42">
        <v>3</v>
      </c>
      <c r="H42">
        <v>4</v>
      </c>
      <c r="I42">
        <v>3</v>
      </c>
      <c r="J42">
        <v>2</v>
      </c>
      <c r="K42">
        <v>4</v>
      </c>
      <c r="L42">
        <v>4</v>
      </c>
      <c r="M42">
        <v>3</v>
      </c>
      <c r="N42">
        <v>4</v>
      </c>
      <c r="O42">
        <v>2</v>
      </c>
      <c r="P42">
        <v>3</v>
      </c>
      <c r="Q42">
        <v>4</v>
      </c>
      <c r="R42">
        <v>3</v>
      </c>
      <c r="S42">
        <v>2</v>
      </c>
      <c r="T42">
        <v>3</v>
      </c>
      <c r="U42">
        <f t="shared" si="1"/>
        <v>61</v>
      </c>
      <c r="V42">
        <v>4.05</v>
      </c>
      <c r="W42">
        <v>41</v>
      </c>
    </row>
    <row r="43" spans="1:23">
      <c r="A43">
        <v>4</v>
      </c>
      <c r="B43">
        <v>4</v>
      </c>
      <c r="C43">
        <v>3</v>
      </c>
      <c r="D43">
        <v>4</v>
      </c>
      <c r="E43">
        <v>4</v>
      </c>
      <c r="F43">
        <v>3</v>
      </c>
      <c r="G43">
        <v>4</v>
      </c>
      <c r="H43">
        <v>4</v>
      </c>
      <c r="I43">
        <v>4</v>
      </c>
      <c r="J43">
        <v>4</v>
      </c>
      <c r="K43">
        <v>3</v>
      </c>
      <c r="L43">
        <v>3</v>
      </c>
      <c r="M43">
        <v>3</v>
      </c>
      <c r="N43">
        <v>3</v>
      </c>
      <c r="O43">
        <v>4</v>
      </c>
      <c r="P43">
        <v>4</v>
      </c>
      <c r="Q43">
        <v>4</v>
      </c>
      <c r="R43">
        <v>4</v>
      </c>
      <c r="S43">
        <v>3</v>
      </c>
      <c r="T43">
        <v>4</v>
      </c>
      <c r="U43">
        <f t="shared" si="1"/>
        <v>73</v>
      </c>
      <c r="V43">
        <v>4.1500000000000004</v>
      </c>
      <c r="W43">
        <v>42</v>
      </c>
    </row>
    <row r="44" spans="1:23">
      <c r="A44">
        <v>5</v>
      </c>
      <c r="B44">
        <v>4</v>
      </c>
      <c r="C44">
        <v>5</v>
      </c>
      <c r="D44">
        <v>5</v>
      </c>
      <c r="E44">
        <v>5</v>
      </c>
      <c r="F44">
        <v>4</v>
      </c>
      <c r="G44">
        <v>5</v>
      </c>
      <c r="H44">
        <v>5</v>
      </c>
      <c r="I44">
        <v>4</v>
      </c>
      <c r="J44">
        <v>4</v>
      </c>
      <c r="K44">
        <v>4</v>
      </c>
      <c r="L44">
        <v>5</v>
      </c>
      <c r="M44">
        <v>4</v>
      </c>
      <c r="N44">
        <v>4</v>
      </c>
      <c r="O44">
        <v>5</v>
      </c>
      <c r="P44">
        <v>5</v>
      </c>
      <c r="Q44">
        <v>4</v>
      </c>
      <c r="R44">
        <v>5</v>
      </c>
      <c r="S44">
        <v>4</v>
      </c>
      <c r="T44">
        <v>5</v>
      </c>
      <c r="U44">
        <f t="shared" si="1"/>
        <v>91</v>
      </c>
      <c r="V44">
        <v>4.8600000000000003</v>
      </c>
      <c r="W44">
        <v>43</v>
      </c>
    </row>
    <row r="45" spans="1:23">
      <c r="A45">
        <v>5</v>
      </c>
      <c r="B45">
        <v>4</v>
      </c>
      <c r="C45">
        <v>4</v>
      </c>
      <c r="D45">
        <v>4</v>
      </c>
      <c r="E45">
        <v>4</v>
      </c>
      <c r="F45">
        <v>4</v>
      </c>
      <c r="G45">
        <v>4</v>
      </c>
      <c r="H45">
        <v>5</v>
      </c>
      <c r="I45">
        <v>4</v>
      </c>
      <c r="J45">
        <v>4</v>
      </c>
      <c r="K45">
        <v>5</v>
      </c>
      <c r="L45">
        <v>5</v>
      </c>
      <c r="M45">
        <v>5</v>
      </c>
      <c r="N45">
        <v>4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f t="shared" si="1"/>
        <v>91</v>
      </c>
      <c r="V45">
        <v>4.2300000000000004</v>
      </c>
      <c r="W45">
        <v>44</v>
      </c>
    </row>
    <row r="46" spans="1:23">
      <c r="A46">
        <v>5</v>
      </c>
      <c r="B46">
        <v>3</v>
      </c>
      <c r="C46">
        <v>3</v>
      </c>
      <c r="D46">
        <v>3</v>
      </c>
      <c r="E46">
        <v>4</v>
      </c>
      <c r="F46">
        <v>3</v>
      </c>
      <c r="G46">
        <v>3</v>
      </c>
      <c r="H46">
        <v>2</v>
      </c>
      <c r="I46">
        <v>4</v>
      </c>
      <c r="J46">
        <v>3</v>
      </c>
      <c r="K46">
        <v>3</v>
      </c>
      <c r="L46">
        <v>4</v>
      </c>
      <c r="M46">
        <v>3</v>
      </c>
      <c r="N46">
        <v>3</v>
      </c>
      <c r="O46">
        <v>3</v>
      </c>
      <c r="P46">
        <v>2</v>
      </c>
      <c r="Q46">
        <v>3</v>
      </c>
      <c r="R46">
        <v>4</v>
      </c>
      <c r="S46">
        <v>4</v>
      </c>
      <c r="T46">
        <v>3</v>
      </c>
      <c r="U46">
        <f t="shared" si="1"/>
        <v>65</v>
      </c>
      <c r="V46">
        <v>4.1500000000000004</v>
      </c>
      <c r="W46">
        <v>45</v>
      </c>
    </row>
    <row r="47" spans="1:23">
      <c r="A47">
        <v>5</v>
      </c>
      <c r="B47">
        <v>4</v>
      </c>
      <c r="C47">
        <v>5</v>
      </c>
      <c r="D47">
        <v>5</v>
      </c>
      <c r="E47">
        <v>5</v>
      </c>
      <c r="F47">
        <v>4</v>
      </c>
      <c r="G47">
        <v>5</v>
      </c>
      <c r="H47">
        <v>4</v>
      </c>
      <c r="I47">
        <v>4</v>
      </c>
      <c r="J47">
        <v>5</v>
      </c>
      <c r="K47">
        <v>5</v>
      </c>
      <c r="L47">
        <v>5</v>
      </c>
      <c r="M47">
        <v>5</v>
      </c>
      <c r="N47">
        <v>5</v>
      </c>
      <c r="O47">
        <v>4</v>
      </c>
      <c r="P47">
        <v>5</v>
      </c>
      <c r="Q47">
        <v>4</v>
      </c>
      <c r="R47">
        <v>5</v>
      </c>
      <c r="S47">
        <v>4</v>
      </c>
      <c r="T47">
        <v>4</v>
      </c>
      <c r="U47">
        <f t="shared" si="1"/>
        <v>92</v>
      </c>
      <c r="V47">
        <v>4.8600000000000003</v>
      </c>
      <c r="W47">
        <v>46</v>
      </c>
    </row>
    <row r="48" spans="1:23">
      <c r="A48">
        <v>4</v>
      </c>
      <c r="B48">
        <v>3</v>
      </c>
      <c r="C48">
        <v>3</v>
      </c>
      <c r="D48">
        <v>3</v>
      </c>
      <c r="E48">
        <v>4</v>
      </c>
      <c r="F48">
        <v>3</v>
      </c>
      <c r="G48">
        <v>3</v>
      </c>
      <c r="H48">
        <v>3</v>
      </c>
      <c r="I48">
        <v>4</v>
      </c>
      <c r="J48">
        <v>3</v>
      </c>
      <c r="K48">
        <v>3</v>
      </c>
      <c r="L48">
        <v>4</v>
      </c>
      <c r="M48">
        <v>4</v>
      </c>
      <c r="N48">
        <v>4</v>
      </c>
      <c r="O48">
        <v>4</v>
      </c>
      <c r="P48">
        <v>3</v>
      </c>
      <c r="Q48">
        <v>4</v>
      </c>
      <c r="R48">
        <v>4</v>
      </c>
      <c r="S48">
        <v>3</v>
      </c>
      <c r="T48">
        <v>3</v>
      </c>
      <c r="U48">
        <f t="shared" si="1"/>
        <v>69</v>
      </c>
      <c r="V48">
        <v>4.26</v>
      </c>
      <c r="W48">
        <v>47</v>
      </c>
    </row>
    <row r="49" spans="1:23">
      <c r="A49">
        <v>4</v>
      </c>
      <c r="B49">
        <v>4</v>
      </c>
      <c r="C49">
        <v>3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3</v>
      </c>
      <c r="M49">
        <v>3</v>
      </c>
      <c r="N49">
        <v>4</v>
      </c>
      <c r="O49">
        <v>3</v>
      </c>
      <c r="P49">
        <v>3</v>
      </c>
      <c r="Q49">
        <v>4</v>
      </c>
      <c r="R49">
        <v>4</v>
      </c>
      <c r="S49">
        <v>3</v>
      </c>
      <c r="T49">
        <v>3</v>
      </c>
      <c r="U49">
        <f t="shared" si="1"/>
        <v>73</v>
      </c>
      <c r="V49">
        <v>4.3499999999999996</v>
      </c>
      <c r="W49">
        <v>48</v>
      </c>
    </row>
    <row r="50" spans="1:23">
      <c r="A50">
        <v>4</v>
      </c>
      <c r="B50">
        <v>5</v>
      </c>
      <c r="C50">
        <v>4</v>
      </c>
      <c r="D50">
        <v>4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3</v>
      </c>
      <c r="L50">
        <v>4</v>
      </c>
      <c r="M50">
        <v>3</v>
      </c>
      <c r="N50">
        <v>4</v>
      </c>
      <c r="O50">
        <v>4</v>
      </c>
      <c r="P50">
        <v>3</v>
      </c>
      <c r="Q50">
        <v>4</v>
      </c>
      <c r="R50">
        <v>3</v>
      </c>
      <c r="S50">
        <v>4</v>
      </c>
      <c r="T50">
        <v>4</v>
      </c>
      <c r="U50">
        <f t="shared" si="1"/>
        <v>77</v>
      </c>
      <c r="V50">
        <v>4.55</v>
      </c>
      <c r="W50">
        <v>49</v>
      </c>
    </row>
    <row r="51" spans="1:23">
      <c r="A51">
        <v>4</v>
      </c>
      <c r="B51">
        <v>4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3</v>
      </c>
      <c r="R51">
        <v>4</v>
      </c>
      <c r="S51">
        <v>3</v>
      </c>
      <c r="T51">
        <v>4</v>
      </c>
      <c r="U51">
        <f t="shared" si="1"/>
        <v>78</v>
      </c>
      <c r="V51">
        <v>4.32</v>
      </c>
      <c r="W51">
        <v>50</v>
      </c>
    </row>
    <row r="52" spans="1:23">
      <c r="A52">
        <v>4</v>
      </c>
      <c r="B52">
        <v>3</v>
      </c>
      <c r="C52">
        <v>4</v>
      </c>
      <c r="D52">
        <v>4</v>
      </c>
      <c r="E52">
        <v>4</v>
      </c>
      <c r="F52">
        <v>3</v>
      </c>
      <c r="G52">
        <v>4</v>
      </c>
      <c r="H52">
        <v>3</v>
      </c>
      <c r="I52">
        <v>4</v>
      </c>
      <c r="J52">
        <v>3</v>
      </c>
      <c r="K52">
        <v>3</v>
      </c>
      <c r="L52">
        <v>3</v>
      </c>
      <c r="M52">
        <v>3</v>
      </c>
      <c r="N52">
        <v>4</v>
      </c>
      <c r="O52">
        <v>3</v>
      </c>
      <c r="P52">
        <v>3</v>
      </c>
      <c r="Q52">
        <v>4</v>
      </c>
      <c r="R52">
        <v>3</v>
      </c>
      <c r="S52">
        <v>4</v>
      </c>
      <c r="T52">
        <v>4</v>
      </c>
      <c r="U52">
        <f t="shared" si="1"/>
        <v>70</v>
      </c>
      <c r="V52">
        <v>4.55</v>
      </c>
      <c r="W52">
        <v>51</v>
      </c>
    </row>
    <row r="53" spans="1:23">
      <c r="A53">
        <v>3</v>
      </c>
      <c r="B53">
        <v>3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3</v>
      </c>
      <c r="J53">
        <v>3</v>
      </c>
      <c r="K53">
        <v>4</v>
      </c>
      <c r="L53">
        <v>3</v>
      </c>
      <c r="M53">
        <v>4</v>
      </c>
      <c r="N53">
        <v>4</v>
      </c>
      <c r="O53">
        <v>3</v>
      </c>
      <c r="P53">
        <v>4</v>
      </c>
      <c r="Q53">
        <v>3</v>
      </c>
      <c r="R53">
        <v>4</v>
      </c>
      <c r="S53">
        <v>4</v>
      </c>
      <c r="T53">
        <v>3</v>
      </c>
      <c r="U53">
        <f t="shared" si="1"/>
        <v>72</v>
      </c>
      <c r="V53">
        <v>4.1500000000000004</v>
      </c>
      <c r="W53">
        <v>52</v>
      </c>
    </row>
    <row r="54" spans="1:23">
      <c r="A54">
        <v>4</v>
      </c>
      <c r="B54">
        <v>5</v>
      </c>
      <c r="C54">
        <v>4</v>
      </c>
      <c r="D54">
        <v>4</v>
      </c>
      <c r="E54">
        <v>5</v>
      </c>
      <c r="F54">
        <v>5</v>
      </c>
      <c r="G54">
        <v>4</v>
      </c>
      <c r="H54">
        <v>4</v>
      </c>
      <c r="I54">
        <v>4</v>
      </c>
      <c r="J54">
        <v>5</v>
      </c>
      <c r="K54">
        <v>4</v>
      </c>
      <c r="L54">
        <v>5</v>
      </c>
      <c r="M54">
        <v>4</v>
      </c>
      <c r="N54">
        <v>4</v>
      </c>
      <c r="O54">
        <v>5</v>
      </c>
      <c r="P54">
        <v>4</v>
      </c>
      <c r="Q54">
        <v>4</v>
      </c>
      <c r="R54">
        <v>4</v>
      </c>
      <c r="S54">
        <v>4</v>
      </c>
      <c r="T54">
        <v>4</v>
      </c>
      <c r="U54">
        <f t="shared" si="1"/>
        <v>86</v>
      </c>
      <c r="V54">
        <v>4.8</v>
      </c>
      <c r="W54">
        <v>53</v>
      </c>
    </row>
    <row r="55" spans="1:23">
      <c r="A55">
        <v>1</v>
      </c>
      <c r="B55">
        <v>1</v>
      </c>
      <c r="C55">
        <v>1</v>
      </c>
      <c r="D55">
        <v>1</v>
      </c>
      <c r="E55">
        <v>2</v>
      </c>
      <c r="F55">
        <v>2</v>
      </c>
      <c r="G55">
        <v>2</v>
      </c>
      <c r="H55">
        <v>1</v>
      </c>
      <c r="I55">
        <v>2</v>
      </c>
      <c r="J55">
        <v>1</v>
      </c>
      <c r="K55">
        <v>1</v>
      </c>
      <c r="L55">
        <v>2</v>
      </c>
      <c r="M55">
        <v>1</v>
      </c>
      <c r="N55">
        <v>1</v>
      </c>
      <c r="O55">
        <v>1</v>
      </c>
      <c r="P55">
        <v>1</v>
      </c>
      <c r="Q55">
        <v>2</v>
      </c>
      <c r="R55">
        <v>2</v>
      </c>
      <c r="S55">
        <v>1</v>
      </c>
      <c r="T55">
        <v>2</v>
      </c>
      <c r="U55">
        <f t="shared" si="1"/>
        <v>28</v>
      </c>
      <c r="V55">
        <v>3.64</v>
      </c>
      <c r="W55">
        <v>54</v>
      </c>
    </row>
    <row r="56" spans="1:23">
      <c r="A56">
        <v>4</v>
      </c>
      <c r="B56">
        <v>3</v>
      </c>
      <c r="C56">
        <v>3</v>
      </c>
      <c r="D56">
        <v>3</v>
      </c>
      <c r="E56">
        <v>3</v>
      </c>
      <c r="F56">
        <v>4</v>
      </c>
      <c r="G56">
        <v>3</v>
      </c>
      <c r="H56">
        <v>3</v>
      </c>
      <c r="I56">
        <v>4</v>
      </c>
      <c r="J56">
        <v>3</v>
      </c>
      <c r="K56">
        <v>4</v>
      </c>
      <c r="L56">
        <v>3</v>
      </c>
      <c r="M56">
        <v>3</v>
      </c>
      <c r="N56">
        <v>3</v>
      </c>
      <c r="O56">
        <v>4</v>
      </c>
      <c r="P56">
        <v>4</v>
      </c>
      <c r="Q56">
        <v>3</v>
      </c>
      <c r="R56">
        <v>4</v>
      </c>
      <c r="S56">
        <v>3</v>
      </c>
      <c r="T56">
        <v>4</v>
      </c>
      <c r="U56">
        <f t="shared" si="1"/>
        <v>68</v>
      </c>
      <c r="V56">
        <v>4.1500000000000004</v>
      </c>
      <c r="W56">
        <v>55</v>
      </c>
    </row>
    <row r="57" spans="1:23">
      <c r="A57">
        <v>4</v>
      </c>
      <c r="B57">
        <v>4</v>
      </c>
      <c r="C57">
        <v>3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3</v>
      </c>
      <c r="M57">
        <v>3</v>
      </c>
      <c r="N57">
        <v>4</v>
      </c>
      <c r="O57">
        <v>3</v>
      </c>
      <c r="P57">
        <v>3</v>
      </c>
      <c r="Q57">
        <v>4</v>
      </c>
      <c r="R57">
        <v>4</v>
      </c>
      <c r="S57">
        <v>3</v>
      </c>
      <c r="T57">
        <v>3</v>
      </c>
      <c r="U57">
        <f t="shared" si="1"/>
        <v>73</v>
      </c>
      <c r="V57">
        <v>4.43</v>
      </c>
      <c r="W57">
        <v>56</v>
      </c>
    </row>
    <row r="58" spans="1:23">
      <c r="A58">
        <v>4</v>
      </c>
      <c r="B58">
        <v>4</v>
      </c>
      <c r="C58">
        <v>4</v>
      </c>
      <c r="D58">
        <v>5</v>
      </c>
      <c r="E58">
        <v>4</v>
      </c>
      <c r="F58">
        <v>5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f t="shared" si="1"/>
        <v>82</v>
      </c>
      <c r="V58">
        <v>4.6500000000000004</v>
      </c>
      <c r="W58">
        <v>57</v>
      </c>
    </row>
    <row r="59" spans="1:23">
      <c r="A59">
        <v>4</v>
      </c>
      <c r="B59">
        <v>5</v>
      </c>
      <c r="C59">
        <v>4</v>
      </c>
      <c r="D59">
        <v>5</v>
      </c>
      <c r="E59">
        <v>4</v>
      </c>
      <c r="F59">
        <v>4</v>
      </c>
      <c r="G59">
        <v>5</v>
      </c>
      <c r="H59">
        <v>4</v>
      </c>
      <c r="I59">
        <v>5</v>
      </c>
      <c r="J59">
        <v>4</v>
      </c>
      <c r="K59">
        <v>5</v>
      </c>
      <c r="L59">
        <v>5</v>
      </c>
      <c r="M59">
        <v>4</v>
      </c>
      <c r="N59">
        <v>4</v>
      </c>
      <c r="O59">
        <v>4</v>
      </c>
      <c r="P59">
        <v>4</v>
      </c>
      <c r="Q59">
        <v>4</v>
      </c>
      <c r="R59">
        <v>5</v>
      </c>
      <c r="S59">
        <v>5</v>
      </c>
      <c r="T59">
        <v>4</v>
      </c>
      <c r="U59">
        <f t="shared" si="1"/>
        <v>88</v>
      </c>
      <c r="V59">
        <v>4.8</v>
      </c>
      <c r="W59">
        <v>58</v>
      </c>
    </row>
    <row r="60" spans="1:23">
      <c r="A60">
        <v>3</v>
      </c>
      <c r="B60">
        <v>3</v>
      </c>
      <c r="C60">
        <v>4</v>
      </c>
      <c r="D60">
        <v>3</v>
      </c>
      <c r="E60">
        <v>4</v>
      </c>
      <c r="F60">
        <v>4</v>
      </c>
      <c r="G60">
        <v>4</v>
      </c>
      <c r="H60">
        <v>4</v>
      </c>
      <c r="I60">
        <v>5</v>
      </c>
      <c r="J60">
        <v>4</v>
      </c>
      <c r="K60">
        <v>5</v>
      </c>
      <c r="L60">
        <v>4</v>
      </c>
      <c r="M60">
        <v>4</v>
      </c>
      <c r="N60">
        <v>4</v>
      </c>
      <c r="O60">
        <v>3</v>
      </c>
      <c r="P60">
        <v>4</v>
      </c>
      <c r="Q60">
        <v>4</v>
      </c>
      <c r="R60">
        <v>4</v>
      </c>
      <c r="S60">
        <v>4</v>
      </c>
      <c r="T60">
        <v>3</v>
      </c>
      <c r="U60">
        <f t="shared" si="1"/>
        <v>77</v>
      </c>
      <c r="V60">
        <v>4.29</v>
      </c>
      <c r="W60">
        <v>59</v>
      </c>
    </row>
    <row r="61" spans="1:23">
      <c r="A61">
        <v>3</v>
      </c>
      <c r="B61">
        <v>3</v>
      </c>
      <c r="C61">
        <v>3</v>
      </c>
      <c r="D61">
        <v>3</v>
      </c>
      <c r="E61">
        <v>3</v>
      </c>
      <c r="F61">
        <v>3</v>
      </c>
      <c r="G61">
        <v>2</v>
      </c>
      <c r="H61">
        <v>2</v>
      </c>
      <c r="I61">
        <v>3</v>
      </c>
      <c r="J61">
        <v>2</v>
      </c>
      <c r="K61">
        <v>2</v>
      </c>
      <c r="L61">
        <v>3</v>
      </c>
      <c r="M61">
        <v>3</v>
      </c>
      <c r="N61">
        <v>3</v>
      </c>
      <c r="O61">
        <v>3</v>
      </c>
      <c r="P61">
        <v>3</v>
      </c>
      <c r="Q61">
        <v>2</v>
      </c>
      <c r="R61">
        <v>3</v>
      </c>
      <c r="S61">
        <v>2</v>
      </c>
      <c r="T61">
        <v>3</v>
      </c>
      <c r="U61">
        <f t="shared" si="1"/>
        <v>54</v>
      </c>
      <c r="V61">
        <v>4.54</v>
      </c>
      <c r="W61">
        <v>60</v>
      </c>
    </row>
    <row r="62" spans="1:23">
      <c r="A62">
        <v>5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f t="shared" si="1"/>
        <v>100</v>
      </c>
      <c r="V62">
        <v>4.93</v>
      </c>
      <c r="W62">
        <v>61</v>
      </c>
    </row>
    <row r="63" spans="1:23">
      <c r="A63">
        <v>3</v>
      </c>
      <c r="B63">
        <v>4</v>
      </c>
      <c r="C63">
        <v>3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3</v>
      </c>
      <c r="Q63">
        <v>4</v>
      </c>
      <c r="R63">
        <v>3</v>
      </c>
      <c r="S63">
        <v>3</v>
      </c>
      <c r="T63">
        <v>3</v>
      </c>
      <c r="U63">
        <f t="shared" si="1"/>
        <v>74</v>
      </c>
      <c r="V63">
        <v>4.46</v>
      </c>
      <c r="W63">
        <v>62</v>
      </c>
    </row>
    <row r="64" spans="1:23">
      <c r="A64">
        <v>5</v>
      </c>
      <c r="B64">
        <v>4</v>
      </c>
      <c r="C64">
        <v>4</v>
      </c>
      <c r="D64">
        <v>4</v>
      </c>
      <c r="E64">
        <v>5</v>
      </c>
      <c r="F64">
        <v>4</v>
      </c>
      <c r="G64">
        <v>5</v>
      </c>
      <c r="H64">
        <v>5</v>
      </c>
      <c r="I64">
        <v>4</v>
      </c>
      <c r="J64">
        <v>5</v>
      </c>
      <c r="K64">
        <v>4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f t="shared" si="1"/>
        <v>94</v>
      </c>
      <c r="V64">
        <v>4.8499999999999996</v>
      </c>
      <c r="W64">
        <v>63</v>
      </c>
    </row>
    <row r="65" spans="1:23">
      <c r="A65">
        <v>3</v>
      </c>
      <c r="B65">
        <v>4</v>
      </c>
      <c r="C65">
        <v>3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3</v>
      </c>
      <c r="Q65">
        <v>4</v>
      </c>
      <c r="R65">
        <v>3</v>
      </c>
      <c r="S65">
        <v>3</v>
      </c>
      <c r="T65">
        <v>3</v>
      </c>
      <c r="U65">
        <f t="shared" si="1"/>
        <v>74</v>
      </c>
      <c r="V65">
        <v>4.3499999999999996</v>
      </c>
      <c r="W65">
        <v>64</v>
      </c>
    </row>
    <row r="66" spans="1:23">
      <c r="A66">
        <v>4</v>
      </c>
      <c r="B66">
        <v>4</v>
      </c>
      <c r="C66">
        <v>3</v>
      </c>
      <c r="D66">
        <v>4</v>
      </c>
      <c r="E66">
        <v>4</v>
      </c>
      <c r="F66">
        <v>4</v>
      </c>
      <c r="G66">
        <v>3</v>
      </c>
      <c r="H66">
        <v>4</v>
      </c>
      <c r="I66">
        <v>3</v>
      </c>
      <c r="J66">
        <v>3</v>
      </c>
      <c r="K66">
        <v>4</v>
      </c>
      <c r="L66">
        <v>3</v>
      </c>
      <c r="M66">
        <v>3</v>
      </c>
      <c r="N66">
        <v>4</v>
      </c>
      <c r="O66">
        <v>3</v>
      </c>
      <c r="P66">
        <v>3</v>
      </c>
      <c r="Q66">
        <v>4</v>
      </c>
      <c r="R66">
        <v>4</v>
      </c>
      <c r="S66">
        <v>3</v>
      </c>
      <c r="T66">
        <v>3</v>
      </c>
      <c r="U66">
        <f t="shared" ref="U66:U97" si="2">SUM(A66:T66)</f>
        <v>70</v>
      </c>
      <c r="V66">
        <v>4.49</v>
      </c>
      <c r="W66">
        <v>65</v>
      </c>
    </row>
    <row r="67" spans="1:23">
      <c r="A67">
        <v>5</v>
      </c>
      <c r="B67">
        <v>5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f t="shared" si="2"/>
        <v>100</v>
      </c>
      <c r="V67">
        <v>5.67</v>
      </c>
      <c r="W67">
        <v>66</v>
      </c>
    </row>
    <row r="68" spans="1:23">
      <c r="A68">
        <v>5</v>
      </c>
      <c r="B68">
        <v>5</v>
      </c>
      <c r="C68">
        <v>5</v>
      </c>
      <c r="D68">
        <v>4</v>
      </c>
      <c r="E68">
        <v>5</v>
      </c>
      <c r="F68">
        <v>5</v>
      </c>
      <c r="G68">
        <v>5</v>
      </c>
      <c r="H68">
        <v>5</v>
      </c>
      <c r="I68">
        <v>4</v>
      </c>
      <c r="J68">
        <v>5</v>
      </c>
      <c r="K68">
        <v>5</v>
      </c>
      <c r="L68">
        <v>4</v>
      </c>
      <c r="M68">
        <v>5</v>
      </c>
      <c r="N68">
        <v>4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f t="shared" si="2"/>
        <v>96</v>
      </c>
      <c r="V68">
        <v>4.25</v>
      </c>
      <c r="W68">
        <v>67</v>
      </c>
    </row>
    <row r="69" spans="1:23">
      <c r="A69">
        <v>3</v>
      </c>
      <c r="B69">
        <v>3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f t="shared" si="2"/>
        <v>60</v>
      </c>
      <c r="V69">
        <v>3.91</v>
      </c>
      <c r="W69">
        <v>68</v>
      </c>
    </row>
    <row r="70" spans="1:23">
      <c r="A70">
        <v>3</v>
      </c>
      <c r="B70">
        <v>3</v>
      </c>
      <c r="C70">
        <v>3</v>
      </c>
      <c r="D70">
        <v>3</v>
      </c>
      <c r="E70">
        <v>3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3</v>
      </c>
      <c r="T70">
        <v>3</v>
      </c>
      <c r="U70">
        <f t="shared" si="2"/>
        <v>60</v>
      </c>
      <c r="V70">
        <v>3.94</v>
      </c>
      <c r="W70">
        <v>69</v>
      </c>
    </row>
    <row r="71" spans="1:23">
      <c r="A71">
        <v>2</v>
      </c>
      <c r="B71">
        <v>3</v>
      </c>
      <c r="C71">
        <v>2</v>
      </c>
      <c r="D71">
        <v>2</v>
      </c>
      <c r="E71">
        <v>4</v>
      </c>
      <c r="F71">
        <v>2</v>
      </c>
      <c r="G71">
        <v>3</v>
      </c>
      <c r="H71">
        <v>3</v>
      </c>
      <c r="I71">
        <v>4</v>
      </c>
      <c r="J71">
        <v>3</v>
      </c>
      <c r="K71">
        <v>4</v>
      </c>
      <c r="L71">
        <v>2</v>
      </c>
      <c r="M71">
        <v>2</v>
      </c>
      <c r="N71">
        <v>4</v>
      </c>
      <c r="O71">
        <v>3</v>
      </c>
      <c r="P71">
        <v>4</v>
      </c>
      <c r="Q71">
        <v>2</v>
      </c>
      <c r="R71">
        <v>3</v>
      </c>
      <c r="S71">
        <v>3</v>
      </c>
      <c r="T71">
        <v>2</v>
      </c>
      <c r="U71">
        <f t="shared" si="2"/>
        <v>57</v>
      </c>
      <c r="V71">
        <v>4.1399999999999997</v>
      </c>
      <c r="W71">
        <v>70</v>
      </c>
    </row>
    <row r="72" spans="1:23">
      <c r="A72">
        <v>3</v>
      </c>
      <c r="B72">
        <v>4</v>
      </c>
      <c r="C72">
        <v>3</v>
      </c>
      <c r="D72">
        <v>4</v>
      </c>
      <c r="E72">
        <v>4</v>
      </c>
      <c r="F72">
        <v>3</v>
      </c>
      <c r="G72">
        <v>4</v>
      </c>
      <c r="H72">
        <v>4</v>
      </c>
      <c r="I72">
        <v>3</v>
      </c>
      <c r="J72">
        <v>4</v>
      </c>
      <c r="K72">
        <v>3</v>
      </c>
      <c r="L72">
        <v>3</v>
      </c>
      <c r="M72">
        <v>4</v>
      </c>
      <c r="N72">
        <v>4</v>
      </c>
      <c r="O72">
        <v>4</v>
      </c>
      <c r="P72">
        <v>3</v>
      </c>
      <c r="Q72">
        <v>3</v>
      </c>
      <c r="R72">
        <v>3</v>
      </c>
      <c r="S72">
        <v>3</v>
      </c>
      <c r="T72">
        <v>4</v>
      </c>
      <c r="U72">
        <f t="shared" si="2"/>
        <v>70</v>
      </c>
      <c r="V72">
        <v>4.3499999999999996</v>
      </c>
      <c r="W72">
        <v>71</v>
      </c>
    </row>
    <row r="73" spans="1:23">
      <c r="A73">
        <v>4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5</v>
      </c>
      <c r="P73">
        <v>3</v>
      </c>
      <c r="Q73">
        <v>3</v>
      </c>
      <c r="R73">
        <v>3</v>
      </c>
      <c r="S73">
        <v>4</v>
      </c>
      <c r="T73">
        <v>4</v>
      </c>
      <c r="U73">
        <f t="shared" si="2"/>
        <v>78</v>
      </c>
      <c r="V73">
        <v>4.45</v>
      </c>
      <c r="W73">
        <v>72</v>
      </c>
    </row>
    <row r="74" spans="1:23">
      <c r="A74">
        <v>4</v>
      </c>
      <c r="B74">
        <v>4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f t="shared" si="2"/>
        <v>80</v>
      </c>
      <c r="V74">
        <v>4.4000000000000004</v>
      </c>
      <c r="W74">
        <v>73</v>
      </c>
    </row>
    <row r="75" spans="1:23">
      <c r="A75">
        <v>3</v>
      </c>
      <c r="B75">
        <v>3</v>
      </c>
      <c r="C75">
        <v>3</v>
      </c>
      <c r="D75">
        <v>3</v>
      </c>
      <c r="E75">
        <v>4</v>
      </c>
      <c r="F75">
        <v>4</v>
      </c>
      <c r="G75">
        <v>4</v>
      </c>
      <c r="H75">
        <v>3</v>
      </c>
      <c r="I75">
        <v>4</v>
      </c>
      <c r="J75">
        <v>4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f t="shared" si="2"/>
        <v>65</v>
      </c>
      <c r="V75">
        <v>4.05</v>
      </c>
      <c r="W75">
        <v>74</v>
      </c>
    </row>
    <row r="76" spans="1:23">
      <c r="A76">
        <v>3</v>
      </c>
      <c r="B76">
        <v>4</v>
      </c>
      <c r="C76">
        <v>3</v>
      </c>
      <c r="D76">
        <v>3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  <c r="K76">
        <v>3</v>
      </c>
      <c r="L76">
        <v>3</v>
      </c>
      <c r="M76">
        <v>3</v>
      </c>
      <c r="N76">
        <v>3</v>
      </c>
      <c r="O76">
        <v>4</v>
      </c>
      <c r="P76">
        <v>3</v>
      </c>
      <c r="Q76">
        <v>3</v>
      </c>
      <c r="R76">
        <v>3</v>
      </c>
      <c r="S76">
        <v>3</v>
      </c>
      <c r="T76">
        <v>3</v>
      </c>
      <c r="U76">
        <f t="shared" si="2"/>
        <v>68</v>
      </c>
      <c r="V76">
        <v>4.25</v>
      </c>
      <c r="W76">
        <v>75</v>
      </c>
    </row>
    <row r="77" spans="1:23">
      <c r="A77">
        <v>4</v>
      </c>
      <c r="B77">
        <v>4</v>
      </c>
      <c r="C77">
        <v>4</v>
      </c>
      <c r="D77">
        <v>4</v>
      </c>
      <c r="E77">
        <v>4</v>
      </c>
      <c r="F77">
        <v>4</v>
      </c>
      <c r="G77">
        <v>4</v>
      </c>
      <c r="H77">
        <v>3</v>
      </c>
      <c r="I77">
        <v>3</v>
      </c>
      <c r="J77">
        <v>4</v>
      </c>
      <c r="K77">
        <v>4</v>
      </c>
      <c r="L77">
        <v>3</v>
      </c>
      <c r="M77">
        <v>3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4</v>
      </c>
      <c r="U77">
        <f t="shared" si="2"/>
        <v>76</v>
      </c>
      <c r="V77">
        <v>4.25</v>
      </c>
      <c r="W77">
        <v>76</v>
      </c>
    </row>
    <row r="78" spans="1:23">
      <c r="A78">
        <v>3</v>
      </c>
      <c r="B78">
        <v>3</v>
      </c>
      <c r="C78">
        <v>3</v>
      </c>
      <c r="D78">
        <v>4</v>
      </c>
      <c r="E78">
        <v>4</v>
      </c>
      <c r="F78">
        <v>3</v>
      </c>
      <c r="G78">
        <v>3</v>
      </c>
      <c r="H78">
        <v>3</v>
      </c>
      <c r="I78">
        <v>3</v>
      </c>
      <c r="J78">
        <v>3</v>
      </c>
      <c r="K78">
        <v>3</v>
      </c>
      <c r="L78">
        <v>3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f t="shared" si="2"/>
        <v>62</v>
      </c>
      <c r="V78">
        <v>4.0599999999999996</v>
      </c>
      <c r="W78">
        <v>77</v>
      </c>
    </row>
    <row r="79" spans="1:23">
      <c r="A79">
        <v>2</v>
      </c>
      <c r="B79">
        <v>3</v>
      </c>
      <c r="C79">
        <v>2</v>
      </c>
      <c r="D79">
        <v>3</v>
      </c>
      <c r="E79">
        <v>3</v>
      </c>
      <c r="F79">
        <v>3</v>
      </c>
      <c r="G79">
        <v>3</v>
      </c>
      <c r="H79">
        <v>3</v>
      </c>
      <c r="I79">
        <v>3</v>
      </c>
      <c r="J79">
        <v>3</v>
      </c>
      <c r="K79">
        <v>2</v>
      </c>
      <c r="L79">
        <v>2</v>
      </c>
      <c r="M79">
        <v>3</v>
      </c>
      <c r="N79">
        <v>2</v>
      </c>
      <c r="O79">
        <v>3</v>
      </c>
      <c r="P79">
        <v>2</v>
      </c>
      <c r="Q79">
        <v>3</v>
      </c>
      <c r="R79">
        <v>3</v>
      </c>
      <c r="S79">
        <v>3</v>
      </c>
      <c r="T79">
        <v>2</v>
      </c>
      <c r="U79">
        <f t="shared" si="2"/>
        <v>53</v>
      </c>
      <c r="V79">
        <v>3.94</v>
      </c>
      <c r="W79">
        <v>78</v>
      </c>
    </row>
    <row r="80" spans="1:23">
      <c r="A80">
        <v>1</v>
      </c>
      <c r="B80">
        <v>1</v>
      </c>
      <c r="C80">
        <v>2</v>
      </c>
      <c r="D80">
        <v>1</v>
      </c>
      <c r="E80">
        <v>1</v>
      </c>
      <c r="F80">
        <v>1</v>
      </c>
      <c r="G80">
        <v>1</v>
      </c>
      <c r="H80">
        <v>2</v>
      </c>
      <c r="I80">
        <v>2</v>
      </c>
      <c r="J80">
        <v>2</v>
      </c>
      <c r="K80">
        <v>1</v>
      </c>
      <c r="L80">
        <v>1</v>
      </c>
      <c r="M80">
        <v>1</v>
      </c>
      <c r="N80">
        <v>1</v>
      </c>
      <c r="O80">
        <v>2</v>
      </c>
      <c r="P80">
        <v>1</v>
      </c>
      <c r="Q80">
        <v>2</v>
      </c>
      <c r="R80">
        <v>2</v>
      </c>
      <c r="S80">
        <v>2</v>
      </c>
      <c r="T80">
        <v>1</v>
      </c>
      <c r="U80">
        <f t="shared" si="2"/>
        <v>28</v>
      </c>
      <c r="V80">
        <v>3.74</v>
      </c>
      <c r="W80">
        <v>79</v>
      </c>
    </row>
    <row r="81" spans="1:23">
      <c r="A81">
        <v>4</v>
      </c>
      <c r="B81">
        <v>4</v>
      </c>
      <c r="C81">
        <v>3</v>
      </c>
      <c r="D81">
        <v>4</v>
      </c>
      <c r="E81">
        <v>3</v>
      </c>
      <c r="F81">
        <v>4</v>
      </c>
      <c r="G81">
        <v>4</v>
      </c>
      <c r="H81">
        <v>4</v>
      </c>
      <c r="I81">
        <v>4</v>
      </c>
      <c r="J81">
        <v>4</v>
      </c>
      <c r="K81">
        <v>3</v>
      </c>
      <c r="L81">
        <v>4</v>
      </c>
      <c r="M81">
        <v>3</v>
      </c>
      <c r="N81">
        <v>4</v>
      </c>
      <c r="O81">
        <v>4</v>
      </c>
      <c r="P81">
        <v>3</v>
      </c>
      <c r="Q81">
        <v>4</v>
      </c>
      <c r="R81">
        <v>3</v>
      </c>
      <c r="S81">
        <v>4</v>
      </c>
      <c r="T81">
        <v>4</v>
      </c>
      <c r="U81">
        <f t="shared" si="2"/>
        <v>74</v>
      </c>
      <c r="V81">
        <v>4.6500000000000004</v>
      </c>
      <c r="W81">
        <v>80</v>
      </c>
    </row>
    <row r="82" spans="1:23">
      <c r="A82">
        <v>4</v>
      </c>
      <c r="B82">
        <v>4</v>
      </c>
      <c r="C82">
        <v>3</v>
      </c>
      <c r="D82">
        <v>3</v>
      </c>
      <c r="E82">
        <v>4</v>
      </c>
      <c r="F82">
        <v>4</v>
      </c>
      <c r="G82">
        <v>4</v>
      </c>
      <c r="H82">
        <v>4</v>
      </c>
      <c r="I82">
        <v>4</v>
      </c>
      <c r="J82">
        <v>3</v>
      </c>
      <c r="K82">
        <v>4</v>
      </c>
      <c r="L82">
        <v>4</v>
      </c>
      <c r="M82">
        <v>4</v>
      </c>
      <c r="N82">
        <v>5</v>
      </c>
      <c r="O82">
        <v>4</v>
      </c>
      <c r="P82">
        <v>4</v>
      </c>
      <c r="Q82">
        <v>4</v>
      </c>
      <c r="R82">
        <v>2</v>
      </c>
      <c r="S82">
        <v>4</v>
      </c>
      <c r="T82">
        <v>3</v>
      </c>
      <c r="U82">
        <f t="shared" si="2"/>
        <v>75</v>
      </c>
      <c r="V82">
        <v>4.1500000000000004</v>
      </c>
      <c r="W82">
        <v>81</v>
      </c>
    </row>
    <row r="83" spans="1:23">
      <c r="A83">
        <v>3</v>
      </c>
      <c r="B83">
        <v>2</v>
      </c>
      <c r="C83">
        <v>3</v>
      </c>
      <c r="D83">
        <v>3</v>
      </c>
      <c r="E83">
        <v>2</v>
      </c>
      <c r="F83">
        <v>3</v>
      </c>
      <c r="G83">
        <v>2</v>
      </c>
      <c r="H83">
        <v>3</v>
      </c>
      <c r="I83">
        <v>2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2</v>
      </c>
      <c r="Q83">
        <v>3</v>
      </c>
      <c r="R83">
        <v>3</v>
      </c>
      <c r="S83">
        <v>2</v>
      </c>
      <c r="T83">
        <v>2</v>
      </c>
      <c r="U83">
        <f t="shared" si="2"/>
        <v>53</v>
      </c>
      <c r="V83">
        <v>3.98</v>
      </c>
      <c r="W83">
        <v>82</v>
      </c>
    </row>
    <row r="84" spans="1:23">
      <c r="A84">
        <v>4</v>
      </c>
      <c r="B84">
        <v>4</v>
      </c>
      <c r="C84">
        <v>4</v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  <c r="K84">
        <v>4</v>
      </c>
      <c r="L84">
        <v>4</v>
      </c>
      <c r="M84">
        <v>4</v>
      </c>
      <c r="N84">
        <v>4</v>
      </c>
      <c r="O84">
        <v>4</v>
      </c>
      <c r="P84">
        <v>3</v>
      </c>
      <c r="Q84">
        <v>4</v>
      </c>
      <c r="R84">
        <v>4</v>
      </c>
      <c r="S84">
        <v>4</v>
      </c>
      <c r="T84">
        <v>4</v>
      </c>
      <c r="U84">
        <f t="shared" si="2"/>
        <v>79</v>
      </c>
      <c r="V84">
        <v>4.32</v>
      </c>
      <c r="W84">
        <v>83</v>
      </c>
    </row>
    <row r="85" spans="1:23">
      <c r="A85">
        <v>2</v>
      </c>
      <c r="B85">
        <v>3</v>
      </c>
      <c r="C85">
        <v>3</v>
      </c>
      <c r="D85">
        <v>3</v>
      </c>
      <c r="E85">
        <v>2</v>
      </c>
      <c r="F85">
        <v>3</v>
      </c>
      <c r="G85">
        <v>2</v>
      </c>
      <c r="H85">
        <v>3</v>
      </c>
      <c r="I85">
        <v>3</v>
      </c>
      <c r="J85">
        <v>3</v>
      </c>
      <c r="K85">
        <v>3</v>
      </c>
      <c r="L85">
        <v>2</v>
      </c>
      <c r="M85">
        <v>2</v>
      </c>
      <c r="N85">
        <v>2</v>
      </c>
      <c r="O85">
        <v>3</v>
      </c>
      <c r="P85">
        <v>3</v>
      </c>
      <c r="Q85">
        <v>3</v>
      </c>
      <c r="R85">
        <v>3</v>
      </c>
      <c r="S85">
        <v>3</v>
      </c>
      <c r="T85">
        <v>3</v>
      </c>
      <c r="U85">
        <f t="shared" si="2"/>
        <v>54</v>
      </c>
      <c r="V85">
        <v>3.98</v>
      </c>
      <c r="W85">
        <v>84</v>
      </c>
    </row>
    <row r="86" spans="1:23">
      <c r="A86">
        <v>4</v>
      </c>
      <c r="B86">
        <v>5</v>
      </c>
      <c r="C86">
        <v>4</v>
      </c>
      <c r="D86">
        <v>5</v>
      </c>
      <c r="E86">
        <v>4</v>
      </c>
      <c r="F86">
        <v>4</v>
      </c>
      <c r="G86">
        <v>5</v>
      </c>
      <c r="H86">
        <v>4</v>
      </c>
      <c r="I86">
        <v>5</v>
      </c>
      <c r="J86">
        <v>4</v>
      </c>
      <c r="K86">
        <v>5</v>
      </c>
      <c r="L86">
        <v>5</v>
      </c>
      <c r="M86">
        <v>4</v>
      </c>
      <c r="N86">
        <v>4</v>
      </c>
      <c r="O86">
        <v>4</v>
      </c>
      <c r="P86">
        <v>4</v>
      </c>
      <c r="Q86">
        <v>4</v>
      </c>
      <c r="R86">
        <v>5</v>
      </c>
      <c r="S86">
        <v>5</v>
      </c>
      <c r="T86">
        <v>4</v>
      </c>
      <c r="U86">
        <f t="shared" si="2"/>
        <v>88</v>
      </c>
      <c r="V86">
        <v>4.16</v>
      </c>
      <c r="W86">
        <v>85</v>
      </c>
    </row>
    <row r="87" spans="1:23">
      <c r="A87">
        <v>3</v>
      </c>
      <c r="B87">
        <v>3</v>
      </c>
      <c r="C87">
        <v>2</v>
      </c>
      <c r="D87">
        <v>3</v>
      </c>
      <c r="E87">
        <v>3</v>
      </c>
      <c r="F87">
        <v>2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f t="shared" si="2"/>
        <v>58</v>
      </c>
      <c r="V87">
        <v>4.1500000000000004</v>
      </c>
      <c r="W87">
        <v>86</v>
      </c>
    </row>
    <row r="88" spans="1:23">
      <c r="A88">
        <v>4</v>
      </c>
      <c r="B88">
        <v>4</v>
      </c>
      <c r="C88">
        <v>4</v>
      </c>
      <c r="D88">
        <v>5</v>
      </c>
      <c r="E88">
        <v>5</v>
      </c>
      <c r="F88">
        <v>4</v>
      </c>
      <c r="G88">
        <v>4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4</v>
      </c>
      <c r="O88">
        <v>4</v>
      </c>
      <c r="P88">
        <v>5</v>
      </c>
      <c r="Q88">
        <v>5</v>
      </c>
      <c r="R88">
        <v>5</v>
      </c>
      <c r="S88">
        <v>5</v>
      </c>
      <c r="T88">
        <v>4</v>
      </c>
      <c r="U88">
        <f t="shared" si="2"/>
        <v>92</v>
      </c>
      <c r="V88">
        <v>4.24</v>
      </c>
      <c r="W88">
        <v>87</v>
      </c>
    </row>
    <row r="89" spans="1:23">
      <c r="A89">
        <v>4</v>
      </c>
      <c r="B89">
        <v>2</v>
      </c>
      <c r="C89">
        <v>3</v>
      </c>
      <c r="D89">
        <v>3</v>
      </c>
      <c r="E89">
        <v>4</v>
      </c>
      <c r="F89">
        <v>2</v>
      </c>
      <c r="G89">
        <v>2</v>
      </c>
      <c r="H89">
        <v>3</v>
      </c>
      <c r="I89">
        <v>4</v>
      </c>
      <c r="J89">
        <v>4</v>
      </c>
      <c r="K89">
        <v>2</v>
      </c>
      <c r="L89">
        <v>2</v>
      </c>
      <c r="M89">
        <v>2</v>
      </c>
      <c r="N89">
        <v>4</v>
      </c>
      <c r="O89">
        <v>2</v>
      </c>
      <c r="P89">
        <v>2</v>
      </c>
      <c r="Q89">
        <v>3</v>
      </c>
      <c r="R89">
        <v>4</v>
      </c>
      <c r="S89">
        <v>4</v>
      </c>
      <c r="T89">
        <v>2</v>
      </c>
      <c r="U89">
        <f t="shared" si="2"/>
        <v>58</v>
      </c>
      <c r="V89">
        <v>3.98</v>
      </c>
      <c r="W89">
        <v>88</v>
      </c>
    </row>
    <row r="90" spans="1:23">
      <c r="A90">
        <v>2</v>
      </c>
      <c r="B90">
        <v>3</v>
      </c>
      <c r="C90">
        <v>4</v>
      </c>
      <c r="D90">
        <v>4</v>
      </c>
      <c r="E90">
        <v>3</v>
      </c>
      <c r="F90">
        <v>2</v>
      </c>
      <c r="G90">
        <v>2</v>
      </c>
      <c r="H90">
        <v>4</v>
      </c>
      <c r="I90">
        <v>4</v>
      </c>
      <c r="J90">
        <v>4</v>
      </c>
      <c r="K90">
        <v>2</v>
      </c>
      <c r="L90">
        <v>3</v>
      </c>
      <c r="M90">
        <v>2</v>
      </c>
      <c r="N90">
        <v>3</v>
      </c>
      <c r="O90">
        <v>4</v>
      </c>
      <c r="P90">
        <v>4</v>
      </c>
      <c r="Q90">
        <v>2</v>
      </c>
      <c r="R90">
        <v>4</v>
      </c>
      <c r="S90">
        <v>2</v>
      </c>
      <c r="T90">
        <v>3</v>
      </c>
      <c r="U90">
        <f t="shared" si="2"/>
        <v>61</v>
      </c>
      <c r="V90">
        <v>3.98</v>
      </c>
      <c r="W90">
        <v>89</v>
      </c>
    </row>
    <row r="91" spans="1:23">
      <c r="A91">
        <v>3</v>
      </c>
      <c r="B91">
        <v>4</v>
      </c>
      <c r="C91">
        <v>3</v>
      </c>
      <c r="D91">
        <v>4</v>
      </c>
      <c r="E91">
        <v>4</v>
      </c>
      <c r="F91">
        <v>3</v>
      </c>
      <c r="G91">
        <v>4</v>
      </c>
      <c r="H91">
        <v>4</v>
      </c>
      <c r="I91">
        <v>3</v>
      </c>
      <c r="J91">
        <v>4</v>
      </c>
      <c r="K91">
        <v>3</v>
      </c>
      <c r="L91">
        <v>3</v>
      </c>
      <c r="M91">
        <v>4</v>
      </c>
      <c r="N91">
        <v>4</v>
      </c>
      <c r="O91">
        <v>4</v>
      </c>
      <c r="P91">
        <v>3</v>
      </c>
      <c r="Q91">
        <v>3</v>
      </c>
      <c r="R91">
        <v>3</v>
      </c>
      <c r="S91">
        <v>3</v>
      </c>
      <c r="T91">
        <v>4</v>
      </c>
      <c r="U91">
        <f t="shared" si="2"/>
        <v>70</v>
      </c>
      <c r="V91">
        <v>4.37</v>
      </c>
      <c r="W91">
        <v>90</v>
      </c>
    </row>
    <row r="92" spans="1:23">
      <c r="A92">
        <v>3</v>
      </c>
      <c r="B92">
        <v>3</v>
      </c>
      <c r="C92">
        <v>3</v>
      </c>
      <c r="D92">
        <v>3</v>
      </c>
      <c r="E92">
        <v>2</v>
      </c>
      <c r="F92">
        <v>3</v>
      </c>
      <c r="G92">
        <v>2</v>
      </c>
      <c r="H92">
        <v>4</v>
      </c>
      <c r="I92">
        <v>3</v>
      </c>
      <c r="J92">
        <v>2</v>
      </c>
      <c r="K92">
        <v>4</v>
      </c>
      <c r="L92">
        <v>4</v>
      </c>
      <c r="M92">
        <v>4</v>
      </c>
      <c r="N92">
        <v>2</v>
      </c>
      <c r="O92">
        <v>4</v>
      </c>
      <c r="P92">
        <v>3</v>
      </c>
      <c r="Q92">
        <v>2</v>
      </c>
      <c r="R92">
        <v>3</v>
      </c>
      <c r="S92">
        <v>3</v>
      </c>
      <c r="T92">
        <v>3</v>
      </c>
      <c r="U92">
        <f t="shared" si="2"/>
        <v>60</v>
      </c>
      <c r="V92">
        <v>4.12</v>
      </c>
      <c r="W92">
        <v>91</v>
      </c>
    </row>
    <row r="93" spans="1:23">
      <c r="A93">
        <v>4</v>
      </c>
      <c r="B93">
        <v>4</v>
      </c>
      <c r="C93">
        <v>4</v>
      </c>
      <c r="D93">
        <v>4</v>
      </c>
      <c r="E93">
        <v>5</v>
      </c>
      <c r="F93">
        <v>5</v>
      </c>
      <c r="G93">
        <v>4</v>
      </c>
      <c r="H93">
        <v>4</v>
      </c>
      <c r="I93">
        <v>4</v>
      </c>
      <c r="J93">
        <v>4</v>
      </c>
      <c r="K93">
        <v>5</v>
      </c>
      <c r="L93">
        <v>4</v>
      </c>
      <c r="M93">
        <v>5</v>
      </c>
      <c r="N93">
        <v>4</v>
      </c>
      <c r="O93">
        <v>4</v>
      </c>
      <c r="P93">
        <v>4</v>
      </c>
      <c r="Q93">
        <v>5</v>
      </c>
      <c r="R93">
        <v>4</v>
      </c>
      <c r="S93">
        <v>5</v>
      </c>
      <c r="T93">
        <v>4</v>
      </c>
      <c r="U93">
        <f t="shared" si="2"/>
        <v>86</v>
      </c>
      <c r="V93">
        <v>4.8499999999999996</v>
      </c>
      <c r="W93">
        <v>92</v>
      </c>
    </row>
    <row r="94" spans="1:23">
      <c r="A94">
        <v>5</v>
      </c>
      <c r="B94">
        <v>4</v>
      </c>
      <c r="C94">
        <v>3</v>
      </c>
      <c r="D94">
        <v>5</v>
      </c>
      <c r="E94">
        <v>4</v>
      </c>
      <c r="F94">
        <v>4</v>
      </c>
      <c r="G94">
        <v>4</v>
      </c>
      <c r="H94">
        <v>4</v>
      </c>
      <c r="I94">
        <v>5</v>
      </c>
      <c r="J94">
        <v>5</v>
      </c>
      <c r="K94">
        <v>4</v>
      </c>
      <c r="L94">
        <v>4</v>
      </c>
      <c r="M94">
        <v>4</v>
      </c>
      <c r="N94">
        <v>4</v>
      </c>
      <c r="O94">
        <v>4</v>
      </c>
      <c r="P94">
        <v>2</v>
      </c>
      <c r="Q94">
        <v>3</v>
      </c>
      <c r="R94">
        <v>3</v>
      </c>
      <c r="S94">
        <v>3</v>
      </c>
      <c r="T94">
        <v>3</v>
      </c>
      <c r="U94">
        <f t="shared" si="2"/>
        <v>77</v>
      </c>
      <c r="V94">
        <v>4.45</v>
      </c>
      <c r="W94">
        <v>93</v>
      </c>
    </row>
    <row r="95" spans="1:23">
      <c r="A95">
        <v>4</v>
      </c>
      <c r="B95">
        <v>4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3</v>
      </c>
      <c r="J95">
        <v>4</v>
      </c>
      <c r="K95">
        <v>3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f t="shared" si="2"/>
        <v>78</v>
      </c>
      <c r="V95">
        <v>4.3499999999999996</v>
      </c>
      <c r="W95">
        <v>94</v>
      </c>
    </row>
    <row r="96" spans="1:23">
      <c r="A96">
        <v>5</v>
      </c>
      <c r="B96">
        <v>5</v>
      </c>
      <c r="C96">
        <v>5</v>
      </c>
      <c r="D96">
        <v>5</v>
      </c>
      <c r="E96">
        <v>5</v>
      </c>
      <c r="F96">
        <v>4</v>
      </c>
      <c r="G96">
        <v>4</v>
      </c>
      <c r="H96">
        <v>5</v>
      </c>
      <c r="I96">
        <v>5</v>
      </c>
      <c r="J96">
        <v>4</v>
      </c>
      <c r="K96">
        <v>5</v>
      </c>
      <c r="L96">
        <v>4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f t="shared" si="2"/>
        <v>96</v>
      </c>
      <c r="V96">
        <v>4.25</v>
      </c>
      <c r="W96">
        <v>95</v>
      </c>
    </row>
    <row r="97" spans="1:23">
      <c r="A97">
        <v>5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f t="shared" si="2"/>
        <v>100</v>
      </c>
      <c r="V97">
        <v>4.93</v>
      </c>
      <c r="W97">
        <v>96</v>
      </c>
    </row>
    <row r="98" spans="1:23">
      <c r="A98">
        <v>4</v>
      </c>
      <c r="B98">
        <v>4</v>
      </c>
      <c r="C98">
        <v>4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f t="shared" ref="U98:U129" si="3">SUM(A98:T98)</f>
        <v>80</v>
      </c>
      <c r="V98">
        <v>4.29</v>
      </c>
      <c r="W98">
        <v>97</v>
      </c>
    </row>
    <row r="99" spans="1:23">
      <c r="A99">
        <v>5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4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f t="shared" si="3"/>
        <v>99</v>
      </c>
      <c r="V99">
        <v>4.45</v>
      </c>
      <c r="W99">
        <v>98</v>
      </c>
    </row>
    <row r="100" spans="1:23">
      <c r="A100">
        <v>2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  <c r="T100">
        <v>2</v>
      </c>
      <c r="U100">
        <f t="shared" si="3"/>
        <v>40</v>
      </c>
      <c r="V100">
        <v>3.94</v>
      </c>
      <c r="W100">
        <v>99</v>
      </c>
    </row>
    <row r="101" spans="1:23">
      <c r="A101">
        <v>2</v>
      </c>
      <c r="B101">
        <v>3</v>
      </c>
      <c r="C101">
        <v>2</v>
      </c>
      <c r="D101">
        <v>3</v>
      </c>
      <c r="E101">
        <v>3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3</v>
      </c>
      <c r="L101">
        <v>2</v>
      </c>
      <c r="M101">
        <v>2</v>
      </c>
      <c r="N101">
        <v>2</v>
      </c>
      <c r="O101">
        <v>3</v>
      </c>
      <c r="P101">
        <v>3</v>
      </c>
      <c r="Q101">
        <v>2</v>
      </c>
      <c r="R101">
        <v>3</v>
      </c>
      <c r="S101">
        <v>3</v>
      </c>
      <c r="T101">
        <v>3</v>
      </c>
      <c r="U101">
        <f t="shared" si="3"/>
        <v>49</v>
      </c>
      <c r="V101">
        <v>3.79</v>
      </c>
      <c r="W101">
        <v>100</v>
      </c>
    </row>
    <row r="102" spans="1:23">
      <c r="A102">
        <v>4</v>
      </c>
      <c r="B102">
        <v>4</v>
      </c>
      <c r="C102">
        <v>4</v>
      </c>
      <c r="D102">
        <v>4</v>
      </c>
      <c r="E102">
        <v>4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4</v>
      </c>
      <c r="T102">
        <v>4</v>
      </c>
      <c r="U102">
        <f t="shared" si="3"/>
        <v>80</v>
      </c>
      <c r="V102">
        <v>4.45</v>
      </c>
      <c r="W102">
        <v>101</v>
      </c>
    </row>
    <row r="103" spans="1:23">
      <c r="A103">
        <v>4</v>
      </c>
      <c r="B103">
        <v>4</v>
      </c>
      <c r="C103">
        <v>4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4</v>
      </c>
      <c r="J103">
        <v>4</v>
      </c>
      <c r="K103">
        <v>3</v>
      </c>
      <c r="L103">
        <v>4</v>
      </c>
      <c r="M103">
        <v>3</v>
      </c>
      <c r="N103">
        <v>3</v>
      </c>
      <c r="O103">
        <v>3</v>
      </c>
      <c r="P103">
        <v>4</v>
      </c>
      <c r="Q103">
        <v>4</v>
      </c>
      <c r="R103">
        <v>4</v>
      </c>
      <c r="S103">
        <v>4</v>
      </c>
      <c r="T103">
        <v>4</v>
      </c>
      <c r="U103">
        <f t="shared" si="3"/>
        <v>76</v>
      </c>
      <c r="V103">
        <v>4.3499999999999996</v>
      </c>
      <c r="W103">
        <v>102</v>
      </c>
    </row>
    <row r="104" spans="1:23">
      <c r="A104">
        <v>1</v>
      </c>
      <c r="B104">
        <v>2</v>
      </c>
      <c r="C104">
        <v>1</v>
      </c>
      <c r="D104">
        <v>2</v>
      </c>
      <c r="E104">
        <v>1</v>
      </c>
      <c r="F104">
        <v>2</v>
      </c>
      <c r="G104">
        <v>1</v>
      </c>
      <c r="H104">
        <v>2</v>
      </c>
      <c r="I104">
        <v>1</v>
      </c>
      <c r="J104">
        <v>2</v>
      </c>
      <c r="K104">
        <v>2</v>
      </c>
      <c r="L104">
        <v>1</v>
      </c>
      <c r="M104">
        <v>2</v>
      </c>
      <c r="N104">
        <v>1</v>
      </c>
      <c r="O104">
        <v>1</v>
      </c>
      <c r="P104">
        <v>1</v>
      </c>
      <c r="Q104">
        <v>2</v>
      </c>
      <c r="R104">
        <v>1</v>
      </c>
      <c r="S104">
        <v>1</v>
      </c>
      <c r="T104">
        <v>1</v>
      </c>
      <c r="U104">
        <f t="shared" si="3"/>
        <v>28</v>
      </c>
      <c r="V104">
        <v>3.74</v>
      </c>
      <c r="W104">
        <v>103</v>
      </c>
    </row>
    <row r="105" spans="1:23">
      <c r="A105">
        <v>3</v>
      </c>
      <c r="B105">
        <v>3</v>
      </c>
      <c r="C105">
        <v>3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3</v>
      </c>
      <c r="J105">
        <v>3</v>
      </c>
      <c r="K105">
        <v>4</v>
      </c>
      <c r="L105">
        <v>3</v>
      </c>
      <c r="M105">
        <v>3</v>
      </c>
      <c r="N105">
        <v>4</v>
      </c>
      <c r="O105">
        <v>4</v>
      </c>
      <c r="P105">
        <v>4</v>
      </c>
      <c r="Q105">
        <v>3</v>
      </c>
      <c r="R105">
        <v>4</v>
      </c>
      <c r="S105">
        <v>4</v>
      </c>
      <c r="T105">
        <v>3</v>
      </c>
      <c r="U105">
        <f t="shared" si="3"/>
        <v>71</v>
      </c>
      <c r="V105">
        <v>4.07</v>
      </c>
      <c r="W105">
        <v>104</v>
      </c>
    </row>
    <row r="106" spans="1:23">
      <c r="A106">
        <v>2</v>
      </c>
      <c r="B106">
        <v>2</v>
      </c>
      <c r="C106">
        <v>1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1</v>
      </c>
      <c r="U106">
        <f t="shared" si="3"/>
        <v>38</v>
      </c>
      <c r="V106">
        <v>4.1500000000000004</v>
      </c>
      <c r="W106">
        <v>105</v>
      </c>
    </row>
    <row r="107" spans="1:23">
      <c r="A107">
        <v>3</v>
      </c>
      <c r="B107">
        <v>2</v>
      </c>
      <c r="C107">
        <v>2</v>
      </c>
      <c r="D107">
        <v>3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4</v>
      </c>
      <c r="M107">
        <v>3</v>
      </c>
      <c r="N107">
        <v>3</v>
      </c>
      <c r="O107">
        <v>4</v>
      </c>
      <c r="P107">
        <v>3</v>
      </c>
      <c r="Q107">
        <v>4</v>
      </c>
      <c r="R107">
        <v>3</v>
      </c>
      <c r="S107">
        <v>3</v>
      </c>
      <c r="T107">
        <v>2</v>
      </c>
      <c r="U107">
        <f t="shared" si="3"/>
        <v>60</v>
      </c>
      <c r="V107">
        <v>4.47</v>
      </c>
      <c r="W107">
        <v>106</v>
      </c>
    </row>
    <row r="108" spans="1:23">
      <c r="A108">
        <v>3</v>
      </c>
      <c r="B108">
        <v>3</v>
      </c>
      <c r="C108">
        <v>3</v>
      </c>
      <c r="D108">
        <v>3</v>
      </c>
      <c r="E108">
        <v>3</v>
      </c>
      <c r="F108">
        <v>3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3</v>
      </c>
      <c r="M108">
        <v>2</v>
      </c>
      <c r="N108">
        <v>3</v>
      </c>
      <c r="O108">
        <v>2</v>
      </c>
      <c r="P108">
        <v>3</v>
      </c>
      <c r="Q108">
        <v>2</v>
      </c>
      <c r="R108">
        <v>3</v>
      </c>
      <c r="S108">
        <v>2</v>
      </c>
      <c r="T108">
        <v>2</v>
      </c>
      <c r="U108">
        <f t="shared" si="3"/>
        <v>50</v>
      </c>
      <c r="V108">
        <v>3.87</v>
      </c>
      <c r="W108">
        <v>107</v>
      </c>
    </row>
    <row r="109" spans="1:23">
      <c r="A109">
        <v>4</v>
      </c>
      <c r="B109">
        <v>5</v>
      </c>
      <c r="C109">
        <v>4</v>
      </c>
      <c r="D109">
        <v>4</v>
      </c>
      <c r="E109">
        <v>5</v>
      </c>
      <c r="F109">
        <v>5</v>
      </c>
      <c r="G109">
        <v>5</v>
      </c>
      <c r="H109">
        <v>4</v>
      </c>
      <c r="I109">
        <v>5</v>
      </c>
      <c r="J109">
        <v>5</v>
      </c>
      <c r="K109">
        <v>5</v>
      </c>
      <c r="L109">
        <v>4</v>
      </c>
      <c r="M109">
        <v>5</v>
      </c>
      <c r="N109">
        <v>5</v>
      </c>
      <c r="O109">
        <v>5</v>
      </c>
      <c r="P109">
        <v>4</v>
      </c>
      <c r="Q109">
        <v>5</v>
      </c>
      <c r="R109">
        <v>4</v>
      </c>
      <c r="S109">
        <v>4</v>
      </c>
      <c r="T109">
        <v>4</v>
      </c>
      <c r="U109">
        <f t="shared" si="3"/>
        <v>91</v>
      </c>
      <c r="V109">
        <v>4.71</v>
      </c>
      <c r="W109">
        <v>108</v>
      </c>
    </row>
    <row r="110" spans="1:23">
      <c r="A110">
        <v>3</v>
      </c>
      <c r="B110">
        <v>3</v>
      </c>
      <c r="C110">
        <v>4</v>
      </c>
      <c r="D110">
        <v>4</v>
      </c>
      <c r="E110">
        <v>3</v>
      </c>
      <c r="F110">
        <v>3</v>
      </c>
      <c r="G110">
        <v>3</v>
      </c>
      <c r="H110">
        <v>4</v>
      </c>
      <c r="I110">
        <v>3</v>
      </c>
      <c r="J110">
        <v>4</v>
      </c>
      <c r="K110">
        <v>3</v>
      </c>
      <c r="L110">
        <v>3</v>
      </c>
      <c r="M110">
        <v>4</v>
      </c>
      <c r="N110">
        <v>3</v>
      </c>
      <c r="O110">
        <v>3</v>
      </c>
      <c r="P110">
        <v>3</v>
      </c>
      <c r="Q110">
        <v>4</v>
      </c>
      <c r="R110">
        <v>4</v>
      </c>
      <c r="S110">
        <v>4</v>
      </c>
      <c r="T110">
        <v>3</v>
      </c>
      <c r="U110">
        <f t="shared" si="3"/>
        <v>68</v>
      </c>
      <c r="V110">
        <v>4.2300000000000004</v>
      </c>
      <c r="W110">
        <v>109</v>
      </c>
    </row>
    <row r="111" spans="1:23">
      <c r="A111">
        <v>5</v>
      </c>
      <c r="B111">
        <v>5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f t="shared" si="3"/>
        <v>100</v>
      </c>
      <c r="V111">
        <v>4.95</v>
      </c>
      <c r="W111">
        <v>110</v>
      </c>
    </row>
    <row r="112" spans="1:23">
      <c r="A112">
        <v>4</v>
      </c>
      <c r="B112">
        <v>4</v>
      </c>
      <c r="C112">
        <v>4</v>
      </c>
      <c r="D112">
        <v>4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3</v>
      </c>
      <c r="N112">
        <v>4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f t="shared" si="3"/>
        <v>69</v>
      </c>
      <c r="V112">
        <v>4.1500000000000004</v>
      </c>
      <c r="W112">
        <v>111</v>
      </c>
    </row>
    <row r="113" spans="1:23">
      <c r="A113">
        <v>2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  <c r="T113">
        <v>2</v>
      </c>
      <c r="U113">
        <f t="shared" si="3"/>
        <v>40</v>
      </c>
      <c r="V113">
        <v>3.94</v>
      </c>
      <c r="W113">
        <v>112</v>
      </c>
    </row>
    <row r="114" spans="1:23">
      <c r="A114">
        <v>4</v>
      </c>
      <c r="B114">
        <v>4</v>
      </c>
      <c r="C114">
        <v>4</v>
      </c>
      <c r="D114">
        <v>5</v>
      </c>
      <c r="E114">
        <v>5</v>
      </c>
      <c r="F114">
        <v>4</v>
      </c>
      <c r="G114">
        <v>4</v>
      </c>
      <c r="H114">
        <v>4</v>
      </c>
      <c r="I114">
        <v>5</v>
      </c>
      <c r="J114">
        <v>5</v>
      </c>
      <c r="K114">
        <v>5</v>
      </c>
      <c r="L114">
        <v>4</v>
      </c>
      <c r="M114">
        <v>5</v>
      </c>
      <c r="N114">
        <v>4</v>
      </c>
      <c r="O114">
        <v>4</v>
      </c>
      <c r="P114">
        <v>5</v>
      </c>
      <c r="Q114">
        <v>4</v>
      </c>
      <c r="R114">
        <v>5</v>
      </c>
      <c r="S114">
        <v>5</v>
      </c>
      <c r="T114">
        <v>5</v>
      </c>
      <c r="U114">
        <f t="shared" si="3"/>
        <v>90</v>
      </c>
      <c r="V114">
        <v>4.75</v>
      </c>
      <c r="W114">
        <v>113</v>
      </c>
    </row>
    <row r="115" spans="1:23">
      <c r="A115">
        <v>4</v>
      </c>
      <c r="B115">
        <v>2</v>
      </c>
      <c r="C115">
        <v>3</v>
      </c>
      <c r="D115">
        <v>3</v>
      </c>
      <c r="E115">
        <v>4</v>
      </c>
      <c r="F115">
        <v>3</v>
      </c>
      <c r="G115">
        <v>3</v>
      </c>
      <c r="H115">
        <v>2</v>
      </c>
      <c r="I115">
        <v>4</v>
      </c>
      <c r="J115">
        <v>3</v>
      </c>
      <c r="K115">
        <v>4</v>
      </c>
      <c r="L115">
        <v>2</v>
      </c>
      <c r="M115">
        <v>4</v>
      </c>
      <c r="N115">
        <v>2</v>
      </c>
      <c r="O115">
        <v>4</v>
      </c>
      <c r="P115">
        <v>3</v>
      </c>
      <c r="Q115">
        <v>3</v>
      </c>
      <c r="R115">
        <v>4</v>
      </c>
      <c r="S115">
        <v>2</v>
      </c>
      <c r="T115">
        <v>4</v>
      </c>
      <c r="U115">
        <f t="shared" si="3"/>
        <v>63</v>
      </c>
      <c r="V115">
        <v>4.04</v>
      </c>
      <c r="W115">
        <v>114</v>
      </c>
    </row>
    <row r="116" spans="1:23">
      <c r="A116">
        <v>4</v>
      </c>
      <c r="B116">
        <v>4</v>
      </c>
      <c r="C116">
        <v>4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4</v>
      </c>
      <c r="U116">
        <f t="shared" si="3"/>
        <v>80</v>
      </c>
      <c r="V116">
        <v>4.37</v>
      </c>
      <c r="W116">
        <v>115</v>
      </c>
    </row>
    <row r="117" spans="1:23">
      <c r="A117">
        <v>5</v>
      </c>
      <c r="B117">
        <v>4</v>
      </c>
      <c r="C117">
        <v>4</v>
      </c>
      <c r="D117">
        <v>4</v>
      </c>
      <c r="E117">
        <v>4</v>
      </c>
      <c r="F117">
        <v>4</v>
      </c>
      <c r="G117">
        <v>4</v>
      </c>
      <c r="H117">
        <v>5</v>
      </c>
      <c r="I117">
        <v>4</v>
      </c>
      <c r="J117">
        <v>4</v>
      </c>
      <c r="K117">
        <v>5</v>
      </c>
      <c r="L117">
        <v>5</v>
      </c>
      <c r="M117">
        <v>5</v>
      </c>
      <c r="N117">
        <v>4</v>
      </c>
      <c r="O117">
        <v>4</v>
      </c>
      <c r="P117">
        <v>4</v>
      </c>
      <c r="Q117">
        <v>5</v>
      </c>
      <c r="R117">
        <v>5</v>
      </c>
      <c r="S117">
        <v>4</v>
      </c>
      <c r="T117">
        <v>5</v>
      </c>
      <c r="U117">
        <f t="shared" si="3"/>
        <v>88</v>
      </c>
      <c r="V117">
        <v>4.9000000000000004</v>
      </c>
      <c r="W117">
        <v>116</v>
      </c>
    </row>
    <row r="118" spans="1:23">
      <c r="A118">
        <v>4</v>
      </c>
      <c r="B118">
        <v>4</v>
      </c>
      <c r="C118">
        <v>4</v>
      </c>
      <c r="D118">
        <v>4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f t="shared" si="3"/>
        <v>80</v>
      </c>
      <c r="V118">
        <v>4.29</v>
      </c>
      <c r="W118">
        <v>117</v>
      </c>
    </row>
    <row r="119" spans="1:23">
      <c r="A119">
        <v>4</v>
      </c>
      <c r="B119">
        <v>4</v>
      </c>
      <c r="C119">
        <v>4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4</v>
      </c>
      <c r="R119">
        <v>4</v>
      </c>
      <c r="S119">
        <v>4</v>
      </c>
      <c r="T119">
        <v>4</v>
      </c>
      <c r="U119">
        <f t="shared" si="3"/>
        <v>80</v>
      </c>
      <c r="V119">
        <v>4.4000000000000004</v>
      </c>
      <c r="W119">
        <v>118</v>
      </c>
    </row>
    <row r="120" spans="1:23">
      <c r="A120">
        <v>4</v>
      </c>
      <c r="B120">
        <v>4</v>
      </c>
      <c r="C120">
        <v>4</v>
      </c>
      <c r="D120">
        <v>4</v>
      </c>
      <c r="E120">
        <v>4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3</v>
      </c>
      <c r="R120">
        <v>4</v>
      </c>
      <c r="S120">
        <v>4</v>
      </c>
      <c r="T120">
        <v>4</v>
      </c>
      <c r="U120">
        <f t="shared" si="3"/>
        <v>79</v>
      </c>
      <c r="V120">
        <v>4.5599999999999996</v>
      </c>
      <c r="W120">
        <v>119</v>
      </c>
    </row>
    <row r="121" spans="1:23">
      <c r="A121">
        <v>3</v>
      </c>
      <c r="B121">
        <v>4</v>
      </c>
      <c r="C121">
        <v>3</v>
      </c>
      <c r="D121">
        <v>4</v>
      </c>
      <c r="E121">
        <v>4</v>
      </c>
      <c r="F121">
        <v>3</v>
      </c>
      <c r="G121">
        <v>4</v>
      </c>
      <c r="H121">
        <v>4</v>
      </c>
      <c r="I121">
        <v>3</v>
      </c>
      <c r="J121">
        <v>4</v>
      </c>
      <c r="K121">
        <v>3</v>
      </c>
      <c r="L121">
        <v>3</v>
      </c>
      <c r="M121">
        <v>4</v>
      </c>
      <c r="N121">
        <v>4</v>
      </c>
      <c r="O121">
        <v>4</v>
      </c>
      <c r="P121">
        <v>3</v>
      </c>
      <c r="Q121">
        <v>3</v>
      </c>
      <c r="R121">
        <v>3</v>
      </c>
      <c r="S121">
        <v>3</v>
      </c>
      <c r="T121">
        <v>4</v>
      </c>
      <c r="U121">
        <f t="shared" si="3"/>
        <v>70</v>
      </c>
      <c r="V121">
        <v>4.43</v>
      </c>
      <c r="W121">
        <v>120</v>
      </c>
    </row>
    <row r="122" spans="1:23">
      <c r="A122">
        <v>4</v>
      </c>
      <c r="B122">
        <v>4</v>
      </c>
      <c r="C122">
        <v>3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5</v>
      </c>
      <c r="P122">
        <v>4</v>
      </c>
      <c r="Q122">
        <v>4</v>
      </c>
      <c r="R122">
        <v>4</v>
      </c>
      <c r="S122">
        <v>4</v>
      </c>
      <c r="T122">
        <v>3</v>
      </c>
      <c r="U122">
        <f t="shared" si="3"/>
        <v>79</v>
      </c>
      <c r="V122">
        <v>4.45</v>
      </c>
      <c r="W122">
        <v>121</v>
      </c>
    </row>
    <row r="123" spans="1:23">
      <c r="A123">
        <v>2</v>
      </c>
      <c r="B123">
        <v>4</v>
      </c>
      <c r="C123">
        <v>4</v>
      </c>
      <c r="D123">
        <v>4</v>
      </c>
      <c r="E123">
        <v>2</v>
      </c>
      <c r="F123">
        <v>4</v>
      </c>
      <c r="G123">
        <v>2</v>
      </c>
      <c r="H123">
        <v>2</v>
      </c>
      <c r="I123">
        <v>3</v>
      </c>
      <c r="J123">
        <v>4</v>
      </c>
      <c r="K123">
        <v>3</v>
      </c>
      <c r="L123">
        <v>4</v>
      </c>
      <c r="M123">
        <v>3</v>
      </c>
      <c r="N123">
        <v>3</v>
      </c>
      <c r="O123">
        <v>3</v>
      </c>
      <c r="P123">
        <v>3</v>
      </c>
      <c r="Q123">
        <v>2</v>
      </c>
      <c r="R123">
        <v>2</v>
      </c>
      <c r="S123">
        <v>2</v>
      </c>
      <c r="T123">
        <v>3</v>
      </c>
      <c r="U123">
        <f t="shared" si="3"/>
        <v>59</v>
      </c>
      <c r="V123">
        <v>4.01</v>
      </c>
      <c r="W123">
        <v>122</v>
      </c>
    </row>
    <row r="124" spans="1:23">
      <c r="A124">
        <v>4</v>
      </c>
      <c r="B124">
        <v>3</v>
      </c>
      <c r="C124">
        <v>2</v>
      </c>
      <c r="D124">
        <v>2</v>
      </c>
      <c r="E124">
        <v>4</v>
      </c>
      <c r="F124">
        <v>2</v>
      </c>
      <c r="G124">
        <v>2</v>
      </c>
      <c r="H124">
        <v>3</v>
      </c>
      <c r="I124">
        <v>3</v>
      </c>
      <c r="J124">
        <v>4</v>
      </c>
      <c r="K124">
        <v>2</v>
      </c>
      <c r="L124">
        <v>4</v>
      </c>
      <c r="M124">
        <v>4</v>
      </c>
      <c r="N124">
        <v>4</v>
      </c>
      <c r="O124">
        <v>4</v>
      </c>
      <c r="P124">
        <v>2</v>
      </c>
      <c r="Q124">
        <v>4</v>
      </c>
      <c r="R124">
        <v>4</v>
      </c>
      <c r="S124">
        <v>2</v>
      </c>
      <c r="T124">
        <v>3</v>
      </c>
      <c r="U124">
        <f t="shared" si="3"/>
        <v>62</v>
      </c>
      <c r="V124">
        <v>4.0999999999999996</v>
      </c>
      <c r="W124">
        <v>123</v>
      </c>
    </row>
    <row r="125" spans="1:23">
      <c r="A125">
        <v>4</v>
      </c>
      <c r="B125">
        <v>4</v>
      </c>
      <c r="C125">
        <v>4</v>
      </c>
      <c r="D125">
        <v>4</v>
      </c>
      <c r="E125">
        <v>4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4</v>
      </c>
      <c r="U125">
        <f t="shared" si="3"/>
        <v>80</v>
      </c>
      <c r="V125">
        <v>4.4000000000000004</v>
      </c>
      <c r="W125">
        <v>124</v>
      </c>
    </row>
    <row r="126" spans="1:23">
      <c r="A126">
        <v>2</v>
      </c>
      <c r="B126">
        <v>3</v>
      </c>
      <c r="C126">
        <v>4</v>
      </c>
      <c r="D126">
        <v>4</v>
      </c>
      <c r="E126">
        <v>4</v>
      </c>
      <c r="F126">
        <v>2</v>
      </c>
      <c r="G126">
        <v>4</v>
      </c>
      <c r="H126">
        <v>3</v>
      </c>
      <c r="I126">
        <v>3</v>
      </c>
      <c r="J126">
        <v>4</v>
      </c>
      <c r="K126">
        <v>4</v>
      </c>
      <c r="L126">
        <v>3</v>
      </c>
      <c r="M126">
        <v>4</v>
      </c>
      <c r="N126">
        <v>4</v>
      </c>
      <c r="O126">
        <v>2</v>
      </c>
      <c r="P126">
        <v>2</v>
      </c>
      <c r="Q126">
        <v>3</v>
      </c>
      <c r="R126">
        <v>4</v>
      </c>
      <c r="S126">
        <v>4</v>
      </c>
      <c r="T126">
        <v>4</v>
      </c>
      <c r="U126">
        <f t="shared" si="3"/>
        <v>67</v>
      </c>
      <c r="V126">
        <v>4.07</v>
      </c>
      <c r="W126">
        <v>125</v>
      </c>
    </row>
    <row r="127" spans="1:23">
      <c r="A127">
        <v>3</v>
      </c>
      <c r="B127">
        <v>2</v>
      </c>
      <c r="C127">
        <v>1</v>
      </c>
      <c r="D127">
        <v>2</v>
      </c>
      <c r="E127">
        <v>3</v>
      </c>
      <c r="F127">
        <v>3</v>
      </c>
      <c r="G127">
        <v>4</v>
      </c>
      <c r="H127">
        <v>3</v>
      </c>
      <c r="I127">
        <v>4</v>
      </c>
      <c r="J127">
        <v>3</v>
      </c>
      <c r="K127">
        <v>4</v>
      </c>
      <c r="L127">
        <v>3</v>
      </c>
      <c r="M127">
        <v>3</v>
      </c>
      <c r="N127">
        <v>2</v>
      </c>
      <c r="O127">
        <v>3</v>
      </c>
      <c r="P127">
        <v>2</v>
      </c>
      <c r="Q127">
        <v>3</v>
      </c>
      <c r="R127">
        <v>3</v>
      </c>
      <c r="S127">
        <v>3</v>
      </c>
      <c r="T127">
        <v>2</v>
      </c>
      <c r="U127">
        <f t="shared" si="3"/>
        <v>56</v>
      </c>
      <c r="V127">
        <v>4.26</v>
      </c>
      <c r="W127">
        <v>126</v>
      </c>
    </row>
    <row r="128" spans="1:23">
      <c r="A128">
        <v>4</v>
      </c>
      <c r="B128">
        <v>4</v>
      </c>
      <c r="C128">
        <v>3</v>
      </c>
      <c r="D128">
        <v>4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>
        <v>4</v>
      </c>
      <c r="L128">
        <v>3</v>
      </c>
      <c r="M128">
        <v>3</v>
      </c>
      <c r="N128">
        <v>4</v>
      </c>
      <c r="O128">
        <v>3</v>
      </c>
      <c r="P128">
        <v>3</v>
      </c>
      <c r="Q128">
        <v>4</v>
      </c>
      <c r="R128">
        <v>4</v>
      </c>
      <c r="S128">
        <v>3</v>
      </c>
      <c r="T128">
        <v>3</v>
      </c>
      <c r="U128">
        <f t="shared" si="3"/>
        <v>73</v>
      </c>
      <c r="V128">
        <v>4.3499999999999996</v>
      </c>
      <c r="W128">
        <v>127</v>
      </c>
    </row>
    <row r="129" spans="1:23">
      <c r="A129">
        <v>4</v>
      </c>
      <c r="B129">
        <v>4</v>
      </c>
      <c r="C129">
        <v>4</v>
      </c>
      <c r="D129">
        <v>4</v>
      </c>
      <c r="E129">
        <v>4</v>
      </c>
      <c r="F129">
        <v>4</v>
      </c>
      <c r="G129">
        <v>4</v>
      </c>
      <c r="H129">
        <v>4</v>
      </c>
      <c r="I129">
        <v>4</v>
      </c>
      <c r="J129">
        <v>4</v>
      </c>
      <c r="K129">
        <v>3</v>
      </c>
      <c r="L129">
        <v>3</v>
      </c>
      <c r="M129">
        <v>4</v>
      </c>
      <c r="N129">
        <v>4</v>
      </c>
      <c r="O129">
        <v>3</v>
      </c>
      <c r="P129">
        <v>3</v>
      </c>
      <c r="Q129">
        <v>3</v>
      </c>
      <c r="R129">
        <v>4</v>
      </c>
      <c r="S129">
        <v>3</v>
      </c>
      <c r="T129">
        <v>3</v>
      </c>
      <c r="U129">
        <f t="shared" si="3"/>
        <v>73</v>
      </c>
      <c r="V129">
        <v>4.55</v>
      </c>
      <c r="W129">
        <v>128</v>
      </c>
    </row>
    <row r="130" spans="1:23">
      <c r="A130">
        <v>4</v>
      </c>
      <c r="B130">
        <v>5</v>
      </c>
      <c r="C130">
        <v>4</v>
      </c>
      <c r="D130">
        <v>5</v>
      </c>
      <c r="E130">
        <v>5</v>
      </c>
      <c r="F130">
        <v>5</v>
      </c>
      <c r="G130">
        <v>5</v>
      </c>
      <c r="H130">
        <v>4</v>
      </c>
      <c r="I130">
        <v>4</v>
      </c>
      <c r="J130">
        <v>4</v>
      </c>
      <c r="K130">
        <v>5</v>
      </c>
      <c r="L130">
        <v>4</v>
      </c>
      <c r="M130">
        <v>4</v>
      </c>
      <c r="N130">
        <v>4</v>
      </c>
      <c r="O130">
        <v>5</v>
      </c>
      <c r="P130">
        <v>4</v>
      </c>
      <c r="Q130">
        <v>4</v>
      </c>
      <c r="R130">
        <v>4</v>
      </c>
      <c r="S130">
        <v>4</v>
      </c>
      <c r="T130">
        <v>4</v>
      </c>
      <c r="U130">
        <f t="shared" ref="U130:U132" si="4">SUM(A130:T130)</f>
        <v>87</v>
      </c>
      <c r="V130">
        <v>4.42</v>
      </c>
      <c r="W130">
        <v>129</v>
      </c>
    </row>
    <row r="131" spans="1:23">
      <c r="A131">
        <v>2</v>
      </c>
      <c r="B131">
        <v>3</v>
      </c>
      <c r="C131">
        <v>3</v>
      </c>
      <c r="D131">
        <v>2</v>
      </c>
      <c r="E131">
        <v>2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2</v>
      </c>
      <c r="M131">
        <v>2</v>
      </c>
      <c r="N131">
        <v>3</v>
      </c>
      <c r="O131">
        <v>3</v>
      </c>
      <c r="P131">
        <v>2</v>
      </c>
      <c r="Q131">
        <v>2</v>
      </c>
      <c r="R131">
        <v>2</v>
      </c>
      <c r="S131">
        <v>3</v>
      </c>
      <c r="T131">
        <v>2</v>
      </c>
      <c r="U131">
        <f t="shared" si="4"/>
        <v>51</v>
      </c>
      <c r="V131">
        <v>3.88</v>
      </c>
      <c r="W131">
        <v>130</v>
      </c>
    </row>
    <row r="132" spans="1:23">
      <c r="A132">
        <v>2</v>
      </c>
      <c r="B132">
        <v>3</v>
      </c>
      <c r="C132">
        <v>4</v>
      </c>
      <c r="D132">
        <v>4</v>
      </c>
      <c r="E132">
        <v>3</v>
      </c>
      <c r="F132">
        <v>4</v>
      </c>
      <c r="G132">
        <v>3</v>
      </c>
      <c r="H132">
        <v>4</v>
      </c>
      <c r="I132">
        <v>4</v>
      </c>
      <c r="J132">
        <v>3</v>
      </c>
      <c r="K132">
        <v>2</v>
      </c>
      <c r="L132">
        <v>2</v>
      </c>
      <c r="M132">
        <v>2</v>
      </c>
      <c r="N132">
        <v>4</v>
      </c>
      <c r="O132">
        <v>3</v>
      </c>
      <c r="P132">
        <v>2</v>
      </c>
      <c r="Q132">
        <v>3</v>
      </c>
      <c r="R132">
        <v>2</v>
      </c>
      <c r="S132">
        <v>2</v>
      </c>
      <c r="T132">
        <v>3</v>
      </c>
      <c r="U132">
        <f t="shared" si="4"/>
        <v>59</v>
      </c>
      <c r="V132">
        <v>4.07</v>
      </c>
      <c r="W132">
        <v>131</v>
      </c>
    </row>
  </sheetData>
  <sortState xmlns:xlrd2="http://schemas.microsoft.com/office/spreadsheetml/2017/richdata2" ref="A2:W132">
    <sortCondition ref="W2:W132"/>
  </sortState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 1</vt:lpstr>
      <vt:lpstr>Sheet1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wadir medis</dc:creator>
  <cp:lastModifiedBy>wadir medis</cp:lastModifiedBy>
  <dcterms:created xsi:type="dcterms:W3CDTF">2025-01-19T07:12:57Z</dcterms:created>
  <dcterms:modified xsi:type="dcterms:W3CDTF">2025-03-09T12:28:26Z</dcterms:modified>
</cp:coreProperties>
</file>